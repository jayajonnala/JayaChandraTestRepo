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<sst xmlns="http://schemas.openxmlformats.org/spreadsheetml/2006/main" uniqueCount="67">
  <si>
    <t/>
  </si>
  <si>
    <t>DT_SAPTRANSACTIONCODE</t>
  </si>
  <si>
    <t>2Y</t>
  </si>
  <si>
    <t>ip17</t>
  </si>
  <si>
    <t>DT_IP17_0500_GRIDCELL_0_MNTPLAN_OCC1</t>
  </si>
  <si>
    <t>Logon Information</t>
  </si>
  <si>
    <t>AUTOFAB</t>
  </si>
  <si>
    <t>DT_IP17_0140_CHECK_TEXT_OF_STATUSBAR</t>
  </si>
  <si>
    <t>Fix</t>
  </si>
  <si>
    <t>IP17</t>
  </si>
  <si>
    <t>15.10 Changed on row #1</t>
  </si>
  <si>
    <t>DT_IP17_0123_CHECK_TEXT_OF_TABLECELL_CALL_DATE_0</t>
  </si>
  <si>
    <t>Scenario</t>
  </si>
  <si>
    <t>Input Value</t>
  </si>
  <si>
    <t>%blank%</t>
  </si>
  <si>
    <t>DT_IP17_0500_GRIDCELL_0_MNTPLAN</t>
  </si>
  <si>
    <t>3</t>
  </si>
  <si>
    <t>ip10</t>
  </si>
  <si>
    <t>DT_IP17_0140_OKCD</t>
  </si>
  <si>
    <t>DT_IP17_0500_GRIDCELL_0__OCC2</t>
  </si>
  <si>
    <t>Formulas</t>
  </si>
  <si>
    <t>Data from other test</t>
  </si>
  <si>
    <t>200</t>
  </si>
  <si>
    <t>DT_IP17_8002_SCHEDULE_CALL_ITEM</t>
  </si>
  <si>
    <t>/nex</t>
  </si>
  <si>
    <t>DT_SAPSYSTEM</t>
  </si>
  <si>
    <t>DT_IP17_0123_CHECK_TEXT_OF_TABLECELL_PLANDATE_0_OCC1</t>
  </si>
  <si>
    <t>DT_SAPLANGUAGE</t>
  </si>
  <si>
    <t>DT_SAPOPTIONS</t>
  </si>
  <si>
    <t>WAPOS</t>
  </si>
  <si>
    <t>0</t>
  </si>
  <si>
    <t>WARPL</t>
  </si>
  <si>
    <t>DT_IP17_0201_OKCD</t>
  </si>
  <si>
    <t>900040000550</t>
  </si>
  <si>
    <t>New start  Hold</t>
  </si>
  <si>
    <t>DT_IP17_1000_MAINTENANCE_PLAN_OCC1</t>
  </si>
  <si>
    <t>DT_IP17_0500_GRIDCELL_0__OCC3</t>
  </si>
  <si>
    <t>DT_IP17_0123_CHECK_TEXT_OF_TABLECELL_CALL_DATE_0_OCC1</t>
  </si>
  <si>
    <t>DT_IP17_0500_GRIDCELL_0_MAINTENANCE_ITEM</t>
  </si>
  <si>
    <t>DT_IP17_0123_CHECK_TEXT_OF_TABLECELL_PLANDATE_0</t>
  </si>
  <si>
    <t>DT_IP17_0201_OKCD_OCC1</t>
  </si>
  <si>
    <t>Row_Number</t>
  </si>
  <si>
    <t>04.01.05.07.01 Execute Preventive Maintenance (Internal)</t>
  </si>
  <si>
    <t>5761d8c21dff3e4d34e4f238</t>
  </si>
  <si>
    <t>DT_IP17_0123_CHECK_TEXT_OF_TABLECELL_DUE_PACKAGES_0</t>
  </si>
  <si>
    <t>DT_IP17_0140_CHECK_MESSAGEPARAMETER_OF_STATUSBAR</t>
  </si>
  <si>
    <t>DT_IP17_8002_SCHEDULE_CALL_ITEM_OCC1</t>
  </si>
  <si>
    <t>EN</t>
  </si>
  <si>
    <t>1</t>
  </si>
  <si>
    <t>DT_IP17_0123_CHECK_TEXT_OF_TABLECELL_SCHEDULING_TYPE__STATUS_0</t>
  </si>
  <si>
    <t>=X2</t>
  </si>
  <si>
    <t>DT_IP17_0123_CHECK_TEXT_OF_TABLECELL_DUE_PACKAGES_0_OCC1</t>
  </si>
  <si>
    <t>R1E - SAP RETAIL Pre-Production EUROPE</t>
  </si>
  <si>
    <t>DT_SAPPASSWORD</t>
  </si>
  <si>
    <t>DT_IP17_8002_OBJECT_LIST_ITEM</t>
  </si>
  <si>
    <t>DT_IP17_0123_CHECK_TEXT_SCHEDULING_TYPE__STATUS_0_OCC1</t>
  </si>
  <si>
    <t>Checks</t>
  </si>
  <si>
    <t>Output Value</t>
  </si>
  <si>
    <t>DT_SAPUSER</t>
  </si>
  <si>
    <t>DT_IP17_1000_MAINTENANCE_PLAN</t>
  </si>
  <si>
    <t>2</t>
  </si>
  <si>
    <t>DT_IP17_0500_GRIDCELL_0_</t>
  </si>
  <si>
    <t>DT_IP17_0140_CHECK_MESSAGEPARAMETER_OF_STATUSBAR_OUTPUT</t>
  </si>
  <si>
    <t>DT_SAPCLIENT</t>
  </si>
  <si>
    <t>DT_IP17_8002_ITEM_LOCATION</t>
  </si>
  <si>
    <t>DT_IP17_0500_GRIDCELL_0__OCC1</t>
  </si>
  <si>
    <t>DT_IP17_7000_START_OF_CYCLE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</si>
</sst>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164" fontId="1" fillId="0" borderId="1" xfId="0" applyNumberFormat="1" applyBorder="1" applyProtection="1">
      <protection locked="0"/>
    </xf>
    <xf numFmtId="14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8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4.01.05.07.01%20Execute%20Preventive%20Maintenance%20(Internal)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10"/>
  <sheetViews>
    <sheetView topLeftCell="AI1" workbookViewId="0">
      <selection activeCell="AI2" sqref="AI2"/>
    </sheetView>
  </sheetViews>
  <sheetFormatPr defaultColWidth="9.125" defaultRowHeight="14.25"/>
  <cols>
    <col min="1" max="1" width="13.25" style="9" customWidth="1"/>
    <col min="2" max="2" width="53.125" style="9" customWidth="1"/>
    <col min="3" max="3" width="44.625" style="9" customWidth="1"/>
    <col min="4" max="4" width="15" style="9" customWidth="1"/>
    <col min="5" max="5" width="13.625" style="9" customWidth="1"/>
    <col min="6" max="6" width="27.25" style="9" customWidth="1"/>
    <col min="7" max="7" width="18.625" style="9" customWidth="1"/>
    <col min="8" max="8" width="16.75" style="9" customWidth="1"/>
    <col min="9" max="9" width="27.125" style="9" customWidth="1"/>
    <col min="10" max="10" width="33.875" style="9" customWidth="1"/>
    <col min="11" max="11" width="45.625" style="9" customWidth="1"/>
    <col min="12" max="12" width="32.25" style="9" customWidth="1"/>
    <col min="13" max="13" width="29.25" style="9" customWidth="1"/>
    <col min="14" max="14" width="26.5" style="9" customWidth="1"/>
    <col min="15" max="15" width="32.375" style="9" customWidth="1"/>
    <col min="16" max="17" width="35.5" style="9" customWidth="1"/>
    <col min="18" max="18" width="54.5" style="9" customWidth="1"/>
    <col min="19" max="19" width="55.125" style="9" customWidth="1"/>
    <col min="20" max="20" width="59.5" style="9" customWidth="1"/>
    <col min="21" max="21" width="72.25" style="9" customWidth="1"/>
    <col min="22" max="22" width="19.5" style="9" customWidth="1"/>
    <col min="23" max="23" width="31.25" style="9" customWidth="1"/>
    <col min="24" max="24" width="58.5" style="9" customWidth="1"/>
    <col min="25" max="25" width="42.5" style="9" customWidth="1"/>
    <col min="26" max="26" width="19.5" style="9" customWidth="1"/>
    <col min="27" max="27" width="39.75" style="9" customWidth="1"/>
    <col min="28" max="29" width="32.375" style="9" customWidth="1"/>
    <col min="30" max="31" width="41.375" style="9" customWidth="1"/>
    <col min="32" max="32" width="60.375" style="9" customWidth="1"/>
    <col min="33" max="33" width="61" style="9" customWidth="1"/>
    <col min="34" max="34" width="65.375" style="9" customWidth="1"/>
    <col min="35" max="35" width="78.125" style="9" customWidth="1"/>
    <col min="36" max="36" width="25.375" style="9" customWidth="1"/>
    <col min="37" max="16384" width="9.125" style="9" customWidth="1"/>
  </cols>
  <sheetData>
    <row r="1" ht="12.75" customHeight="1" customFormat="1">
      <c r="A1" t="s">
        <v>41</v>
      </c>
      <c r="B1" t="s">
        <v>12</v>
      </c>
      <c r="C1" t="s">
        <v>25</v>
      </c>
      <c r="D1" t="s">
        <v>63</v>
      </c>
      <c r="E1" t="s">
        <v>58</v>
      </c>
      <c r="F1" t="s">
        <v>53</v>
      </c>
      <c r="G1" t="s">
        <v>27</v>
      </c>
      <c r="H1" t="s">
        <v>28</v>
      </c>
      <c r="I1" t="s">
        <v>1</v>
      </c>
      <c r="J1" t="s">
        <v>59</v>
      </c>
      <c r="K1" t="s">
        <v>38</v>
      </c>
      <c r="L1" t="s">
        <v>54</v>
      </c>
      <c r="M1" t="s">
        <v>64</v>
      </c>
      <c r="N1" t="s">
        <v>61</v>
      </c>
      <c r="O1" t="s">
        <v>65</v>
      </c>
      <c r="P1" t="s">
        <v>15</v>
      </c>
      <c r="Q1" t="s">
        <v>23</v>
      </c>
      <c r="R1" t="s">
        <v>39</v>
      </c>
      <c r="S1" t="s">
        <v>11</v>
      </c>
      <c r="T1" t="s">
        <v>44</v>
      </c>
      <c r="U1" t="s">
        <v>49</v>
      </c>
      <c r="V1" t="s">
        <v>32</v>
      </c>
      <c r="W1" t="s">
        <v>66</v>
      </c>
      <c r="X1" t="s">
        <v>45</v>
      </c>
      <c r="Y1" t="s">
        <v>7</v>
      </c>
      <c r="Z1" t="s">
        <v>18</v>
      </c>
      <c r="AA1" t="s">
        <v>35</v>
      </c>
      <c r="AB1" t="s">
        <v>19</v>
      </c>
      <c r="AC1" t="s">
        <v>36</v>
      </c>
      <c r="AD1" t="s">
        <v>4</v>
      </c>
      <c r="AE1" t="s">
        <v>46</v>
      </c>
      <c r="AF1" t="s">
        <v>26</v>
      </c>
      <c r="AG1" t="s">
        <v>37</v>
      </c>
      <c r="AH1" t="s">
        <v>51</v>
      </c>
      <c r="AI1" t="s">
        <v>55</v>
      </c>
      <c r="AJ1" t="s">
        <v>40</v>
      </c>
    </row>
    <row r="2">
      <c r="A2" s="5">
        <v>2</v>
      </c>
      <c r="B2" s="5" t="s">
        <v>42</v>
      </c>
      <c r="C2" s="3" t="s">
        <v>52</v>
      </c>
      <c r="D2" s="3" t="s">
        <v>22</v>
      </c>
      <c r="E2" s="3" t="s">
        <v>6</v>
      </c>
      <c r="F2" s="3" t="s">
        <v>43</v>
      </c>
      <c r="G2" s="3" t="s">
        <v>47</v>
      </c>
      <c r="H2" s="3" t="s">
        <v>0</v>
      </c>
      <c r="I2" s="2" t="s">
        <v>9</v>
      </c>
      <c r="J2" s="12" t="s">
        <v>33</v>
      </c>
      <c r="K2" s="2" t="s">
        <v>29</v>
      </c>
      <c r="L2" s="2" t="s">
        <v>48</v>
      </c>
      <c r="M2" s="2" t="s">
        <v>60</v>
      </c>
      <c r="N2" s="2" t="s">
        <v>14</v>
      </c>
      <c r="O2" s="2" t="s">
        <v>30</v>
      </c>
      <c r="P2" s="2" t="s">
        <v>31</v>
      </c>
      <c r="Q2" s="2" t="s">
        <v>16</v>
      </c>
      <c r="R2" s="4">
        <f ca="1" t="shared" si="0" ref="R2:R3">TODAY()+730+30</f>
        <v>46255</v>
      </c>
      <c r="S2" s="4">
        <f ca="1">TODAY()+745</f>
        <v>46240</v>
      </c>
      <c r="T2" s="2" t="s">
        <v>2</v>
      </c>
      <c r="U2" s="2" t="s">
        <v>34</v>
      </c>
      <c r="V2" s="2" t="s">
        <v>17</v>
      </c>
      <c r="W2" s="6">
        <f ca="1">TODAY()+60</f>
        <v>45555</v>
      </c>
      <c r="X2" s="19" t="e">
        <f>[1]Output!C2</f>
        <v>#REF!</v>
      </c>
      <c r="Y2" s="18" t="e">
        <f>CONCATENATE("Maintenance plan ",X2," scheduled")</f>
        <v>#REF!</v>
      </c>
      <c r="Z2" s="2" t="s">
        <v>3</v>
      </c>
      <c r="AA2" s="2" t="s">
        <v>50</v>
      </c>
      <c r="AB2" s="2" t="s">
        <v>14</v>
      </c>
      <c r="AC2" s="2" t="s">
        <v>30</v>
      </c>
      <c r="AD2" s="2" t="s">
        <v>31</v>
      </c>
      <c r="AE2" s="2" t="s">
        <v>16</v>
      </c>
      <c r="AF2" s="10">
        <f ca="1">W2+730</f>
        <v>46285</v>
      </c>
      <c r="AG2" s="10">
        <f ca="1">(W2+694+21)</f>
        <v>46270</v>
      </c>
      <c r="AH2" s="2" t="s">
        <v>2</v>
      </c>
      <c r="AI2" s="2" t="s">
        <v>34</v>
      </c>
      <c r="AJ2" s="8" t="s">
        <v>24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6">
        <f ca="1" t="shared" si="0"/>
        <v>46255</v>
      </c>
      <c r="S3" s="6">
        <f ca="1">TODAY()+724</f>
        <v>46219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3"/>
    </row>
    <row r="4">
      <c r="A4" s="1"/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3"/>
    </row>
    <row r="5">
      <c r="A5" s="1"/>
      <c r="B5" s="20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3"/>
    </row>
    <row r="6">
      <c r="A6" s="1"/>
      <c r="B6" s="15" t="s">
        <v>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3"/>
    </row>
    <row r="7">
      <c r="A7" s="1"/>
      <c r="B7" s="17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7">
        <f ca="1">TODAY()+730+30</f>
        <v>46255</v>
      </c>
      <c r="S7" s="7">
        <f ca="1">TODAY()+715+30</f>
        <v>46240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3"/>
    </row>
    <row r="8">
      <c r="A8" s="1"/>
      <c r="B8" s="16" t="s">
        <v>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6"/>
      <c r="AH8" s="1"/>
      <c r="AI8" s="1"/>
      <c r="AJ8" s="13"/>
    </row>
    <row r="9">
      <c r="A9" s="1"/>
      <c r="B9" s="11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">
        <f ca="1">TODAY()+730+30</f>
        <v>46255</v>
      </c>
      <c r="S9" s="4">
        <f ca="1">TODAY()+745</f>
        <v>46240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6">
        <f ca="1">(W2+694)</f>
        <v>46249</v>
      </c>
      <c r="AH9" s="1"/>
      <c r="AI9" s="1"/>
      <c r="AJ9" s="13"/>
    </row>
    <row r="10">
      <c r="A10" s="1"/>
      <c r="B10" s="14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10</v>
      </c>
      <c r="S10" s="1" t="s">
        <v>10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10</v>
      </c>
      <c r="AH10" s="1"/>
      <c r="AI10" s="1"/>
      <c r="AJ10" s="13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tabSelected="1" workbookViewId="0">
      <selection activeCell="A2" sqref="A2"/>
    </sheetView>
  </sheetViews>
  <sheetFormatPr defaultColWidth="9.125" defaultRowHeight="14.25"/>
  <cols>
    <col min="1" max="1" width="9.125" style="9" customWidth="1"/>
    <col min="2" max="2" width="48.75" style="9" bestFit="1" customWidth="1"/>
    <col min="3" max="3" width="68.5" style="9" bestFit="1" customWidth="1"/>
    <col min="4" max="16384" width="9.125" style="9" customWidth="1"/>
  </cols>
  <sheetData>
    <row r="1" ht="12.75" customHeight="1" customFormat="1">
      <c r="A1" t="s">
        <v>41</v>
      </c>
      <c r="B1" t="s">
        <v>12</v>
      </c>
      <c r="C1" t="s">
        <v>62</v>
      </c>
    </row>
    <row r="2">
      <c r="A2" s="5">
        <v>2</v>
      </c>
      <c r="B2" s="5" t="s">
        <v>42</v>
      </c>
      <c r="C2" s="8" t="s">
        <v>33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