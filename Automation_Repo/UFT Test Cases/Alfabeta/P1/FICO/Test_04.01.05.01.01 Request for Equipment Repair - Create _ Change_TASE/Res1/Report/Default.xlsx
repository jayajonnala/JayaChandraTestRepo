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<sst xmlns="http://schemas.openxmlformats.org/spreadsheetml/2006/main" uniqueCount="137">
  <si>
    <t/>
  </si>
  <si>
    <t>DT_SAPTRANSACTIONCODE</t>
  </si>
  <si>
    <t>DT_IW21_7328_MALFUNCTEND</t>
  </si>
  <si>
    <t>Mechanical</t>
  </si>
  <si>
    <t>DT_IW21_7324_CHECK_TEXT_OF_OBJECT_PART_OCC1</t>
  </si>
  <si>
    <t>Logon Information</t>
  </si>
  <si>
    <t>AUTOFAB</t>
  </si>
  <si>
    <t>DT_IW21_0100_NOTIFICATION_TYPE</t>
  </si>
  <si>
    <t>gz02</t>
  </si>
  <si>
    <t>DT_IW21_7328_MALFUNCTEND_OCC1</t>
  </si>
  <si>
    <t>ZGRPMV</t>
  </si>
  <si>
    <t>DT_IW21_7324_DESIGN__STUDY</t>
  </si>
  <si>
    <t>DT_IW21_7324_MECHANICAL</t>
  </si>
  <si>
    <t>DT_IW21_7326_RIWO00SWERK_OCC1</t>
  </si>
  <si>
    <t>DT_IW21_7324_CHECK_TEXT_OF_CAUSE_CODE_OCC3</t>
  </si>
  <si>
    <t>Fix</t>
  </si>
  <si>
    <t>DT_IW21_1050_NOTIFICATION</t>
  </si>
  <si>
    <t>DT_IW21_0100_FUNCTIONAL_LOC</t>
  </si>
  <si>
    <t>DT_IW21_7328_MALFUNCT_START_OCC1</t>
  </si>
  <si>
    <t>DT_IW21_7324_CHECK_TEXT_OF_OBJECT_PART</t>
  </si>
  <si>
    <t>GTO</t>
  </si>
  <si>
    <t>Equipment</t>
  </si>
  <si>
    <t>DT_IW21_7326_CHECK_TEXT_OF_RIWO00INNAM</t>
  </si>
  <si>
    <t>Tech. Operations</t>
  </si>
  <si>
    <t>DT_IW21_7710_CHECK_TEXT_OF_TABLECELL__0</t>
  </si>
  <si>
    <t>DT_IW21_7000_CHECK_TEXT_OF_COMPANY_CODE</t>
  </si>
  <si>
    <t>DT_IW21_7000_CHECK_TEXT_OF_BUSINESS_AREA</t>
  </si>
  <si>
    <t>GZ000154</t>
  </si>
  <si>
    <t>Scenario</t>
  </si>
  <si>
    <t>Input Value</t>
  </si>
  <si>
    <t>GR22-01-04-0115-SP-EN</t>
  </si>
  <si>
    <t>DT_IW21_7326_NOTIFDATE</t>
  </si>
  <si>
    <t>DT_IW21_7324_CHECK_TEXT_OF_DEFECT_TYPE</t>
  </si>
  <si>
    <t>DT_IW21_7324_CHECK_TEXT_OF_CAUSE_CODE</t>
  </si>
  <si>
    <t>DT_IW21_0100_EQUIPMENT</t>
  </si>
  <si>
    <t>DT_IW21_7328_CHECK_TEXT_OF_MALFUNCT_START</t>
  </si>
  <si>
    <t>Formulas</t>
  </si>
  <si>
    <t>Data from other test</t>
  </si>
  <si>
    <t>200</t>
  </si>
  <si>
    <t>GZ02</t>
  </si>
  <si>
    <t>DT_IW21_7326_RIWO00SWERK</t>
  </si>
  <si>
    <t>DT_IW21_7324_VIQMFEOTEIL</t>
  </si>
  <si>
    <t>DT_IW21_7324_VIQMURURCOD</t>
  </si>
  <si>
    <t>DT_IW21_7324_NATURAL_DISTORTION</t>
  </si>
  <si>
    <t>DT_IW21_7324_PLUMBING</t>
  </si>
  <si>
    <t>DT_IW21_7324_CHECK_TEXT_OF_OBJECT_PART_OCC2</t>
  </si>
  <si>
    <t>DT_IW21_7000_CHECK_TEXT_OF_SORT_FIELD</t>
  </si>
  <si>
    <t>GR02</t>
  </si>
  <si>
    <t>/nex</t>
  </si>
  <si>
    <t>DT_IW21_0100_CHECK_MESSAGEPARAMETER_OF_STATUSBAR_OUTPUT</t>
  </si>
  <si>
    <t>DT_SAPSYSTEM</t>
  </si>
  <si>
    <t>Test Notification</t>
  </si>
  <si>
    <t>DT_IW21_7328_MALFUNCT_START</t>
  </si>
  <si>
    <t>DT_IW21_7324_BUILDING</t>
  </si>
  <si>
    <t>Natural Distortion</t>
  </si>
  <si>
    <t>DT_IW21_7326_MAIN_WORKCTR_OCC1</t>
  </si>
  <si>
    <t>DT_IW21_0100_OKCD</t>
  </si>
  <si>
    <t>DT_IW21_7328_CHECK_TEXT_OF_MALFUNCTEND</t>
  </si>
  <si>
    <t>GS000010</t>
  </si>
  <si>
    <t>DT_SAPLANGUAGE</t>
  </si>
  <si>
    <t>DT_SAPOPTIONS</t>
  </si>
  <si>
    <t>DT_IW21_7326_VIQMELIWERK</t>
  </si>
  <si>
    <t>DT_IW21_7326_MAIN_WORKCTR</t>
  </si>
  <si>
    <t>DT_IW21_7326_NOTIFDATE_OCC1</t>
  </si>
  <si>
    <t>DT_IW21_7326_PLANNER_GROUP_OCC1</t>
  </si>
  <si>
    <t>DT_IW21_7324_DEFECT_TYPE_OCC1</t>
  </si>
  <si>
    <t>DT_IW21_7324_CHECK_TEXT_OF_DEFECT_TYPE_OCC1</t>
  </si>
  <si>
    <t>IW23</t>
  </si>
  <si>
    <t>DT_IW21_7326_CHECK_TEXT_OF_NOTIFDATE</t>
  </si>
  <si>
    <t>DT_IW21_7326_CHECK_TEXT_OF_NOTIFDATE_OCC1</t>
  </si>
  <si>
    <t>300047636</t>
  </si>
  <si>
    <t>A001</t>
  </si>
  <si>
    <t>DT_IW21_7000_CHECK_TEXT_OF_COST_CENTER</t>
  </si>
  <si>
    <t>DT_IW21_7326_REPORTED_BY</t>
  </si>
  <si>
    <t>4</t>
  </si>
  <si>
    <t>DT_IW21_1050_CHECK_TEXT_OF_NOTIFICATION</t>
  </si>
  <si>
    <t>DT_IW21_7200_LOCATION_DATA</t>
  </si>
  <si>
    <t>z1</t>
  </si>
  <si>
    <t>This is a test subject</t>
  </si>
  <si>
    <t>DT_IW21_7324_VIQMFEFECOD</t>
  </si>
  <si>
    <t>DT_IW21_7324_CAUSE_TEXT</t>
  </si>
  <si>
    <t>DT_IW21_7326_CHECK_TEXT_OF_MAIN_WORKCTR</t>
  </si>
  <si>
    <t>DT_IW21_7328_CHECK_TEXT_OF_MALFUNCTEND_OCC1</t>
  </si>
  <si>
    <t>DT_IW21_7324_CHECK_TEXT_OF_OBJECT_PART_OCC3</t>
  </si>
  <si>
    <t>D</t>
  </si>
  <si>
    <t>Row_Number</t>
  </si>
  <si>
    <t>04.01.05.01.01 Request for Equipment Repair - Create _ Change</t>
  </si>
  <si>
    <t>DT_IW21_7324_TEXT</t>
  </si>
  <si>
    <t>COMMENTS</t>
  </si>
  <si>
    <t>Performance</t>
  </si>
  <si>
    <t>DT_IW21_7324_CHECK_TEXT_OF_CAUSE_CODE_OCC1</t>
  </si>
  <si>
    <t>DT_IW21_7710_DESCRIPTION_OCC1</t>
  </si>
  <si>
    <t>DT_IW21_7326_CHECK_TEXT_OF_RIWO00SWERK</t>
  </si>
  <si>
    <t>DT_IW21_7200_OKCD</t>
  </si>
  <si>
    <t>EN</t>
  </si>
  <si>
    <t>gz02main</t>
  </si>
  <si>
    <t>DT_IW21_7710_DESCRIPTION</t>
  </si>
  <si>
    <t>Description</t>
  </si>
  <si>
    <t>1</t>
  </si>
  <si>
    <t>DT_IW21_7324_CAUSE_CODE</t>
  </si>
  <si>
    <t>DT_IW21_7324_PERFORMANCE</t>
  </si>
  <si>
    <t>DT_IW21_7326_PLANNER_GROUP_OCC2</t>
  </si>
  <si>
    <t>DT_IW21_7324_BUILDING_OCC1</t>
  </si>
  <si>
    <t>DT_IW21_7324_CHECK_TEXT_OF_DEFECT_TYPE_OCC2</t>
  </si>
  <si>
    <t>ZGRPME</t>
  </si>
  <si>
    <t>DT_IW21_7324_MISUSE</t>
  </si>
  <si>
    <t>DT_IW21_7324_DEFECT_TYPE_OCC2</t>
  </si>
  <si>
    <t>DT_IW21_0100_CHECK_MESSAGEPARAMETER_OF_STATUSBAR</t>
  </si>
  <si>
    <t>DT_IW21_7326_CHECK_TEXT_OF_VIQMELIWERK</t>
  </si>
  <si>
    <t>DT_IW21_7328_CHECK_TEXT_OF_MALFUNCT_START_OCC1</t>
  </si>
  <si>
    <t>DT_IW21_7326_PLANNER_GROUP</t>
  </si>
  <si>
    <t>gto</t>
  </si>
  <si>
    <t>DT_IW21_7324_OBJECT_PART</t>
  </si>
  <si>
    <t>gsv</t>
  </si>
  <si>
    <t>Building</t>
  </si>
  <si>
    <t>DT_IW21_1050_CHECK_TEXT_OF_NOTIFICATION_OCC1</t>
  </si>
  <si>
    <t>DT_IW21_7326_CHECK_TEXT_OF_PLANNER_GROUP</t>
  </si>
  <si>
    <t>DT_IW21_7326_CHECK_TEXT_OF_REPORTED_BY</t>
  </si>
  <si>
    <t>R1E - SAP RETAIL Pre-Production EUROPE</t>
  </si>
  <si>
    <t>DT_SAPPASSWORD</t>
  </si>
  <si>
    <t>57618eeda72888bbe80d0545</t>
  </si>
  <si>
    <t>DT_IW21_7324_DEFECT_TYPE</t>
  </si>
  <si>
    <t>DT_IW21_0100_CHECK_TEXT_OF_STATUSBAR</t>
  </si>
  <si>
    <t>DT_IW21_7710_CHECK_TEXT_OF_DESCRIPTION</t>
  </si>
  <si>
    <t>DT_IW21_7324_CHECK_TEXT_OF_CAUSE_CODE_OCC2</t>
  </si>
  <si>
    <t>Checks</t>
  </si>
  <si>
    <t>Output Value</t>
  </si>
  <si>
    <t>DT_SAPUSER</t>
  </si>
  <si>
    <t>IW21</t>
  </si>
  <si>
    <t>DT_IW21_7710_TABLECELL__0</t>
  </si>
  <si>
    <t>2</t>
  </si>
  <si>
    <t>300022516</t>
  </si>
  <si>
    <t>GZ02MAIN</t>
  </si>
  <si>
    <t>DT_IW21_7324_CHECK_TEXT_OF_DEFECT_TYPE_OCC3</t>
  </si>
  <si>
    <t>DT_SAPCLIENT</t>
  </si>
  <si>
    <t>DT_IW21_7000_CHECK_TEXT_OF_MAINTSITE</t>
  </si>
  <si>
    <t>200100445912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</si>
</sst>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21" fontId="1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5" fontId="1" fillId="2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Font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4.01.05.01.01%20Request%20for%20Equipment%20Repair%20-%20Create%20_%20Chang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I10"/>
  <sheetViews>
    <sheetView topLeftCell="BK1" workbookViewId="0">
      <selection activeCell="BK2" sqref="BK2"/>
    </sheetView>
  </sheetViews>
  <sheetFormatPr defaultColWidth="9.125" defaultRowHeight="14.25"/>
  <cols>
    <col min="1" max="1" width="13.25" style="11" customWidth="1"/>
    <col min="2" max="2" width="57.75" style="11" customWidth="1"/>
    <col min="3" max="3" width="44.625" style="11" customWidth="1"/>
    <col min="4" max="4" width="15" style="11" customWidth="1"/>
    <col min="5" max="5" width="13.625" style="11" customWidth="1"/>
    <col min="6" max="6" width="29" style="11" customWidth="1"/>
    <col min="7" max="7" width="18.625" style="11" customWidth="1"/>
    <col min="8" max="8" width="16.75" style="11" customWidth="1"/>
    <col min="9" max="9" width="27.125" style="11" customWidth="1"/>
    <col min="10" max="10" width="34" style="11" customWidth="1"/>
    <col min="11" max="11" width="28.125" style="11" customWidth="1"/>
    <col min="12" max="12" width="31.375" style="11" customWidth="1"/>
    <col min="13" max="13" width="31.5" style="11" customWidth="1"/>
    <col min="14" max="14" width="27.875" style="11" customWidth="1"/>
    <col min="15" max="15" width="30.25" style="11" customWidth="1"/>
    <col min="16" max="16" width="28.625" style="11" customWidth="1"/>
    <col min="17" max="17" width="28.875" style="11" customWidth="1"/>
    <col min="18" max="18" width="25.625" style="11" customWidth="1"/>
    <col min="19" max="19" width="31.5" style="11" customWidth="1"/>
    <col min="20" max="20" width="27.625" style="11" customWidth="1"/>
    <col min="21" max="22" width="28.375" style="11" customWidth="1"/>
    <col min="23" max="23" width="27.25" style="11" customWidth="1"/>
    <col min="24" max="24" width="28.375" style="11" customWidth="1"/>
    <col min="25" max="25" width="28.25" style="11" customWidth="1"/>
    <col min="26" max="26" width="19.75" style="11" customWidth="1"/>
    <col min="27" max="27" width="27.5" style="11" customWidth="1"/>
    <col min="28" max="28" width="29" style="11" customWidth="1"/>
    <col min="29" max="29" width="27.125" style="11" customWidth="1"/>
    <col min="30" max="30" width="32.375" style="11" customWidth="1"/>
    <col min="31" max="31" width="38.25" style="11" customWidth="1"/>
    <col min="32" max="32" width="29" style="11" customWidth="1"/>
    <col min="33" max="33" width="34.875" style="11" customWidth="1"/>
    <col min="34" max="34" width="23.625" style="11" customWidth="1"/>
    <col min="35" max="35" width="29.25" style="11" customWidth="1"/>
    <col min="36" max="36" width="36.375" style="11" customWidth="1"/>
    <col min="37" max="37" width="37.375" style="11" customWidth="1"/>
    <col min="38" max="38" width="24.625" style="11" customWidth="1"/>
    <col min="39" max="39" width="34.25" style="11" customWidth="1"/>
    <col min="40" max="40" width="30.5" style="11" customWidth="1"/>
    <col min="41" max="41" width="22" style="11" customWidth="1"/>
    <col min="42" max="43" width="45" style="11" customWidth="1"/>
    <col min="44" max="44" width="44.125" style="11" customWidth="1"/>
    <col min="45" max="45" width="37.375" style="11" customWidth="1"/>
    <col min="46" max="46" width="29.5" style="11" customWidth="1"/>
    <col min="47" max="47" width="34.25" style="11" customWidth="1"/>
    <col min="48" max="48" width="27" style="11" customWidth="1"/>
    <col min="49" max="50" width="50.875" style="11" customWidth="1"/>
    <col min="51" max="51" width="50" style="11" customWidth="1"/>
    <col min="52" max="52" width="44.625" style="11" customWidth="1"/>
    <col min="53" max="53" width="26" style="11" customWidth="1"/>
    <col min="54" max="54" width="33.5" style="11" customWidth="1"/>
    <col min="55" max="55" width="36.125" style="11" customWidth="1"/>
    <col min="56" max="56" width="34.5" style="11" customWidth="1"/>
    <col min="57" max="57" width="43" style="11" customWidth="1"/>
    <col min="58" max="58" width="59" style="11" customWidth="1"/>
    <col min="59" max="59" width="20" style="11" customWidth="1"/>
    <col min="60" max="60" width="44.625" style="11" customWidth="1"/>
    <col min="61" max="61" width="50.5" style="11" customWidth="1"/>
    <col min="62" max="62" width="44.25" style="11" customWidth="1"/>
    <col min="63" max="63" width="45" style="11" customWidth="1"/>
    <col min="64" max="64" width="48.125" style="11" customWidth="1"/>
    <col min="65" max="65" width="44.375" style="11" customWidth="1"/>
    <col min="66" max="66" width="46.625" style="11" customWidth="1"/>
    <col min="67" max="67" width="45.25" style="11" customWidth="1"/>
    <col min="68" max="68" width="45.5" style="11" customWidth="1"/>
    <col min="69" max="69" width="42.25" style="11" customWidth="1"/>
    <col min="70" max="70" width="48.125" style="11" customWidth="1"/>
    <col min="71" max="71" width="49" style="11" customWidth="1"/>
    <col min="72" max="72" width="45.625" style="11" customWidth="1"/>
    <col min="73" max="73" width="54.875" style="11" customWidth="1"/>
    <col min="74" max="74" width="51.5" style="11" customWidth="1"/>
    <col min="75" max="76" width="50.875" style="11" customWidth="1"/>
    <col min="77" max="77" width="50" style="11" customWidth="1"/>
    <col min="78" max="79" width="50.875" style="11" customWidth="1"/>
    <col min="80" max="80" width="50" style="11" customWidth="1"/>
    <col min="81" max="81" width="30.375" style="11" customWidth="1"/>
    <col min="82" max="82" width="41.625" style="11" customWidth="1"/>
    <col min="83" max="83" width="43" style="11" customWidth="1"/>
    <col min="84" max="84" width="47" style="11" customWidth="1"/>
    <col min="85" max="85" width="47.125" style="11" customWidth="1"/>
    <col min="86" max="86" width="45.375" style="11" customWidth="1"/>
    <col min="87" max="87" width="20" style="11" customWidth="1"/>
    <col min="88" max="16384" width="9.125" style="11" customWidth="1"/>
  </cols>
  <sheetData>
    <row r="1" ht="12.75" customHeight="1" customFormat="1">
      <c r="A1" t="s">
        <v>85</v>
      </c>
      <c r="B1" t="s">
        <v>28</v>
      </c>
      <c r="C1" t="s">
        <v>50</v>
      </c>
      <c r="D1" t="s">
        <v>134</v>
      </c>
      <c r="E1" t="s">
        <v>127</v>
      </c>
      <c r="F1" t="s">
        <v>119</v>
      </c>
      <c r="G1" t="s">
        <v>59</v>
      </c>
      <c r="H1" t="s">
        <v>60</v>
      </c>
      <c r="I1" t="s">
        <v>1</v>
      </c>
      <c r="J1" t="s">
        <v>7</v>
      </c>
      <c r="K1" t="s">
        <v>16</v>
      </c>
      <c r="L1" t="s">
        <v>17</v>
      </c>
      <c r="M1" t="s">
        <v>110</v>
      </c>
      <c r="N1" t="s">
        <v>61</v>
      </c>
      <c r="O1" t="s">
        <v>62</v>
      </c>
      <c r="P1" t="s">
        <v>40</v>
      </c>
      <c r="Q1" t="s">
        <v>73</v>
      </c>
      <c r="R1" t="s">
        <v>31</v>
      </c>
      <c r="S1" t="s">
        <v>63</v>
      </c>
      <c r="T1" t="s">
        <v>96</v>
      </c>
      <c r="U1" t="s">
        <v>129</v>
      </c>
      <c r="V1" t="s">
        <v>112</v>
      </c>
      <c r="W1" t="s">
        <v>41</v>
      </c>
      <c r="X1" t="s">
        <v>121</v>
      </c>
      <c r="Y1" t="s">
        <v>79</v>
      </c>
      <c r="Z1" t="s">
        <v>87</v>
      </c>
      <c r="AA1" t="s">
        <v>99</v>
      </c>
      <c r="AB1" t="s">
        <v>42</v>
      </c>
      <c r="AC1" t="s">
        <v>80</v>
      </c>
      <c r="AD1" t="s">
        <v>52</v>
      </c>
      <c r="AE1" t="s">
        <v>18</v>
      </c>
      <c r="AF1" t="s">
        <v>2</v>
      </c>
      <c r="AG1" t="s">
        <v>9</v>
      </c>
      <c r="AH1" t="s">
        <v>53</v>
      </c>
      <c r="AI1" t="s">
        <v>100</v>
      </c>
      <c r="AJ1" t="s">
        <v>43</v>
      </c>
      <c r="AK1" t="s">
        <v>64</v>
      </c>
      <c r="AL1" t="s">
        <v>44</v>
      </c>
      <c r="AM1" t="s">
        <v>65</v>
      </c>
      <c r="AN1" t="s">
        <v>11</v>
      </c>
      <c r="AO1" t="s">
        <v>105</v>
      </c>
      <c r="AP1" t="s">
        <v>19</v>
      </c>
      <c r="AQ1" t="s">
        <v>32</v>
      </c>
      <c r="AR1" t="s">
        <v>33</v>
      </c>
      <c r="AS1" t="s">
        <v>101</v>
      </c>
      <c r="AT1" t="s">
        <v>102</v>
      </c>
      <c r="AU1" t="s">
        <v>106</v>
      </c>
      <c r="AV1" t="s">
        <v>12</v>
      </c>
      <c r="AW1" t="s">
        <v>4</v>
      </c>
      <c r="AX1" t="s">
        <v>66</v>
      </c>
      <c r="AY1" t="s">
        <v>90</v>
      </c>
      <c r="AZ1" t="s">
        <v>22</v>
      </c>
      <c r="BA1" t="s">
        <v>34</v>
      </c>
      <c r="BB1" t="s">
        <v>91</v>
      </c>
      <c r="BC1" t="s">
        <v>55</v>
      </c>
      <c r="BD1" t="s">
        <v>13</v>
      </c>
      <c r="BE1" t="s">
        <v>122</v>
      </c>
      <c r="BF1" t="s">
        <v>107</v>
      </c>
      <c r="BG1" t="s">
        <v>56</v>
      </c>
      <c r="BH1" t="s">
        <v>75</v>
      </c>
      <c r="BI1" t="s">
        <v>115</v>
      </c>
      <c r="BJ1" t="s">
        <v>123</v>
      </c>
      <c r="BK1" t="s">
        <v>24</v>
      </c>
      <c r="BL1" t="s">
        <v>116</v>
      </c>
      <c r="BM1" t="s">
        <v>108</v>
      </c>
      <c r="BN1" t="s">
        <v>81</v>
      </c>
      <c r="BO1" t="s">
        <v>92</v>
      </c>
      <c r="BP1" t="s">
        <v>117</v>
      </c>
      <c r="BQ1" t="s">
        <v>68</v>
      </c>
      <c r="BR1" t="s">
        <v>69</v>
      </c>
      <c r="BS1" t="s">
        <v>35</v>
      </c>
      <c r="BT1" t="s">
        <v>57</v>
      </c>
      <c r="BU1" t="s">
        <v>109</v>
      </c>
      <c r="BV1" t="s">
        <v>82</v>
      </c>
      <c r="BW1" t="s">
        <v>45</v>
      </c>
      <c r="BX1" t="s">
        <v>103</v>
      </c>
      <c r="BY1" t="s">
        <v>124</v>
      </c>
      <c r="BZ1" t="s">
        <v>83</v>
      </c>
      <c r="CA1" t="s">
        <v>133</v>
      </c>
      <c r="CB1" t="s">
        <v>14</v>
      </c>
      <c r="CC1" t="s">
        <v>76</v>
      </c>
      <c r="CD1" t="s">
        <v>135</v>
      </c>
      <c r="CE1" t="s">
        <v>46</v>
      </c>
      <c r="CF1" t="s">
        <v>25</v>
      </c>
      <c r="CG1" t="s">
        <v>26</v>
      </c>
      <c r="CH1" t="s">
        <v>72</v>
      </c>
      <c r="CI1" t="s">
        <v>93</v>
      </c>
    </row>
    <row r="2">
      <c r="A2" s="5">
        <v>2</v>
      </c>
      <c r="B2" s="5" t="s">
        <v>86</v>
      </c>
      <c r="C2" s="4" t="s">
        <v>118</v>
      </c>
      <c r="D2" s="4" t="s">
        <v>38</v>
      </c>
      <c r="E2" s="4" t="s">
        <v>6</v>
      </c>
      <c r="F2" s="4" t="s">
        <v>120</v>
      </c>
      <c r="G2" s="4" t="s">
        <v>94</v>
      </c>
      <c r="H2" s="4" t="s">
        <v>0</v>
      </c>
      <c r="I2" s="7" t="s">
        <v>128</v>
      </c>
      <c r="J2" s="2" t="s">
        <v>77</v>
      </c>
      <c r="K2" s="2" t="s">
        <v>51</v>
      </c>
      <c r="L2" s="2" t="s">
        <v>30</v>
      </c>
      <c r="M2" s="2" t="s">
        <v>111</v>
      </c>
      <c r="N2" s="2" t="s">
        <v>39</v>
      </c>
      <c r="O2" s="2" t="s">
        <v>95</v>
      </c>
      <c r="P2" s="2" t="s">
        <v>8</v>
      </c>
      <c r="Q2" s="2" t="s">
        <v>6</v>
      </c>
      <c r="R2" s="17">
        <f ca="1">TODAY()-1</f>
        <v>45491</v>
      </c>
      <c r="S2" s="6" t="str">
        <f ca="1">TEXT(TIME(HOUR(NOW()),0,0),"hh:mm:ss")</f>
        <v>11:00:00</v>
      </c>
      <c r="T2" s="2" t="s">
        <v>97</v>
      </c>
      <c r="U2" s="2" t="s">
        <v>78</v>
      </c>
      <c r="V2" s="2" t="s">
        <v>104</v>
      </c>
      <c r="W2" s="2" t="s">
        <v>98</v>
      </c>
      <c r="X2" s="2" t="s">
        <v>104</v>
      </c>
      <c r="Y2" s="2" t="s">
        <v>98</v>
      </c>
      <c r="Z2" s="2" t="s">
        <v>88</v>
      </c>
      <c r="AA2" s="2" t="s">
        <v>104</v>
      </c>
      <c r="AB2" s="2" t="s">
        <v>98</v>
      </c>
      <c r="AC2" s="2" t="s">
        <v>88</v>
      </c>
      <c r="AD2" s="13">
        <f ca="1">TODAY()-2</f>
        <v>45490</v>
      </c>
      <c r="AE2" s="6" t="str">
        <f ca="1">TEXT(TIME(HOUR(NOW()),0,0),"hh:mm:ss")</f>
        <v>11:00:00</v>
      </c>
      <c r="AF2" s="13">
        <f ca="1">TODAY()-1</f>
        <v>45491</v>
      </c>
      <c r="AG2" s="6" t="str">
        <f ca="1">TEXT(TIME(HOUR(NOW()),0,0),"hh:mm:ss")</f>
        <v>11:00:00</v>
      </c>
      <c r="AH2" s="2" t="s">
        <v>130</v>
      </c>
      <c r="AI2" s="2" t="s">
        <v>130</v>
      </c>
      <c r="AJ2" s="2" t="s">
        <v>130</v>
      </c>
      <c r="AK2" s="2" t="s">
        <v>113</v>
      </c>
      <c r="AL2" s="2" t="s">
        <v>98</v>
      </c>
      <c r="AM2" s="2" t="s">
        <v>10</v>
      </c>
      <c r="AN2" s="2" t="s">
        <v>130</v>
      </c>
      <c r="AO2" s="2" t="s">
        <v>98</v>
      </c>
      <c r="AP2" s="2" t="s">
        <v>114</v>
      </c>
      <c r="AQ2" s="2" t="s">
        <v>3</v>
      </c>
      <c r="AR2" s="2" t="s">
        <v>54</v>
      </c>
      <c r="AS2" s="2" t="s">
        <v>20</v>
      </c>
      <c r="AT2" s="2" t="s">
        <v>74</v>
      </c>
      <c r="AU2" s="2" t="s">
        <v>104</v>
      </c>
      <c r="AV2" s="2" t="s">
        <v>98</v>
      </c>
      <c r="AW2" s="2" t="s">
        <v>21</v>
      </c>
      <c r="AX2" s="2" t="s">
        <v>89</v>
      </c>
      <c r="AY2" s="2" t="s">
        <v>54</v>
      </c>
      <c r="AZ2" s="2" t="s">
        <v>23</v>
      </c>
      <c r="BA2" s="2" t="s">
        <v>131</v>
      </c>
      <c r="BB2" s="2" t="s">
        <v>97</v>
      </c>
      <c r="BC2" s="2" t="s">
        <v>95</v>
      </c>
      <c r="BD2" s="2" t="s">
        <v>8</v>
      </c>
      <c r="BE2" s="12" t="e">
        <f>CONCATENATE("Notification ",BF2," saved")</f>
        <v>#REF!</v>
      </c>
      <c r="BF2" s="10" t="e">
        <f>[1]Output!C2</f>
        <v>#REF!</v>
      </c>
      <c r="BG2" s="7" t="s">
        <v>67</v>
      </c>
      <c r="BH2" s="3" t="e">
        <f>BF2</f>
        <v>#REF!</v>
      </c>
      <c r="BI2" s="3" t="s">
        <v>97</v>
      </c>
      <c r="BJ2" s="3" t="s">
        <v>97</v>
      </c>
      <c r="BK2" s="3" t="s">
        <v>78</v>
      </c>
      <c r="BL2" s="3" t="s">
        <v>20</v>
      </c>
      <c r="BM2" s="3" t="s">
        <v>39</v>
      </c>
      <c r="BN2" s="3" t="s">
        <v>132</v>
      </c>
      <c r="BO2" s="3" t="s">
        <v>39</v>
      </c>
      <c r="BP2" s="3" t="s">
        <v>6</v>
      </c>
      <c r="BQ2" s="8">
        <f ca="1" t="shared" si="0" ref="BQ2:BR2">R2</f>
        <v>45491</v>
      </c>
      <c r="BR2" s="3" t="str">
        <f ca="1" t="shared" si="0"/>
        <v>11:00:00</v>
      </c>
      <c r="BS2" s="8">
        <f ca="1">AD2</f>
        <v>45490</v>
      </c>
      <c r="BT2" s="8">
        <f ca="1">AF2</f>
        <v>45491</v>
      </c>
      <c r="BU2" s="3" t="str">
        <f ca="1">S2</f>
        <v>11:00:00</v>
      </c>
      <c r="BV2" s="3" t="str">
        <f ca="1">S2</f>
        <v>11:00:00</v>
      </c>
      <c r="BW2" s="3" t="s">
        <v>104</v>
      </c>
      <c r="BX2" s="3" t="s">
        <v>104</v>
      </c>
      <c r="BY2" s="3" t="s">
        <v>104</v>
      </c>
      <c r="BZ2" s="3" t="s">
        <v>21</v>
      </c>
      <c r="CA2" s="3" t="s">
        <v>89</v>
      </c>
      <c r="CB2" s="3" t="s">
        <v>54</v>
      </c>
      <c r="CC2" s="3" t="s">
        <v>130</v>
      </c>
      <c r="CD2" s="3" t="s">
        <v>39</v>
      </c>
      <c r="CE2" s="3" t="s">
        <v>70</v>
      </c>
      <c r="CF2" s="3" t="s">
        <v>47</v>
      </c>
      <c r="CG2" s="3" t="s">
        <v>71</v>
      </c>
      <c r="CH2" s="3" t="s">
        <v>27</v>
      </c>
      <c r="CI2" s="9" t="s">
        <v>48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58</v>
      </c>
      <c r="CI3" s="15"/>
    </row>
    <row r="4">
      <c r="A4" s="1"/>
      <c r="B4" s="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5"/>
    </row>
    <row r="5">
      <c r="A5" s="1"/>
      <c r="B5" s="12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5"/>
    </row>
    <row r="6">
      <c r="A6" s="1"/>
      <c r="B6" s="3" t="s">
        <v>125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5"/>
    </row>
    <row r="7">
      <c r="A7" s="1"/>
      <c r="B7" s="16" t="s">
        <v>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5"/>
    </row>
    <row r="8">
      <c r="A8" s="1"/>
      <c r="B8" s="10" t="s">
        <v>126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5"/>
    </row>
    <row r="9">
      <c r="A9" s="1"/>
      <c r="B9" s="2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5"/>
    </row>
    <row r="10">
      <c r="A10" s="1"/>
      <c r="B10" s="14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"/>
  <sheetViews>
    <sheetView tabSelected="1" workbookViewId="0">
      <selection activeCell="A2" sqref="A2"/>
    </sheetView>
  </sheetViews>
  <sheetFormatPr defaultColWidth="9.125" defaultRowHeight="14.25"/>
  <cols>
    <col min="1" max="1" width="9.125" style="11" customWidth="1"/>
    <col min="2" max="2" width="55" style="11" bestFit="1" customWidth="1"/>
    <col min="3" max="3" width="69.125" style="11" bestFit="1" customWidth="1"/>
    <col min="4" max="16384" width="9.125" style="11" customWidth="1"/>
  </cols>
  <sheetData>
    <row r="1" ht="12.75" customHeight="1" customFormat="1">
      <c r="A1" t="s">
        <v>85</v>
      </c>
      <c r="B1" t="s">
        <v>28</v>
      </c>
      <c r="C1" t="s">
        <v>49</v>
      </c>
      <c r="D1" t="s">
        <v>84</v>
      </c>
    </row>
    <row r="2">
      <c r="A2" s="5">
        <v>2</v>
      </c>
      <c r="B2" s="5" t="s">
        <v>86</v>
      </c>
      <c r="C2" s="7" t="s">
        <v>136</v>
      </c>
      <c r="D2" s="9"/>
    </row>
    <row r="3">
      <c r="A3" s="1"/>
      <c r="B3" s="1"/>
      <c r="C3" s="7"/>
      <c r="D3" s="9"/>
    </row>
    <row r="4">
      <c r="A4" s="1"/>
      <c r="B4" s="1"/>
      <c r="C4" s="7"/>
      <c r="D4" s="9"/>
    </row>
    <row r="5">
      <c r="A5" s="1"/>
      <c r="B5" s="1"/>
      <c r="C5" s="7"/>
      <c r="D5" s="9"/>
    </row>
    <row r="6">
      <c r="A6" s="1"/>
      <c r="B6" s="1"/>
      <c r="C6" s="7"/>
      <c r="D6" s="9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