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</sheets>
  <definedNames>
    <definedName name="_xlnm._FilterDatabase" localSheetId="0" hidden="1">#N/A</definedName>
  </definedNames>
  <calcPr calcId="40001"/>
</workbook>
</file>

<file path=xl/sharedStrings.xml><?xml version="1.0" encoding="utf-8"?>
<sst xmlns="http://schemas.openxmlformats.org/spreadsheetml/2006/main" uniqueCount="124">
  <si>
    <t>163_SRM Mass Confirmation (MI-DLL) - 3rd PO MI</t>
  </si>
  <si>
    <t>https://sapportal-pre.delhaize.com/irj/portal/fiori_ad?spnego=disabled#Shell-home</t>
  </si>
  <si>
    <t>ASRMDLL01</t>
  </si>
  <si>
    <t>Welcome@2022</t>
  </si>
  <si>
    <t/>
  </si>
  <si>
    <t>IP129b_ABTechSC_FreeTxtBehalfonAsset_21</t>
  </si>
  <si>
    <t>127_SRM Technical SC Free Texts on Asset above IP Threshold Value (DLL)_P5</t>
  </si>
  <si>
    <t>AT_140</t>
  </si>
  <si>
    <t>ASRMDLL05</t>
  </si>
  <si>
    <t>ASRMDLL12</t>
  </si>
  <si>
    <t>ASRMMI04</t>
  </si>
  <si>
    <t>IP119b_MI_Standard_SC_Catalog_CC_13</t>
  </si>
  <si>
    <t>VIM105_13</t>
  </si>
  <si>
    <t>DT_TO_DATE</t>
  </si>
  <si>
    <t>DT_SAPURL</t>
  </si>
  <si>
    <t>ASRMAB03</t>
  </si>
  <si>
    <t>Scenario</t>
  </si>
  <si>
    <t>PM020 - Asset- equipment from capex catalog item SC - Asset master data check</t>
  </si>
  <si>
    <t>IP129_MITecSC_CatalogBehalfonAsset_64</t>
  </si>
  <si>
    <t>130_SRM</t>
  </si>
  <si>
    <t>Welcome@2023</t>
  </si>
  <si>
    <t>IP122_MI_Catalog_and_Generic_Items_on_5</t>
  </si>
  <si>
    <t>IP121_DLL_Catalog_and_Freetext_on_CC_18</t>
  </si>
  <si>
    <t>IP125_AB_TechSC_TEST_26</t>
  </si>
  <si>
    <t>AT_SRM_163_3rd_5</t>
  </si>
  <si>
    <t>155_SRM SC creation based on template_P2</t>
  </si>
  <si>
    <t>SRM_Testing</t>
  </si>
  <si>
    <t>ASRMDLL06</t>
  </si>
  <si>
    <t>ASRMMI05</t>
  </si>
  <si>
    <t>ASRMMI12</t>
  </si>
  <si>
    <t>ASRMdll05</t>
  </si>
  <si>
    <t>ASRMDLL02</t>
  </si>
  <si>
    <t>IP127_DLL_56</t>
  </si>
  <si>
    <t>IP131_MI_Catalog_and_Generic_Items_CC_65</t>
  </si>
  <si>
    <t>IP140_DLL_SC_29</t>
  </si>
  <si>
    <t>IP165_MI_6</t>
  </si>
  <si>
    <t>IP130_AB_TechSC_CatFreeText_onCC_22</t>
  </si>
  <si>
    <t>125b_SRM Technical SC Free Text on Asset 2 Approvals (AB)</t>
  </si>
  <si>
    <t>AT_127</t>
  </si>
  <si>
    <t>AT_134</t>
  </si>
  <si>
    <t xml:space="preserve">163_SRM Mass Confirmation (MI-DLL) - 1st PO MI </t>
  </si>
  <si>
    <t>ASRMAB04</t>
  </si>
  <si>
    <t>Iovio001</t>
  </si>
  <si>
    <t>Iovio2222</t>
  </si>
  <si>
    <t>DT_SAPOPTIONS</t>
  </si>
  <si>
    <t>DT_APPROVAL_MESSAGE</t>
  </si>
  <si>
    <t>Approved</t>
  </si>
  <si>
    <t>116_SRM Standard SC Limit Item on Cost Center (all opcos)</t>
  </si>
  <si>
    <t>116_SRM Standard SC Limit Item on Cost Center (all opcos)_MI</t>
  </si>
  <si>
    <t>166_SRM Technical SC Catalog Free Text on CostCenter Inquire (DLL)</t>
  </si>
  <si>
    <t>131_SRM Technical SC Catalog Item and Generic Item on Cost Center (MI)</t>
  </si>
  <si>
    <t>119b_SRM Standard SC Catalog CostCenter</t>
  </si>
  <si>
    <t>124_SRM_MI</t>
  </si>
  <si>
    <t>Iovio2019</t>
  </si>
  <si>
    <t>IP116_DLL_Standard_SC_Limit_ItemonCC_171</t>
  </si>
  <si>
    <t>PM023_148</t>
  </si>
  <si>
    <t>IP123_DLL_Std_SC_FreeText_on_Order_44</t>
  </si>
  <si>
    <t>IP129b_ABTechSC_FreeTxtBehalfonAsset_8</t>
  </si>
  <si>
    <t>DT_CREATED_ON</t>
  </si>
  <si>
    <t>Awaiting Approval</t>
  </si>
  <si>
    <t>116_SRM Standard SC Limit Item on Cost Center (all opcos)_AB</t>
  </si>
  <si>
    <t>129_SRM_MI</t>
  </si>
  <si>
    <t>DT_SC_NAME</t>
  </si>
  <si>
    <t>Test_136_1</t>
  </si>
  <si>
    <t>IP144_DLL_SC_FreeText_Appr.Note_24</t>
  </si>
  <si>
    <t>Row_Number</t>
  </si>
  <si>
    <t>122_SRM Standard SC Catalog Item and Generic Item on Cost Center (MI)</t>
  </si>
  <si>
    <t>165_SRM Technical SC Catalog on CostCenter Rejection</t>
  </si>
  <si>
    <t>123_SRM Standard SC Free Text on order (DLL)</t>
  </si>
  <si>
    <t>ASRMMI02</t>
  </si>
  <si>
    <t>IP125_DLL_TSC_Cat_onAsset_2Appr_4</t>
  </si>
  <si>
    <t>AT_SRM_163_2nd_5</t>
  </si>
  <si>
    <t>IP129_DLLTecSC_VIM_69_9</t>
  </si>
  <si>
    <t>120_SRM Standard SC Free Text on Real Capex WBS (DLL)</t>
  </si>
  <si>
    <t>129b_SRM Technical SC Free Texts on behalf on Asset 3</t>
  </si>
  <si>
    <t>ASRMAB12</t>
  </si>
  <si>
    <t>Template_Creation_5</t>
  </si>
  <si>
    <t>IP126_AB_TechSC_TEST_16</t>
  </si>
  <si>
    <t>IP165_DLL_26</t>
  </si>
  <si>
    <t>Action was successfully performed</t>
  </si>
  <si>
    <t>DT_INCREMENT</t>
  </si>
  <si>
    <t>163_SRM Mass Confirmation (MI-DLL) - 2nd PO MI</t>
  </si>
  <si>
    <t>AT_130_AB</t>
  </si>
  <si>
    <t>ASRMAB05</t>
  </si>
  <si>
    <t>Iovio002</t>
  </si>
  <si>
    <t>IP116_DLL_Standard_SC_Limit_ItemonCC_12</t>
  </si>
  <si>
    <t>IP149_DLL_SC_40</t>
  </si>
  <si>
    <t>IP166_DLL_34</t>
  </si>
  <si>
    <t>149_SRM Standard SC Free Text Check Budget after Completion (DLL)</t>
  </si>
  <si>
    <t>Welcome@2021</t>
  </si>
  <si>
    <t>IP129_MITecSC_CatalogBehalfonAsset2_96</t>
  </si>
  <si>
    <t>IP149_DLL_SC_33</t>
  </si>
  <si>
    <t>DT_CHECK_MESSAGE</t>
  </si>
  <si>
    <t>127_SRM Technical SC Free Texts on Asset above IP Threshold Value (DLL)_P4</t>
  </si>
  <si>
    <t>165_SRM Technical SC Catalog on CostCenter Rejection MI</t>
  </si>
  <si>
    <t>ASRMMI03</t>
  </si>
  <si>
    <t>ASRMDLL04</t>
  </si>
  <si>
    <t>DT_SAPPASSWORD</t>
  </si>
  <si>
    <t>AT_SRM_163_1st_3</t>
  </si>
  <si>
    <t>IP130_DLL_TechSC_CatFreeText_onCC_38</t>
  </si>
  <si>
    <t>IP130_DLL_TechSC_CatFreeText_onCC_49</t>
  </si>
  <si>
    <t>126b_SRM Technical SC Free Text on Asset 3 Approvals (AB)</t>
  </si>
  <si>
    <t>DT_SAPUSER</t>
  </si>
  <si>
    <t>ASRMAB02</t>
  </si>
  <si>
    <t>Iovio2020</t>
  </si>
  <si>
    <t>IP116_AB_Standard_SC_Limit_ItemonCC_15</t>
  </si>
  <si>
    <t>IP165_DLL_34</t>
  </si>
  <si>
    <t>IP120_DLL_Stndrd_SC_Cat_Real_Capex_145</t>
  </si>
  <si>
    <t>IP129_DLLTecSC_VIM_69_20</t>
  </si>
  <si>
    <t>IP119b_DLL_Standard_SC_Catalog_CC_57</t>
  </si>
  <si>
    <t>IP130_AB_TechSC_CatFreeText_onCC_28</t>
  </si>
  <si>
    <t>Budget of UPL SM WAASLAND - Fish Equipment: Initial 0,00 | Consumed 0,00 | Remaining 0,00</t>
  </si>
  <si>
    <t>DT_SC_NUMBER</t>
  </si>
  <si>
    <t>1001879922</t>
  </si>
  <si>
    <t xml:space="preserve">129_SRM Technical SC Catalog Items on behalf on Asset 3 </t>
  </si>
  <si>
    <t xml:space="preserve"> 121_SRM Standard SC Catalog Item and Free text on Cost Center (DLL-AB)           </t>
  </si>
  <si>
    <t>125_SRM Technical SC Catalog Items on Asset 2 Approvals (DLL-MI)</t>
  </si>
  <si>
    <t>ASRMAB06</t>
  </si>
  <si>
    <t>Iovio1111</t>
  </si>
  <si>
    <t>IP128_MI_TechSC_Generic_Sub-Asset_IP_29</t>
  </si>
  <si>
    <t>IP129b_ABTechSC_FreeTxtBehalfonAsset_6</t>
  </si>
  <si>
    <t>ASRMMI05 23.11.2016 00:18</t>
  </si>
  <si>
    <t>124_MI_TechSC_Asset_ReqAppr_only 41</t>
  </si>
  <si>
    <t>IP123_DLL_Std_SC_FreeText_on_Order_17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</si>
</sst>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12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u/>
      <sz val="11"/>
      <color indexed="3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4" fillId="0" borderId="1" xfId="0" applyFont="1" applyFill="1" applyBorder="1" applyProtection="1">
      <protection locked="0"/>
    </xf>
    <xf numFmtId="49" fontId="5" fillId="3" borderId="1" xfId="1" applyNumberFormat="1" applyFill="1" applyBorder="1" applyProtection="1">
      <protection locked="0"/>
    </xf>
    <xf numFmtId="164" fontId="2" fillId="0" borderId="1" xfId="0" applyNumberFormat="1" applyBorder="1" applyProtection="1">
      <protection locked="0"/>
    </xf>
    <xf numFmtId="49" fontId="6" fillId="5" borderId="1" xfId="0" applyNumberFormat="1" applyFont="1" applyFill="1" applyBorder="1" applyProtection="1">
      <protection locked="0"/>
    </xf>
    <xf numFmtId="0" fontId="2" fillId="0" borderId="0" xfId="0" applyBorder="1" applyProtection="1">
      <protection locked="0"/>
    </xf>
    <xf numFmtId="165" fontId="2" fillId="0" borderId="1" xfId="0" applyNumberFormat="1" applyBorder="1" applyProtection="1"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49" fontId="7" fillId="3" borderId="1" xfId="0" applyNumberFormat="1" applyFont="1" applyFill="1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2" fillId="4" borderId="1" xfId="0" applyFill="1" applyBorder="1" applyProtection="1">
      <protection locked="0"/>
    </xf>
    <xf numFmtId="0" fontId="2" fillId="0" borderId="2" xfId="0" applyBorder="1" applyProtection="1">
      <protection locked="0"/>
    </xf>
    <xf numFmtId="0" fontId="8" fillId="2" borderId="1" xfId="0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3" TargetMode="External" /><Relationship Id="rId2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6"/>
  <sheetViews>
    <sheetView topLeftCell="H1" workbookViewId="0">
      <selection activeCell="H2" sqref="H2"/>
    </sheetView>
  </sheetViews>
  <sheetFormatPr defaultColWidth="9.125" defaultRowHeight="14.25"/>
  <cols>
    <col min="1" max="1" width="13.25" style="10" customWidth="1"/>
    <col min="2" max="2" width="69.5" style="10" customWidth="1"/>
    <col min="3" max="3" width="49.875" style="10" customWidth="1"/>
    <col min="4" max="4" width="13.625" style="10" customWidth="1"/>
    <col min="5" max="5" width="19.25" style="10" customWidth="1"/>
    <col min="6" max="6" width="16.75" style="10" customWidth="1"/>
    <col min="7" max="7" width="40.5" style="10" customWidth="1"/>
    <col min="8" max="8" width="17.375" style="10" customWidth="1"/>
    <col min="9" max="9" width="13" style="10" customWidth="1"/>
    <col min="10" max="10" width="30.125" style="10" customWidth="1"/>
    <col min="11" max="11" width="30.125" style="15" customWidth="1"/>
    <col min="12" max="12" width="24.5" style="15" customWidth="1"/>
    <col min="13" max="16384" width="9.125" style="10" customWidth="1"/>
  </cols>
  <sheetData>
    <row r="1" ht="12.75" customHeight="1" customFormat="1">
      <c r="A1" t="s">
        <v>65</v>
      </c>
      <c r="B1" t="s">
        <v>16</v>
      </c>
      <c r="C1" t="s">
        <v>14</v>
      </c>
      <c r="D1" t="s">
        <v>102</v>
      </c>
      <c r="E1" t="s">
        <v>97</v>
      </c>
      <c r="F1" t="s">
        <v>44</v>
      </c>
      <c r="G1" t="s">
        <v>62</v>
      </c>
      <c r="H1" t="s">
        <v>58</v>
      </c>
      <c r="I1" t="s">
        <v>13</v>
      </c>
      <c r="J1" t="s">
        <v>45</v>
      </c>
      <c r="K1" t="s">
        <v>92</v>
      </c>
      <c r="L1" t="s">
        <v>112</v>
      </c>
      <c r="M1" t="s">
        <v>80</v>
      </c>
    </row>
    <row r="2" s="10" customFormat="1">
      <c r="A2" s="4">
        <v>1</v>
      </c>
      <c r="B2" s="4" t="s">
        <v>47</v>
      </c>
      <c r="C2" s="3" t="s">
        <v>1</v>
      </c>
      <c r="D2" s="3" t="s">
        <v>27</v>
      </c>
      <c r="E2" s="7" t="s">
        <v>20</v>
      </c>
      <c r="F2" s="3" t="s">
        <v>4</v>
      </c>
      <c r="G2" s="2" t="s">
        <v>54</v>
      </c>
      <c r="H2" s="1" t="str">
        <f ca="1" t="shared" si="0" ref="H2:H15">TEXT(TODAY(),"dd.mm.") &amp; YEAR(TODAY())</f>
        <v>26.07.2024</v>
      </c>
      <c r="I2" s="8">
        <f ca="1" t="shared" si="1" ref="I2:I68">TODAY()+90</f>
        <v>45589</v>
      </c>
      <c r="J2" s="9" t="s">
        <v>59</v>
      </c>
      <c r="K2" s="9" t="s">
        <v>79</v>
      </c>
      <c r="L2" s="2" t="s">
        <v>113</v>
      </c>
      <c r="M2" s="17">
        <v>1</v>
      </c>
    </row>
    <row r="3" s="10" customFormat="1">
      <c r="A3" s="4">
        <v>2</v>
      </c>
      <c r="B3" s="4" t="s">
        <v>60</v>
      </c>
      <c r="C3" s="3" t="s">
        <v>1</v>
      </c>
      <c r="D3" s="3" t="s">
        <v>15</v>
      </c>
      <c r="E3" s="3" t="s">
        <v>84</v>
      </c>
      <c r="F3" s="3" t="s">
        <v>4</v>
      </c>
      <c r="G3" s="2" t="s">
        <v>105</v>
      </c>
      <c r="H3" s="1" t="str">
        <f ca="1" t="shared" si="0"/>
        <v>26.07.2024</v>
      </c>
      <c r="I3" s="11">
        <f ca="1" t="shared" si="1"/>
        <v>45589</v>
      </c>
      <c r="J3" s="9" t="s">
        <v>59</v>
      </c>
      <c r="K3" s="9" t="s">
        <v>79</v>
      </c>
      <c r="L3" s="6"/>
      <c r="M3" s="17"/>
    </row>
    <row r="4" s="10" customFormat="1">
      <c r="A4" s="4">
        <v>3</v>
      </c>
      <c r="B4" s="4" t="s">
        <v>48</v>
      </c>
      <c r="C4" s="3" t="s">
        <v>1</v>
      </c>
      <c r="D4" s="3" t="s">
        <v>95</v>
      </c>
      <c r="E4" s="3" t="s">
        <v>42</v>
      </c>
      <c r="F4" s="3" t="s">
        <v>4</v>
      </c>
      <c r="G4" s="2" t="s">
        <v>85</v>
      </c>
      <c r="H4" s="1" t="str">
        <f ca="1" t="shared" si="0"/>
        <v>26.07.2024</v>
      </c>
      <c r="I4" s="11">
        <f ca="1" t="shared" si="1"/>
        <v>45589</v>
      </c>
      <c r="J4" s="9" t="s">
        <v>59</v>
      </c>
      <c r="K4" s="9" t="s">
        <v>79</v>
      </c>
      <c r="L4" s="6"/>
      <c r="M4" s="17"/>
    </row>
    <row r="5" s="10" customFormat="1">
      <c r="A5" s="4">
        <v>4</v>
      </c>
      <c r="B5" s="4" t="s">
        <v>93</v>
      </c>
      <c r="C5" s="3" t="s">
        <v>1</v>
      </c>
      <c r="D5" s="3" t="s">
        <v>8</v>
      </c>
      <c r="E5" s="3" t="s">
        <v>42</v>
      </c>
      <c r="F5" s="3" t="s">
        <v>4</v>
      </c>
      <c r="G5" s="2" t="s">
        <v>32</v>
      </c>
      <c r="H5" s="1" t="str">
        <f ca="1" t="shared" si="0"/>
        <v>26.07.2024</v>
      </c>
      <c r="I5" s="11">
        <f ca="1" t="shared" si="1"/>
        <v>45589</v>
      </c>
      <c r="J5" s="9" t="s">
        <v>59</v>
      </c>
      <c r="K5" s="9" t="s">
        <v>79</v>
      </c>
      <c r="L5" s="6"/>
      <c r="M5" s="17"/>
    </row>
    <row r="6" s="10" customFormat="1">
      <c r="A6" s="4">
        <v>5</v>
      </c>
      <c r="B6" s="4" t="s">
        <v>6</v>
      </c>
      <c r="C6" s="3" t="s">
        <v>1</v>
      </c>
      <c r="D6" s="3" t="s">
        <v>9</v>
      </c>
      <c r="E6" s="3" t="s">
        <v>84</v>
      </c>
      <c r="F6" s="3" t="s">
        <v>4</v>
      </c>
      <c r="G6" s="2" t="s">
        <v>32</v>
      </c>
      <c r="H6" s="1" t="str">
        <f ca="1" t="shared" si="0"/>
        <v>26.07.2024</v>
      </c>
      <c r="I6" s="11">
        <f ca="1" t="shared" si="1"/>
        <v>45589</v>
      </c>
      <c r="J6" s="9" t="s">
        <v>59</v>
      </c>
      <c r="K6" s="9" t="s">
        <v>79</v>
      </c>
      <c r="L6" s="6"/>
      <c r="M6" s="17"/>
    </row>
    <row r="7" s="10" customFormat="1">
      <c r="A7" s="4">
        <v>6</v>
      </c>
      <c r="B7" s="4" t="s">
        <v>66</v>
      </c>
      <c r="C7" s="3" t="s">
        <v>1</v>
      </c>
      <c r="D7" s="3" t="s">
        <v>69</v>
      </c>
      <c r="E7" s="3" t="s">
        <v>84</v>
      </c>
      <c r="F7" s="3" t="s">
        <v>4</v>
      </c>
      <c r="G7" s="2" t="s">
        <v>21</v>
      </c>
      <c r="H7" s="1" t="str">
        <f ca="1" t="shared" si="0"/>
        <v>26.07.2024</v>
      </c>
      <c r="I7" s="11">
        <f ca="1" t="shared" si="1"/>
        <v>45589</v>
      </c>
      <c r="J7" s="9" t="s">
        <v>59</v>
      </c>
      <c r="K7" s="9" t="s">
        <v>79</v>
      </c>
      <c r="L7" s="6"/>
      <c r="M7" s="17"/>
    </row>
    <row r="8" s="10" customFormat="1">
      <c r="A8" s="4">
        <v>7</v>
      </c>
      <c r="B8" s="4" t="s">
        <v>67</v>
      </c>
      <c r="C8" s="3" t="s">
        <v>1</v>
      </c>
      <c r="D8" s="3" t="s">
        <v>8</v>
      </c>
      <c r="E8" s="3" t="s">
        <v>43</v>
      </c>
      <c r="F8" s="3" t="s">
        <v>4</v>
      </c>
      <c r="G8" s="2" t="s">
        <v>106</v>
      </c>
      <c r="H8" s="1" t="str">
        <f ca="1" t="shared" si="0"/>
        <v>26.07.2024</v>
      </c>
      <c r="I8" s="11">
        <f ca="1" t="shared" si="1"/>
        <v>45589</v>
      </c>
      <c r="J8" s="9" t="s">
        <v>59</v>
      </c>
      <c r="K8" s="9" t="s">
        <v>79</v>
      </c>
      <c r="L8" s="6"/>
      <c r="M8" s="17"/>
    </row>
    <row r="9" s="10" customFormat="1">
      <c r="A9" s="4">
        <v>8</v>
      </c>
      <c r="B9" s="4" t="s">
        <v>67</v>
      </c>
      <c r="C9" s="3" t="s">
        <v>1</v>
      </c>
      <c r="D9" s="3" t="s">
        <v>8</v>
      </c>
      <c r="E9" s="3" t="s">
        <v>43</v>
      </c>
      <c r="F9" s="3" t="s">
        <v>4</v>
      </c>
      <c r="G9" s="2" t="s">
        <v>106</v>
      </c>
      <c r="H9" s="1" t="str">
        <f ca="1" t="shared" si="0"/>
        <v>26.07.2024</v>
      </c>
      <c r="I9" s="11">
        <f ca="1" t="shared" si="1"/>
        <v>45589</v>
      </c>
      <c r="J9" s="9" t="s">
        <v>59</v>
      </c>
      <c r="K9" s="9" t="s">
        <v>79</v>
      </c>
      <c r="L9" s="6"/>
      <c r="M9" s="17"/>
    </row>
    <row r="10" s="10" customFormat="1">
      <c r="A10" s="4">
        <v>9</v>
      </c>
      <c r="B10" s="4" t="s">
        <v>67</v>
      </c>
      <c r="C10" s="3" t="s">
        <v>1</v>
      </c>
      <c r="D10" s="3" t="s">
        <v>9</v>
      </c>
      <c r="E10" s="3" t="s">
        <v>43</v>
      </c>
      <c r="F10" s="3" t="s">
        <v>4</v>
      </c>
      <c r="G10" s="2" t="s">
        <v>106</v>
      </c>
      <c r="H10" s="1" t="str">
        <f ca="1" t="shared" si="0"/>
        <v>26.07.2024</v>
      </c>
      <c r="I10" s="11">
        <f ca="1" t="shared" si="1"/>
        <v>45589</v>
      </c>
      <c r="J10" s="9" t="s">
        <v>46</v>
      </c>
      <c r="K10" s="9" t="s">
        <v>79</v>
      </c>
      <c r="L10" s="6"/>
      <c r="M10" s="17"/>
    </row>
    <row r="11" s="10" customFormat="1">
      <c r="A11" s="4">
        <v>10</v>
      </c>
      <c r="B11" s="4" t="s">
        <v>17</v>
      </c>
      <c r="C11" s="3" t="s">
        <v>1</v>
      </c>
      <c r="D11" s="3" t="s">
        <v>69</v>
      </c>
      <c r="E11" s="3" t="s">
        <v>84</v>
      </c>
      <c r="F11" s="3"/>
      <c r="G11" s="2" t="s">
        <v>55</v>
      </c>
      <c r="H11" s="1" t="str">
        <f ca="1" t="shared" si="0"/>
        <v>26.07.2024</v>
      </c>
      <c r="I11" s="11">
        <f ca="1" t="shared" si="1"/>
        <v>45589</v>
      </c>
      <c r="J11" s="9" t="s">
        <v>59</v>
      </c>
      <c r="K11" s="9" t="s">
        <v>79</v>
      </c>
      <c r="L11" s="6"/>
      <c r="M11" s="17"/>
    </row>
    <row r="12" s="10" customFormat="1">
      <c r="A12" s="4">
        <v>11</v>
      </c>
      <c r="B12" s="4" t="s">
        <v>88</v>
      </c>
      <c r="C12" s="3" t="s">
        <v>1</v>
      </c>
      <c r="D12" s="3" t="s">
        <v>2</v>
      </c>
      <c r="E12" s="3" t="s">
        <v>84</v>
      </c>
      <c r="F12" s="3" t="s">
        <v>4</v>
      </c>
      <c r="G12" s="2" t="s">
        <v>86</v>
      </c>
      <c r="H12" s="1" t="str">
        <f ca="1" t="shared" si="0"/>
        <v>26.07.2024</v>
      </c>
      <c r="I12" s="11">
        <f ca="1" t="shared" si="1"/>
        <v>45589</v>
      </c>
      <c r="J12" s="9" t="s">
        <v>59</v>
      </c>
      <c r="K12" s="9" t="s">
        <v>79</v>
      </c>
      <c r="L12" s="6"/>
      <c r="M12" s="17"/>
    </row>
    <row r="13" s="10" customFormat="1">
      <c r="A13" s="4">
        <v>12</v>
      </c>
      <c r="B13" s="4" t="s">
        <v>49</v>
      </c>
      <c r="C13" s="3" t="s">
        <v>1</v>
      </c>
      <c r="D13" s="3" t="s">
        <v>8</v>
      </c>
      <c r="E13" s="3" t="s">
        <v>43</v>
      </c>
      <c r="F13" s="3" t="s">
        <v>4</v>
      </c>
      <c r="G13" s="2" t="s">
        <v>87</v>
      </c>
      <c r="H13" s="1" t="str">
        <f ca="1" t="shared" si="0"/>
        <v>26.07.2024</v>
      </c>
      <c r="I13" s="11">
        <f ca="1" t="shared" si="1"/>
        <v>45589</v>
      </c>
      <c r="J13" s="9" t="s">
        <v>59</v>
      </c>
      <c r="K13" s="9" t="s">
        <v>79</v>
      </c>
      <c r="L13" s="6"/>
      <c r="M13" s="17"/>
    </row>
    <row r="14" s="10" customFormat="1">
      <c r="A14" s="4">
        <v>13</v>
      </c>
      <c r="B14" s="4" t="s">
        <v>49</v>
      </c>
      <c r="C14" s="3" t="s">
        <v>1</v>
      </c>
      <c r="D14" s="3" t="s">
        <v>9</v>
      </c>
      <c r="E14" s="3" t="s">
        <v>43</v>
      </c>
      <c r="F14" s="3" t="s">
        <v>4</v>
      </c>
      <c r="G14" s="2" t="s">
        <v>87</v>
      </c>
      <c r="H14" s="1" t="str">
        <f ca="1" t="shared" si="0"/>
        <v>26.07.2024</v>
      </c>
      <c r="I14" s="11">
        <f ca="1" t="shared" si="1"/>
        <v>45589</v>
      </c>
      <c r="J14" s="9" t="s">
        <v>46</v>
      </c>
      <c r="K14" s="9" t="s">
        <v>79</v>
      </c>
      <c r="L14" s="6"/>
      <c r="M14" s="17"/>
    </row>
    <row r="15" s="10" customFormat="1">
      <c r="A15" s="4">
        <v>14</v>
      </c>
      <c r="B15" s="4" t="s">
        <v>73</v>
      </c>
      <c r="C15" s="3" t="s">
        <v>1</v>
      </c>
      <c r="D15" s="3" t="s">
        <v>27</v>
      </c>
      <c r="E15" s="3" t="s">
        <v>118</v>
      </c>
      <c r="F15" s="3" t="s">
        <v>4</v>
      </c>
      <c r="G15" s="2" t="s">
        <v>107</v>
      </c>
      <c r="H15" s="1" t="str">
        <f ca="1" t="shared" si="0"/>
        <v>26.07.2024</v>
      </c>
      <c r="I15" s="11">
        <f ca="1" t="shared" si="1"/>
        <v>45589</v>
      </c>
      <c r="J15" s="9" t="s">
        <v>59</v>
      </c>
      <c r="K15" s="9" t="s">
        <v>79</v>
      </c>
      <c r="L15" s="6"/>
      <c r="M15" s="17"/>
    </row>
    <row r="16" s="10" customFormat="1">
      <c r="A16" s="4">
        <v>15</v>
      </c>
      <c r="B16" s="4" t="s">
        <v>68</v>
      </c>
      <c r="C16" s="3" t="s">
        <v>1</v>
      </c>
      <c r="D16" s="3" t="s">
        <v>27</v>
      </c>
      <c r="E16" s="13" t="s">
        <v>89</v>
      </c>
      <c r="F16" s="3"/>
      <c r="G16" s="2" t="s">
        <v>56</v>
      </c>
      <c r="H16" s="1" t="str">
        <f ca="1">TEXT(TODAY()-1,"dd.mm.") &amp; YEAR(TODAY())</f>
        <v>25.07.2024</v>
      </c>
      <c r="I16" s="11">
        <f ca="1" t="shared" si="1"/>
        <v>45589</v>
      </c>
      <c r="J16" s="9" t="s">
        <v>59</v>
      </c>
      <c r="K16" s="9" t="s">
        <v>79</v>
      </c>
      <c r="L16" s="6"/>
      <c r="M16" s="17"/>
    </row>
    <row r="17" s="10" customFormat="1">
      <c r="A17" s="4">
        <v>16</v>
      </c>
      <c r="B17" s="4" t="s">
        <v>114</v>
      </c>
      <c r="C17" s="3" t="s">
        <v>1</v>
      </c>
      <c r="D17" s="3" t="s">
        <v>28</v>
      </c>
      <c r="E17" s="3" t="s">
        <v>42</v>
      </c>
      <c r="F17" s="3"/>
      <c r="G17" s="2" t="s">
        <v>18</v>
      </c>
      <c r="H17" s="1" t="str">
        <f ca="1" t="shared" si="2" ref="H17:H68">TEXT(TODAY(),"dd.mm.") &amp; YEAR(TODAY())</f>
        <v>26.07.2024</v>
      </c>
      <c r="I17" s="11">
        <f ca="1" t="shared" si="1"/>
        <v>45589</v>
      </c>
      <c r="J17" s="9" t="s">
        <v>59</v>
      </c>
      <c r="K17" s="9" t="s">
        <v>79</v>
      </c>
      <c r="L17" s="6"/>
      <c r="M17" s="17"/>
    </row>
    <row r="18" s="10" customFormat="1">
      <c r="A18" s="4">
        <v>17</v>
      </c>
      <c r="B18" s="4" t="s">
        <v>50</v>
      </c>
      <c r="C18" s="3" t="s">
        <v>1</v>
      </c>
      <c r="D18" s="3" t="s">
        <v>28</v>
      </c>
      <c r="E18" s="3" t="s">
        <v>104</v>
      </c>
      <c r="F18" s="3"/>
      <c r="G18" s="2" t="s">
        <v>33</v>
      </c>
      <c r="H18" s="1" t="str">
        <f ca="1" t="shared" si="2"/>
        <v>26.07.2024</v>
      </c>
      <c r="I18" s="11">
        <f ca="1" t="shared" si="1"/>
        <v>45589</v>
      </c>
      <c r="J18" s="9" t="s">
        <v>59</v>
      </c>
      <c r="K18" s="9" t="s">
        <v>79</v>
      </c>
      <c r="L18" s="6"/>
      <c r="M18" s="17"/>
    </row>
    <row r="19" s="10" customFormat="1">
      <c r="A19" s="4">
        <v>18</v>
      </c>
      <c r="B19" s="4" t="s">
        <v>50</v>
      </c>
      <c r="C19" s="3" t="s">
        <v>1</v>
      </c>
      <c r="D19" s="3" t="s">
        <v>29</v>
      </c>
      <c r="E19" s="3" t="s">
        <v>104</v>
      </c>
      <c r="F19" s="3"/>
      <c r="G19" s="2" t="s">
        <v>33</v>
      </c>
      <c r="H19" s="1" t="str">
        <f ca="1" t="shared" si="2"/>
        <v>26.07.2024</v>
      </c>
      <c r="I19" s="11">
        <f ca="1" t="shared" si="1"/>
        <v>45589</v>
      </c>
      <c r="J19" s="9" t="s">
        <v>46</v>
      </c>
      <c r="K19" s="9" t="s">
        <v>79</v>
      </c>
      <c r="L19" s="6"/>
      <c r="M19" s="17"/>
    </row>
    <row r="20" s="10" customFormat="1">
      <c r="A20" s="4">
        <v>19</v>
      </c>
      <c r="B20" s="4" t="s">
        <v>50</v>
      </c>
      <c r="C20" s="3" t="s">
        <v>1</v>
      </c>
      <c r="D20" s="3" t="s">
        <v>10</v>
      </c>
      <c r="E20" s="3" t="s">
        <v>84</v>
      </c>
      <c r="F20" s="3"/>
      <c r="G20" s="2" t="s">
        <v>119</v>
      </c>
      <c r="H20" s="1" t="str">
        <f ca="1" t="shared" si="2"/>
        <v>26.07.2024</v>
      </c>
      <c r="I20" s="11">
        <f ca="1" t="shared" si="1"/>
        <v>45589</v>
      </c>
      <c r="J20" s="9" t="s">
        <v>59</v>
      </c>
      <c r="K20" s="9" t="s">
        <v>79</v>
      </c>
      <c r="L20" s="6"/>
      <c r="M20" s="17"/>
    </row>
    <row r="21" s="10" customFormat="1">
      <c r="A21" s="4">
        <v>20</v>
      </c>
      <c r="B21" s="4" t="s">
        <v>51</v>
      </c>
      <c r="C21" s="3" t="s">
        <v>1</v>
      </c>
      <c r="D21" s="3" t="s">
        <v>95</v>
      </c>
      <c r="E21" s="3" t="s">
        <v>42</v>
      </c>
      <c r="F21" s="3"/>
      <c r="G21" s="2" t="s">
        <v>11</v>
      </c>
      <c r="H21" s="1" t="str">
        <f ca="1" t="shared" si="2"/>
        <v>26.07.2024</v>
      </c>
      <c r="I21" s="11">
        <f ca="1" t="shared" si="1"/>
        <v>45589</v>
      </c>
      <c r="J21" s="9" t="s">
        <v>59</v>
      </c>
      <c r="K21" s="9" t="s">
        <v>79</v>
      </c>
      <c r="L21" s="6"/>
      <c r="M21" s="17"/>
    </row>
    <row r="22" s="10" customFormat="1">
      <c r="A22" s="4">
        <v>21</v>
      </c>
      <c r="B22" s="4" t="s">
        <v>74</v>
      </c>
      <c r="C22" s="3" t="s">
        <v>1</v>
      </c>
      <c r="D22" s="3" t="s">
        <v>117</v>
      </c>
      <c r="E22" s="3" t="s">
        <v>84</v>
      </c>
      <c r="F22" s="3"/>
      <c r="G22" s="2" t="s">
        <v>5</v>
      </c>
      <c r="H22" s="1" t="str">
        <f ca="1" t="shared" si="2"/>
        <v>26.07.2024</v>
      </c>
      <c r="I22" s="11">
        <f ca="1" t="shared" si="1"/>
        <v>45589</v>
      </c>
      <c r="J22" s="9" t="s">
        <v>59</v>
      </c>
      <c r="K22" s="9" t="s">
        <v>79</v>
      </c>
      <c r="L22" s="6"/>
      <c r="M22" s="17"/>
    </row>
    <row r="23" s="10" customFormat="1">
      <c r="A23" s="4">
        <v>22</v>
      </c>
      <c r="B23" s="4" t="s">
        <v>51</v>
      </c>
      <c r="C23" s="3" t="s">
        <v>1</v>
      </c>
      <c r="D23" s="3" t="s">
        <v>75</v>
      </c>
      <c r="E23" s="3" t="s">
        <v>84</v>
      </c>
      <c r="F23" s="3"/>
      <c r="G23" s="2"/>
      <c r="H23" s="1" t="str">
        <f ca="1" t="shared" si="2"/>
        <v>26.07.2024</v>
      </c>
      <c r="I23" s="11">
        <f ca="1" t="shared" si="1"/>
        <v>45589</v>
      </c>
      <c r="J23" s="9" t="s">
        <v>59</v>
      </c>
      <c r="K23" s="9" t="s">
        <v>79</v>
      </c>
      <c r="L23" s="6"/>
      <c r="M23" s="17"/>
    </row>
    <row r="24" s="10" customFormat="1">
      <c r="A24" s="4">
        <v>23</v>
      </c>
      <c r="B24" s="4" t="s">
        <v>115</v>
      </c>
      <c r="C24" s="3" t="s">
        <v>1</v>
      </c>
      <c r="D24" s="3" t="s">
        <v>27</v>
      </c>
      <c r="E24" s="3" t="s">
        <v>42</v>
      </c>
      <c r="F24" s="3"/>
      <c r="G24" s="2" t="s">
        <v>22</v>
      </c>
      <c r="H24" s="1" t="str">
        <f ca="1" t="shared" si="2"/>
        <v>26.07.2024</v>
      </c>
      <c r="I24" s="11">
        <f ca="1" t="shared" si="1"/>
        <v>45589</v>
      </c>
      <c r="J24" s="9" t="s">
        <v>59</v>
      </c>
      <c r="K24" s="9" t="s">
        <v>79</v>
      </c>
      <c r="L24" s="6"/>
      <c r="M24" s="17"/>
    </row>
    <row r="25" s="10" customFormat="1">
      <c r="A25" s="4">
        <v>24</v>
      </c>
      <c r="B25" s="12" t="s">
        <v>116</v>
      </c>
      <c r="C25" s="3" t="s">
        <v>1</v>
      </c>
      <c r="D25" s="3" t="s">
        <v>8</v>
      </c>
      <c r="E25" s="3" t="s">
        <v>42</v>
      </c>
      <c r="F25" s="3"/>
      <c r="G25" s="2" t="s">
        <v>70</v>
      </c>
      <c r="H25" s="1" t="str">
        <f ca="1" t="shared" si="2"/>
        <v>26.07.2024</v>
      </c>
      <c r="I25" s="11">
        <f ca="1" t="shared" si="1"/>
        <v>45589</v>
      </c>
      <c r="J25" s="9" t="s">
        <v>59</v>
      </c>
      <c r="K25" s="9" t="s">
        <v>79</v>
      </c>
      <c r="L25" s="6"/>
      <c r="M25" s="17"/>
    </row>
    <row r="26" s="10" customFormat="1">
      <c r="A26" s="4">
        <v>25</v>
      </c>
      <c r="B26" s="12" t="s">
        <v>116</v>
      </c>
      <c r="C26" s="3" t="s">
        <v>1</v>
      </c>
      <c r="D26" s="3" t="s">
        <v>95</v>
      </c>
      <c r="E26" s="3" t="s">
        <v>42</v>
      </c>
      <c r="F26" s="3"/>
      <c r="G26" s="2" t="s">
        <v>63</v>
      </c>
      <c r="H26" s="1" t="str">
        <f ca="1" t="shared" si="2"/>
        <v>26.07.2024</v>
      </c>
      <c r="I26" s="11">
        <f ca="1" t="shared" si="1"/>
        <v>45589</v>
      </c>
      <c r="J26" s="9" t="s">
        <v>59</v>
      </c>
      <c r="K26" s="9" t="s">
        <v>79</v>
      </c>
      <c r="L26" s="6"/>
      <c r="M26" s="17"/>
    </row>
    <row r="27" s="10" customFormat="1">
      <c r="A27" s="4">
        <v>26</v>
      </c>
      <c r="B27" s="4" t="s">
        <v>115</v>
      </c>
      <c r="C27" s="3" t="s">
        <v>1</v>
      </c>
      <c r="D27" s="3" t="s">
        <v>27</v>
      </c>
      <c r="E27" s="3" t="s">
        <v>42</v>
      </c>
      <c r="F27" s="3"/>
      <c r="G27" s="2" t="s">
        <v>76</v>
      </c>
      <c r="H27" s="1" t="str">
        <f ca="1" t="shared" si="2"/>
        <v>26.07.2024</v>
      </c>
      <c r="I27" s="11">
        <f ca="1" t="shared" si="1"/>
        <v>45589</v>
      </c>
      <c r="J27" s="9" t="s">
        <v>59</v>
      </c>
      <c r="K27" s="9" t="s">
        <v>79</v>
      </c>
      <c r="L27" s="6"/>
      <c r="M27" s="17"/>
    </row>
    <row r="28" s="10" customFormat="1">
      <c r="A28" s="4">
        <v>27</v>
      </c>
      <c r="B28" s="4" t="s">
        <v>25</v>
      </c>
      <c r="C28" s="3" t="s">
        <v>1</v>
      </c>
      <c r="D28" s="3" t="s">
        <v>27</v>
      </c>
      <c r="E28" s="3" t="s">
        <v>42</v>
      </c>
      <c r="F28" s="3"/>
      <c r="G28" s="2" t="s">
        <v>76</v>
      </c>
      <c r="H28" s="1" t="str">
        <f ca="1" t="shared" si="2"/>
        <v>26.07.2024</v>
      </c>
      <c r="I28" s="11">
        <f ca="1" t="shared" si="1"/>
        <v>45589</v>
      </c>
      <c r="J28" s="9" t="s">
        <v>59</v>
      </c>
      <c r="K28" s="9" t="s">
        <v>79</v>
      </c>
      <c r="L28" s="6"/>
      <c r="M28" s="17"/>
    </row>
    <row r="29" s="10" customFormat="1">
      <c r="A29" s="4">
        <v>28</v>
      </c>
      <c r="B29" s="4" t="s">
        <v>114</v>
      </c>
      <c r="C29" s="3" t="s">
        <v>1</v>
      </c>
      <c r="D29" s="3" t="s">
        <v>8</v>
      </c>
      <c r="E29" s="3" t="s">
        <v>118</v>
      </c>
      <c r="F29" s="3"/>
      <c r="G29" s="2" t="s">
        <v>108</v>
      </c>
      <c r="H29" s="1" t="str">
        <f ca="1" t="shared" si="2"/>
        <v>26.07.2024</v>
      </c>
      <c r="I29" s="11">
        <f ca="1" t="shared" si="1"/>
        <v>45589</v>
      </c>
      <c r="J29" s="9" t="s">
        <v>59</v>
      </c>
      <c r="K29" s="9" t="s">
        <v>111</v>
      </c>
      <c r="L29" s="6"/>
      <c r="M29" s="17"/>
    </row>
    <row r="30" s="10" customFormat="1">
      <c r="A30" s="4">
        <v>29</v>
      </c>
      <c r="B30" s="4" t="s">
        <v>114</v>
      </c>
      <c r="C30" s="3" t="s">
        <v>1</v>
      </c>
      <c r="D30" s="3" t="s">
        <v>9</v>
      </c>
      <c r="E30" s="3" t="s">
        <v>118</v>
      </c>
      <c r="F30" s="3"/>
      <c r="G30" s="2" t="s">
        <v>108</v>
      </c>
      <c r="H30" s="1" t="str">
        <f ca="1" t="shared" si="2"/>
        <v>26.07.2024</v>
      </c>
      <c r="I30" s="11">
        <f ca="1" t="shared" si="1"/>
        <v>45589</v>
      </c>
      <c r="J30" s="9" t="s">
        <v>46</v>
      </c>
      <c r="K30" s="9" t="s">
        <v>111</v>
      </c>
      <c r="L30" s="6"/>
      <c r="M30" s="17"/>
    </row>
    <row r="31" s="10" customFormat="1">
      <c r="A31" s="4">
        <v>30</v>
      </c>
      <c r="B31" s="4" t="s">
        <v>114</v>
      </c>
      <c r="C31" s="3" t="s">
        <v>1</v>
      </c>
      <c r="D31" s="3" t="s">
        <v>96</v>
      </c>
      <c r="E31" s="3" t="s">
        <v>53</v>
      </c>
      <c r="F31" s="3"/>
      <c r="G31" s="2" t="s">
        <v>90</v>
      </c>
      <c r="H31" s="1" t="str">
        <f ca="1" t="shared" si="2"/>
        <v>26.07.2024</v>
      </c>
      <c r="I31" s="11">
        <f ca="1" t="shared" si="1"/>
        <v>45589</v>
      </c>
      <c r="J31" s="9" t="s">
        <v>59</v>
      </c>
      <c r="K31" s="9" t="s">
        <v>79</v>
      </c>
      <c r="L31" s="6"/>
      <c r="M31" s="17"/>
    </row>
    <row r="32" s="10" customFormat="1">
      <c r="A32" s="4">
        <v>31</v>
      </c>
      <c r="B32" s="4" t="s">
        <v>37</v>
      </c>
      <c r="C32" s="3" t="s">
        <v>1</v>
      </c>
      <c r="D32" s="3" t="s">
        <v>83</v>
      </c>
      <c r="E32" s="3" t="s">
        <v>84</v>
      </c>
      <c r="F32" s="3"/>
      <c r="G32" s="2" t="s">
        <v>23</v>
      </c>
      <c r="H32" s="1" t="str">
        <f ca="1" t="shared" si="2"/>
        <v>26.07.2024</v>
      </c>
      <c r="I32" s="11">
        <f ca="1" t="shared" si="1"/>
        <v>45589</v>
      </c>
      <c r="J32" s="9" t="s">
        <v>59</v>
      </c>
      <c r="K32" s="9" t="s">
        <v>79</v>
      </c>
      <c r="L32" s="6"/>
      <c r="M32" s="17"/>
    </row>
    <row r="33" s="10" customFormat="1">
      <c r="A33" s="4">
        <v>32</v>
      </c>
      <c r="B33" s="4" t="s">
        <v>37</v>
      </c>
      <c r="C33" s="3" t="s">
        <v>1</v>
      </c>
      <c r="D33" s="3" t="s">
        <v>75</v>
      </c>
      <c r="E33" s="3" t="s">
        <v>84</v>
      </c>
      <c r="F33" s="3"/>
      <c r="G33" s="2" t="s">
        <v>23</v>
      </c>
      <c r="H33" s="1" t="str">
        <f ca="1" t="shared" si="2"/>
        <v>26.07.2024</v>
      </c>
      <c r="I33" s="11">
        <f ca="1" t="shared" si="1"/>
        <v>45589</v>
      </c>
      <c r="J33" s="9" t="s">
        <v>46</v>
      </c>
      <c r="K33" s="9" t="s">
        <v>79</v>
      </c>
      <c r="L33" s="6"/>
      <c r="M33" s="17"/>
    </row>
    <row r="34" s="10" customFormat="1">
      <c r="A34" s="4">
        <v>33</v>
      </c>
      <c r="B34" s="4" t="s">
        <v>74</v>
      </c>
      <c r="C34" s="3" t="s">
        <v>1</v>
      </c>
      <c r="D34" s="3" t="s">
        <v>30</v>
      </c>
      <c r="E34" s="3" t="s">
        <v>42</v>
      </c>
      <c r="F34" s="3"/>
      <c r="G34" s="2" t="s">
        <v>120</v>
      </c>
      <c r="H34" s="1" t="str">
        <f ca="1" t="shared" si="2"/>
        <v>26.07.2024</v>
      </c>
      <c r="I34" s="11">
        <f ca="1" t="shared" si="1"/>
        <v>45589</v>
      </c>
      <c r="J34" s="9" t="s">
        <v>59</v>
      </c>
      <c r="K34" s="9" t="s">
        <v>79</v>
      </c>
      <c r="L34" s="6"/>
      <c r="M34" s="17"/>
    </row>
    <row r="35" s="10" customFormat="1">
      <c r="A35" s="4">
        <v>34</v>
      </c>
      <c r="B35" s="4" t="s">
        <v>74</v>
      </c>
      <c r="C35" s="3" t="s">
        <v>1</v>
      </c>
      <c r="D35" s="3" t="s">
        <v>103</v>
      </c>
      <c r="E35" s="3" t="s">
        <v>84</v>
      </c>
      <c r="F35" s="3"/>
      <c r="G35" s="2" t="s">
        <v>57</v>
      </c>
      <c r="H35" s="1" t="str">
        <f ca="1" t="shared" si="2"/>
        <v>26.07.2024</v>
      </c>
      <c r="I35" s="11">
        <f ca="1" t="shared" si="1"/>
        <v>45589</v>
      </c>
      <c r="J35" s="9" t="s">
        <v>59</v>
      </c>
      <c r="K35" s="9" t="s">
        <v>79</v>
      </c>
      <c r="L35" s="6"/>
      <c r="M35" s="17"/>
    </row>
    <row r="36" s="10" customFormat="1">
      <c r="A36" s="4">
        <v>35</v>
      </c>
      <c r="B36" s="4" t="s">
        <v>74</v>
      </c>
      <c r="C36" s="3" t="s">
        <v>1</v>
      </c>
      <c r="D36" s="3" t="s">
        <v>31</v>
      </c>
      <c r="E36" s="3" t="s">
        <v>84</v>
      </c>
      <c r="F36" s="3"/>
      <c r="G36" s="2" t="s">
        <v>120</v>
      </c>
      <c r="H36" s="1" t="str">
        <f ca="1" t="shared" si="2"/>
        <v>26.07.2024</v>
      </c>
      <c r="I36" s="11">
        <f ca="1" t="shared" si="1"/>
        <v>45589</v>
      </c>
      <c r="J36" s="9" t="s">
        <v>59</v>
      </c>
      <c r="K36" s="9" t="s">
        <v>79</v>
      </c>
      <c r="L36" s="6"/>
      <c r="M36" s="17"/>
    </row>
    <row r="37" s="10" customFormat="1">
      <c r="A37" s="4">
        <v>36</v>
      </c>
      <c r="B37" s="4" t="s">
        <v>74</v>
      </c>
      <c r="C37" s="3" t="s">
        <v>1</v>
      </c>
      <c r="D37" s="3" t="s">
        <v>103</v>
      </c>
      <c r="E37" s="3" t="s">
        <v>84</v>
      </c>
      <c r="F37" s="3"/>
      <c r="G37" s="2" t="s">
        <v>57</v>
      </c>
      <c r="H37" s="1" t="str">
        <f ca="1" t="shared" si="2"/>
        <v>26.07.2024</v>
      </c>
      <c r="I37" s="11">
        <f ca="1" t="shared" si="1"/>
        <v>45589</v>
      </c>
      <c r="J37" s="9" t="s">
        <v>59</v>
      </c>
      <c r="K37" s="9" t="s">
        <v>79</v>
      </c>
      <c r="L37" s="6"/>
      <c r="M37" s="17"/>
    </row>
    <row r="38" s="10" customFormat="1">
      <c r="A38" s="4">
        <v>37</v>
      </c>
      <c r="B38" s="4" t="s">
        <v>74</v>
      </c>
      <c r="C38" s="3" t="s">
        <v>1</v>
      </c>
      <c r="D38" s="3" t="s">
        <v>9</v>
      </c>
      <c r="E38" s="3" t="s">
        <v>84</v>
      </c>
      <c r="F38" s="3"/>
      <c r="G38" s="2" t="s">
        <v>120</v>
      </c>
      <c r="H38" s="1" t="str">
        <f ca="1" t="shared" si="2"/>
        <v>26.07.2024</v>
      </c>
      <c r="I38" s="11">
        <f ca="1" t="shared" si="1"/>
        <v>45589</v>
      </c>
      <c r="J38" s="9" t="s">
        <v>59</v>
      </c>
      <c r="K38" s="9" t="s">
        <v>79</v>
      </c>
      <c r="L38" s="6"/>
      <c r="M38" s="17"/>
    </row>
    <row r="39" s="10" customFormat="1">
      <c r="A39" s="4">
        <v>38</v>
      </c>
      <c r="B39" s="4" t="s">
        <v>101</v>
      </c>
      <c r="C39" s="3" t="s">
        <v>1</v>
      </c>
      <c r="D39" s="3" t="s">
        <v>83</v>
      </c>
      <c r="E39" s="3" t="s">
        <v>84</v>
      </c>
      <c r="F39" s="3"/>
      <c r="G39" s="2" t="s">
        <v>77</v>
      </c>
      <c r="H39" s="1" t="str">
        <f ca="1" t="shared" si="2"/>
        <v>26.07.2024</v>
      </c>
      <c r="I39" s="11">
        <f ca="1" t="shared" si="1"/>
        <v>45589</v>
      </c>
      <c r="J39" s="9" t="s">
        <v>59</v>
      </c>
      <c r="K39" s="9" t="s">
        <v>79</v>
      </c>
      <c r="L39" s="6"/>
      <c r="M39" s="17"/>
    </row>
    <row r="40" s="10" customFormat="1">
      <c r="A40" s="4">
        <v>39</v>
      </c>
      <c r="B40" s="4" t="s">
        <v>101</v>
      </c>
      <c r="C40" s="3" t="s">
        <v>1</v>
      </c>
      <c r="D40" s="3" t="s">
        <v>75</v>
      </c>
      <c r="E40" s="3" t="s">
        <v>84</v>
      </c>
      <c r="F40" s="3"/>
      <c r="G40" s="2" t="s">
        <v>77</v>
      </c>
      <c r="H40" s="1" t="str">
        <f ca="1" t="shared" si="2"/>
        <v>26.07.2024</v>
      </c>
      <c r="I40" s="11">
        <f ca="1" t="shared" si="1"/>
        <v>45589</v>
      </c>
      <c r="J40" s="9" t="s">
        <v>59</v>
      </c>
      <c r="K40" s="9" t="s">
        <v>79</v>
      </c>
      <c r="L40" s="6"/>
      <c r="M40" s="17"/>
    </row>
    <row r="41" s="10" customFormat="1">
      <c r="A41" s="4">
        <v>40</v>
      </c>
      <c r="B41" s="4" t="s">
        <v>101</v>
      </c>
      <c r="C41" s="3" t="s">
        <v>1</v>
      </c>
      <c r="D41" s="3" t="s">
        <v>41</v>
      </c>
      <c r="E41" s="3" t="s">
        <v>84</v>
      </c>
      <c r="F41" s="3"/>
      <c r="G41" s="2" t="s">
        <v>77</v>
      </c>
      <c r="H41" s="1" t="str">
        <f ca="1" t="shared" si="2"/>
        <v>26.07.2024</v>
      </c>
      <c r="I41" s="11">
        <f ca="1" t="shared" si="1"/>
        <v>45589</v>
      </c>
      <c r="J41" s="9" t="s">
        <v>46</v>
      </c>
      <c r="K41" s="9" t="s">
        <v>79</v>
      </c>
      <c r="L41" s="6"/>
      <c r="M41" s="17"/>
    </row>
    <row r="42" s="10" customFormat="1">
      <c r="A42" s="4">
        <v>41</v>
      </c>
      <c r="B42" s="4" t="s">
        <v>101</v>
      </c>
      <c r="C42" s="3" t="s">
        <v>1</v>
      </c>
      <c r="D42" s="3" t="s">
        <v>28</v>
      </c>
      <c r="E42" s="3" t="s">
        <v>42</v>
      </c>
      <c r="F42" s="3"/>
      <c r="G42" s="2" t="s">
        <v>18</v>
      </c>
      <c r="H42" s="1" t="str">
        <f ca="1" t="shared" si="2"/>
        <v>26.07.2024</v>
      </c>
      <c r="I42" s="11">
        <f ca="1" t="shared" si="1"/>
        <v>45589</v>
      </c>
      <c r="J42" s="9" t="s">
        <v>59</v>
      </c>
      <c r="K42" s="9" t="s">
        <v>79</v>
      </c>
      <c r="L42" s="6"/>
      <c r="M42" s="17"/>
    </row>
    <row r="43" s="10" customFormat="1">
      <c r="A43" s="4">
        <v>42</v>
      </c>
      <c r="B43" s="4" t="s">
        <v>61</v>
      </c>
      <c r="C43" s="3" t="s">
        <v>1</v>
      </c>
      <c r="D43" s="3" t="s">
        <v>29</v>
      </c>
      <c r="E43" s="3" t="s">
        <v>84</v>
      </c>
      <c r="F43" s="3"/>
      <c r="G43" s="2" t="s">
        <v>121</v>
      </c>
      <c r="H43" s="1" t="str">
        <f ca="1" t="shared" si="2"/>
        <v>26.07.2024</v>
      </c>
      <c r="I43" s="11">
        <f ca="1" t="shared" si="1"/>
        <v>45589</v>
      </c>
      <c r="J43" s="9" t="s">
        <v>59</v>
      </c>
      <c r="K43" s="9" t="s">
        <v>79</v>
      </c>
      <c r="L43" s="6"/>
      <c r="M43" s="17"/>
    </row>
    <row r="44" s="10" customFormat="1">
      <c r="A44" s="4">
        <v>43</v>
      </c>
      <c r="B44" s="4" t="s">
        <v>61</v>
      </c>
      <c r="C44" s="3" t="s">
        <v>1</v>
      </c>
      <c r="D44" s="3" t="s">
        <v>10</v>
      </c>
      <c r="E44" s="3" t="s">
        <v>84</v>
      </c>
      <c r="F44" s="3"/>
      <c r="G44" s="2" t="s">
        <v>121</v>
      </c>
      <c r="H44" s="1" t="str">
        <f ca="1" t="shared" si="2"/>
        <v>26.07.2024</v>
      </c>
      <c r="I44" s="11">
        <f ca="1" t="shared" si="1"/>
        <v>45589</v>
      </c>
      <c r="J44" s="9" t="s">
        <v>59</v>
      </c>
      <c r="K44" s="9" t="s">
        <v>79</v>
      </c>
      <c r="L44" s="6"/>
      <c r="M44" s="17"/>
    </row>
    <row r="45" s="10" customFormat="1">
      <c r="A45" s="4">
        <v>44</v>
      </c>
      <c r="B45" s="4" t="s">
        <v>26</v>
      </c>
      <c r="C45" s="3" t="s">
        <v>1</v>
      </c>
      <c r="D45" s="3" t="s">
        <v>27</v>
      </c>
      <c r="E45" s="3" t="s">
        <v>42</v>
      </c>
      <c r="F45" s="3" t="s">
        <v>4</v>
      </c>
      <c r="G45" s="2" t="s">
        <v>12</v>
      </c>
      <c r="H45" s="1" t="str">
        <f ca="1" t="shared" si="2"/>
        <v>26.07.2024</v>
      </c>
      <c r="I45" s="11">
        <f ca="1" t="shared" si="1"/>
        <v>45589</v>
      </c>
      <c r="J45" s="9" t="s">
        <v>59</v>
      </c>
      <c r="K45" s="9" t="s">
        <v>79</v>
      </c>
      <c r="L45" s="6"/>
      <c r="M45" s="17"/>
    </row>
    <row r="46" s="10" customFormat="1">
      <c r="A46" s="4">
        <v>45</v>
      </c>
      <c r="B46" s="4" t="s">
        <v>38</v>
      </c>
      <c r="C46" s="3" t="s">
        <v>1</v>
      </c>
      <c r="D46" s="3" t="s">
        <v>31</v>
      </c>
      <c r="E46" s="3" t="s">
        <v>84</v>
      </c>
      <c r="F46" s="3"/>
      <c r="G46" s="2" t="s">
        <v>32</v>
      </c>
      <c r="H46" s="1" t="str">
        <f ca="1" t="shared" si="2"/>
        <v>26.07.2024</v>
      </c>
      <c r="I46" s="11">
        <f ca="1" t="shared" si="1"/>
        <v>45589</v>
      </c>
      <c r="J46" s="9" t="s">
        <v>59</v>
      </c>
      <c r="K46" s="9" t="s">
        <v>79</v>
      </c>
      <c r="L46" s="6"/>
      <c r="M46" s="17"/>
    </row>
    <row r="47" s="10" customFormat="1">
      <c r="A47" s="4">
        <v>46</v>
      </c>
      <c r="B47" s="4" t="s">
        <v>7</v>
      </c>
      <c r="C47" s="3" t="s">
        <v>1</v>
      </c>
      <c r="D47" s="3" t="s">
        <v>2</v>
      </c>
      <c r="E47" s="3" t="s">
        <v>84</v>
      </c>
      <c r="F47" s="3"/>
      <c r="G47" s="2" t="s">
        <v>34</v>
      </c>
      <c r="H47" s="1" t="str">
        <f ca="1" t="shared" si="2"/>
        <v>26.07.2024</v>
      </c>
      <c r="I47" s="11">
        <f ca="1" t="shared" si="1"/>
        <v>45589</v>
      </c>
      <c r="J47" s="9" t="s">
        <v>59</v>
      </c>
      <c r="K47" s="9" t="s">
        <v>79</v>
      </c>
      <c r="L47" s="6"/>
      <c r="M47" s="17"/>
    </row>
    <row r="48" s="10" customFormat="1">
      <c r="A48" s="4">
        <v>47</v>
      </c>
      <c r="B48" s="4" t="s">
        <v>39</v>
      </c>
      <c r="C48" s="3" t="s">
        <v>1</v>
      </c>
      <c r="D48" s="3" t="s">
        <v>27</v>
      </c>
      <c r="E48" s="3" t="s">
        <v>42</v>
      </c>
      <c r="F48" s="3" t="s">
        <v>4</v>
      </c>
      <c r="G48" s="2" t="s">
        <v>109</v>
      </c>
      <c r="H48" s="1" t="str">
        <f ca="1" t="shared" si="2"/>
        <v>26.07.2024</v>
      </c>
      <c r="I48" s="11">
        <f ca="1" t="shared" si="1"/>
        <v>45589</v>
      </c>
      <c r="J48" s="9" t="s">
        <v>59</v>
      </c>
      <c r="K48" s="9" t="s">
        <v>79</v>
      </c>
      <c r="L48" s="6"/>
      <c r="M48" s="17"/>
    </row>
    <row r="49" s="10" customFormat="1">
      <c r="A49" s="4">
        <v>48</v>
      </c>
      <c r="B49" s="4" t="s">
        <v>52</v>
      </c>
      <c r="C49" s="3" t="s">
        <v>1</v>
      </c>
      <c r="D49" s="3" t="s">
        <v>29</v>
      </c>
      <c r="E49" s="3" t="s">
        <v>84</v>
      </c>
      <c r="F49" s="3"/>
      <c r="G49" s="18" t="s">
        <v>122</v>
      </c>
      <c r="H49" s="1" t="str">
        <f ca="1" t="shared" si="2"/>
        <v>26.07.2024</v>
      </c>
      <c r="I49" s="11">
        <f ca="1" t="shared" si="1"/>
        <v>45589</v>
      </c>
      <c r="J49" s="9" t="s">
        <v>59</v>
      </c>
      <c r="K49" s="9" t="s">
        <v>79</v>
      </c>
      <c r="L49" s="6"/>
      <c r="M49" s="17"/>
    </row>
    <row r="50" s="10" customFormat="1">
      <c r="A50" s="4">
        <v>49</v>
      </c>
      <c r="B50" s="4" t="s">
        <v>67</v>
      </c>
      <c r="C50" s="3" t="s">
        <v>1</v>
      </c>
      <c r="D50" s="3" t="s">
        <v>8</v>
      </c>
      <c r="E50" s="3" t="s">
        <v>42</v>
      </c>
      <c r="F50" s="3" t="s">
        <v>4</v>
      </c>
      <c r="G50" s="2" t="s">
        <v>78</v>
      </c>
      <c r="H50" s="1" t="str">
        <f ca="1" t="shared" si="2"/>
        <v>26.07.2024</v>
      </c>
      <c r="I50" s="11">
        <f ca="1" t="shared" si="1"/>
        <v>45589</v>
      </c>
      <c r="J50" s="9" t="s">
        <v>59</v>
      </c>
      <c r="K50" s="9" t="s">
        <v>79</v>
      </c>
      <c r="L50" s="6"/>
      <c r="M50" s="17"/>
    </row>
    <row r="51" s="10" customFormat="1">
      <c r="A51" s="4">
        <v>50</v>
      </c>
      <c r="B51" s="4" t="s">
        <v>94</v>
      </c>
      <c r="C51" s="3" t="s">
        <v>1</v>
      </c>
      <c r="D51" s="3" t="s">
        <v>28</v>
      </c>
      <c r="E51" s="3" t="s">
        <v>42</v>
      </c>
      <c r="F51" s="3" t="s">
        <v>4</v>
      </c>
      <c r="G51" s="2" t="s">
        <v>35</v>
      </c>
      <c r="H51" s="1" t="str">
        <f ca="1" t="shared" si="2"/>
        <v>26.07.2024</v>
      </c>
      <c r="I51" s="11">
        <f ca="1" t="shared" si="1"/>
        <v>45589</v>
      </c>
      <c r="J51" s="9" t="s">
        <v>59</v>
      </c>
      <c r="K51" s="9" t="s">
        <v>79</v>
      </c>
      <c r="L51" s="6"/>
      <c r="M51" s="17"/>
    </row>
    <row r="52" s="10" customFormat="1">
      <c r="A52" s="4">
        <v>51</v>
      </c>
      <c r="B52" s="4" t="s">
        <v>94</v>
      </c>
      <c r="C52" s="3" t="s">
        <v>1</v>
      </c>
      <c r="D52" s="3" t="s">
        <v>28</v>
      </c>
      <c r="E52" s="3" t="s">
        <v>42</v>
      </c>
      <c r="F52" s="3" t="s">
        <v>4</v>
      </c>
      <c r="G52" s="2" t="s">
        <v>35</v>
      </c>
      <c r="H52" s="1" t="str">
        <f ca="1" t="shared" si="2"/>
        <v>26.07.2024</v>
      </c>
      <c r="I52" s="11">
        <f ca="1" t="shared" si="1"/>
        <v>45589</v>
      </c>
      <c r="J52" s="9" t="s">
        <v>59</v>
      </c>
      <c r="K52" s="9" t="s">
        <v>79</v>
      </c>
      <c r="L52" s="6"/>
      <c r="M52" s="17"/>
    </row>
    <row r="53" s="10" customFormat="1">
      <c r="A53" s="4">
        <v>52</v>
      </c>
      <c r="B53" s="4" t="s">
        <v>94</v>
      </c>
      <c r="C53" s="3" t="s">
        <v>1</v>
      </c>
      <c r="D53" s="3" t="s">
        <v>29</v>
      </c>
      <c r="E53" s="3" t="s">
        <v>84</v>
      </c>
      <c r="F53" s="3" t="s">
        <v>4</v>
      </c>
      <c r="G53" s="2" t="s">
        <v>35</v>
      </c>
      <c r="H53" s="1" t="str">
        <f ca="1" t="shared" si="2"/>
        <v>26.07.2024</v>
      </c>
      <c r="I53" s="11">
        <f ca="1" t="shared" si="1"/>
        <v>45589</v>
      </c>
      <c r="J53" s="9" t="s">
        <v>59</v>
      </c>
      <c r="K53" s="9" t="s">
        <v>79</v>
      </c>
      <c r="L53" s="6"/>
      <c r="M53" s="17"/>
    </row>
    <row r="54" s="10" customFormat="1">
      <c r="A54" s="4">
        <v>53</v>
      </c>
      <c r="B54" s="4" t="s">
        <v>94</v>
      </c>
      <c r="C54" s="3" t="s">
        <v>1</v>
      </c>
      <c r="D54" s="3" t="s">
        <v>69</v>
      </c>
      <c r="E54" s="3" t="s">
        <v>84</v>
      </c>
      <c r="F54" s="3" t="s">
        <v>4</v>
      </c>
      <c r="G54" s="2" t="s">
        <v>35</v>
      </c>
      <c r="H54" s="1" t="str">
        <f ca="1" t="shared" si="2"/>
        <v>26.07.2024</v>
      </c>
      <c r="I54" s="11">
        <f ca="1" t="shared" si="1"/>
        <v>45589</v>
      </c>
      <c r="J54" s="9" t="s">
        <v>46</v>
      </c>
      <c r="K54" s="9" t="s">
        <v>79</v>
      </c>
      <c r="L54" s="6"/>
      <c r="M54" s="17"/>
    </row>
    <row r="55" s="10" customFormat="1">
      <c r="A55" s="4">
        <v>54</v>
      </c>
      <c r="B55" s="4" t="s">
        <v>68</v>
      </c>
      <c r="C55" s="3" t="s">
        <v>1</v>
      </c>
      <c r="D55" s="3" t="s">
        <v>27</v>
      </c>
      <c r="E55" s="3" t="s">
        <v>104</v>
      </c>
      <c r="F55" s="3"/>
      <c r="G55" s="2" t="s">
        <v>123</v>
      </c>
      <c r="H55" s="1" t="str">
        <f ca="1" t="shared" si="2"/>
        <v>26.07.2024</v>
      </c>
      <c r="I55" s="11">
        <f ca="1" t="shared" si="1"/>
        <v>45589</v>
      </c>
      <c r="J55" s="9" t="s">
        <v>59</v>
      </c>
      <c r="K55" s="9" t="s">
        <v>79</v>
      </c>
      <c r="L55" s="6"/>
      <c r="M55" s="17"/>
    </row>
    <row r="56" s="10" customFormat="1">
      <c r="A56" s="4">
        <v>55</v>
      </c>
      <c r="B56" s="16" t="s">
        <v>40</v>
      </c>
      <c r="C56" s="3" t="s">
        <v>1</v>
      </c>
      <c r="D56" s="3" t="s">
        <v>28</v>
      </c>
      <c r="E56" s="3" t="s">
        <v>42</v>
      </c>
      <c r="F56" s="3" t="s">
        <v>4</v>
      </c>
      <c r="G56" s="2" t="s">
        <v>98</v>
      </c>
      <c r="H56" s="1" t="str">
        <f ca="1" t="shared" si="2"/>
        <v>26.07.2024</v>
      </c>
      <c r="I56" s="11">
        <f ca="1" t="shared" si="1"/>
        <v>45589</v>
      </c>
      <c r="J56" s="9" t="s">
        <v>79</v>
      </c>
      <c r="K56" s="9" t="s">
        <v>79</v>
      </c>
      <c r="L56" s="6"/>
      <c r="M56" s="17"/>
    </row>
    <row r="57" s="10" customFormat="1">
      <c r="A57" s="4">
        <v>56</v>
      </c>
      <c r="B57" s="16" t="s">
        <v>81</v>
      </c>
      <c r="C57" s="3" t="s">
        <v>1</v>
      </c>
      <c r="D57" s="3" t="s">
        <v>28</v>
      </c>
      <c r="E57" s="3" t="s">
        <v>42</v>
      </c>
      <c r="F57" s="3" t="s">
        <v>4</v>
      </c>
      <c r="G57" s="2" t="s">
        <v>71</v>
      </c>
      <c r="H57" s="1" t="str">
        <f ca="1" t="shared" si="2"/>
        <v>26.07.2024</v>
      </c>
      <c r="I57" s="11">
        <f ca="1" t="shared" si="1"/>
        <v>45589</v>
      </c>
      <c r="J57" s="9" t="s">
        <v>79</v>
      </c>
      <c r="K57" s="9" t="s">
        <v>79</v>
      </c>
      <c r="L57" s="6"/>
      <c r="M57" s="17"/>
    </row>
    <row r="58" s="10" customFormat="1">
      <c r="A58" s="4">
        <v>57</v>
      </c>
      <c r="B58" s="16" t="s">
        <v>0</v>
      </c>
      <c r="C58" s="3" t="s">
        <v>1</v>
      </c>
      <c r="D58" s="3" t="s">
        <v>28</v>
      </c>
      <c r="E58" s="3" t="s">
        <v>42</v>
      </c>
      <c r="F58" s="3" t="s">
        <v>4</v>
      </c>
      <c r="G58" s="2" t="s">
        <v>24</v>
      </c>
      <c r="H58" s="1" t="str">
        <f ca="1" t="shared" si="2"/>
        <v>26.07.2024</v>
      </c>
      <c r="I58" s="11">
        <f ca="1" t="shared" si="1"/>
        <v>45589</v>
      </c>
      <c r="J58" s="9" t="s">
        <v>79</v>
      </c>
      <c r="K58" s="9" t="s">
        <v>79</v>
      </c>
      <c r="L58" s="6"/>
      <c r="M58" s="17"/>
    </row>
    <row r="59" s="10" customFormat="1">
      <c r="A59" s="4">
        <v>58</v>
      </c>
      <c r="B59" s="16" t="s">
        <v>40</v>
      </c>
      <c r="C59" s="3" t="s">
        <v>1</v>
      </c>
      <c r="D59" s="3" t="s">
        <v>29</v>
      </c>
      <c r="E59" s="3" t="s">
        <v>84</v>
      </c>
      <c r="F59" s="3" t="s">
        <v>4</v>
      </c>
      <c r="G59" s="2" t="s">
        <v>98</v>
      </c>
      <c r="H59" s="1" t="str">
        <f ca="1" t="shared" si="2"/>
        <v>26.07.2024</v>
      </c>
      <c r="I59" s="11">
        <f ca="1" t="shared" si="1"/>
        <v>45589</v>
      </c>
      <c r="J59" s="9" t="s">
        <v>79</v>
      </c>
      <c r="K59" s="9" t="s">
        <v>79</v>
      </c>
      <c r="L59" s="1"/>
      <c r="M59" s="17"/>
    </row>
    <row r="60" s="10" customFormat="1">
      <c r="A60" s="4">
        <v>59</v>
      </c>
      <c r="B60" s="16" t="s">
        <v>81</v>
      </c>
      <c r="C60" s="3" t="s">
        <v>1</v>
      </c>
      <c r="D60" s="3" t="s">
        <v>29</v>
      </c>
      <c r="E60" s="3" t="s">
        <v>84</v>
      </c>
      <c r="F60" s="3" t="s">
        <v>4</v>
      </c>
      <c r="G60" s="2" t="s">
        <v>71</v>
      </c>
      <c r="H60" s="1" t="str">
        <f ca="1" t="shared" si="2"/>
        <v>26.07.2024</v>
      </c>
      <c r="I60" s="11">
        <f ca="1" t="shared" si="1"/>
        <v>45589</v>
      </c>
      <c r="J60" s="9" t="s">
        <v>79</v>
      </c>
      <c r="K60" s="9" t="s">
        <v>79</v>
      </c>
      <c r="L60" s="1"/>
      <c r="M60" s="17"/>
    </row>
    <row r="61" s="10" customFormat="1">
      <c r="A61" s="4">
        <v>60</v>
      </c>
      <c r="B61" s="16" t="s">
        <v>0</v>
      </c>
      <c r="C61" s="3" t="s">
        <v>1</v>
      </c>
      <c r="D61" s="3" t="s">
        <v>29</v>
      </c>
      <c r="E61" s="3" t="s">
        <v>84</v>
      </c>
      <c r="F61" s="3" t="s">
        <v>4</v>
      </c>
      <c r="G61" s="2" t="s">
        <v>24</v>
      </c>
      <c r="H61" s="1" t="str">
        <f ca="1" t="shared" si="2"/>
        <v>26.07.2024</v>
      </c>
      <c r="I61" s="11">
        <f ca="1" t="shared" si="1"/>
        <v>45589</v>
      </c>
      <c r="J61" s="9" t="s">
        <v>79</v>
      </c>
      <c r="K61" s="9" t="s">
        <v>79</v>
      </c>
      <c r="L61" s="1"/>
      <c r="M61" s="17"/>
    </row>
    <row r="62" s="10" customFormat="1">
      <c r="A62" s="4">
        <v>61</v>
      </c>
      <c r="B62" s="4" t="s">
        <v>19</v>
      </c>
      <c r="C62" s="3" t="s">
        <v>1</v>
      </c>
      <c r="D62" s="3" t="s">
        <v>8</v>
      </c>
      <c r="E62" s="3" t="s">
        <v>104</v>
      </c>
      <c r="F62" s="3"/>
      <c r="G62" s="2" t="s">
        <v>99</v>
      </c>
      <c r="H62" s="1" t="str">
        <f ca="1" t="shared" si="2"/>
        <v>26.07.2024</v>
      </c>
      <c r="I62" s="11">
        <f ca="1" t="shared" si="1"/>
        <v>45589</v>
      </c>
      <c r="J62" s="9" t="s">
        <v>46</v>
      </c>
      <c r="K62" s="9" t="s">
        <v>79</v>
      </c>
      <c r="L62" s="6"/>
      <c r="M62" s="17"/>
    </row>
    <row r="63" s="10" customFormat="1">
      <c r="A63" s="4">
        <v>62</v>
      </c>
      <c r="B63" s="4" t="s">
        <v>19</v>
      </c>
      <c r="C63" s="3" t="s">
        <v>1</v>
      </c>
      <c r="D63" s="3" t="s">
        <v>8</v>
      </c>
      <c r="E63" s="3" t="s">
        <v>104</v>
      </c>
      <c r="F63" s="3"/>
      <c r="G63" s="2" t="s">
        <v>100</v>
      </c>
      <c r="H63" s="1" t="str">
        <f ca="1" t="shared" si="2"/>
        <v>26.07.2024</v>
      </c>
      <c r="I63" s="11">
        <f ca="1" t="shared" si="1"/>
        <v>45589</v>
      </c>
      <c r="J63" s="9" t="s">
        <v>79</v>
      </c>
      <c r="K63" s="9" t="s">
        <v>79</v>
      </c>
      <c r="L63" s="6"/>
      <c r="M63" s="17"/>
    </row>
    <row r="64" s="10" customFormat="1">
      <c r="A64" s="4">
        <v>63</v>
      </c>
      <c r="B64" s="4" t="s">
        <v>7</v>
      </c>
      <c r="C64" s="3" t="s">
        <v>1</v>
      </c>
      <c r="D64" s="3" t="s">
        <v>2</v>
      </c>
      <c r="E64" s="3" t="s">
        <v>84</v>
      </c>
      <c r="F64" s="3"/>
      <c r="G64" s="2" t="s">
        <v>64</v>
      </c>
      <c r="H64" s="1" t="str">
        <f ca="1" t="shared" si="2"/>
        <v>26.07.2024</v>
      </c>
      <c r="I64" s="11">
        <f ca="1" t="shared" si="1"/>
        <v>45589</v>
      </c>
      <c r="J64" s="9" t="s">
        <v>79</v>
      </c>
      <c r="K64" s="9" t="s">
        <v>79</v>
      </c>
      <c r="L64" s="6"/>
      <c r="M64" s="17"/>
    </row>
    <row r="65" s="10" customFormat="1">
      <c r="A65" s="4">
        <v>64</v>
      </c>
      <c r="B65" s="4" t="s">
        <v>82</v>
      </c>
      <c r="C65" s="3" t="s">
        <v>1</v>
      </c>
      <c r="D65" s="3" t="s">
        <v>83</v>
      </c>
      <c r="E65" s="3" t="s">
        <v>84</v>
      </c>
      <c r="F65" s="3"/>
      <c r="G65" s="14" t="s">
        <v>110</v>
      </c>
      <c r="H65" s="1" t="str">
        <f ca="1" t="shared" si="2"/>
        <v>26.07.2024</v>
      </c>
      <c r="I65" s="11">
        <f ca="1" t="shared" si="1"/>
        <v>45589</v>
      </c>
      <c r="J65" s="9" t="s">
        <v>59</v>
      </c>
      <c r="K65" s="9" t="s">
        <v>79</v>
      </c>
      <c r="L65" s="6"/>
      <c r="M65" s="17"/>
    </row>
    <row r="66" s="10" customFormat="1">
      <c r="A66" s="4">
        <v>65</v>
      </c>
      <c r="B66" s="4" t="s">
        <v>82</v>
      </c>
      <c r="C66" s="3" t="s">
        <v>1</v>
      </c>
      <c r="D66" s="3" t="s">
        <v>75</v>
      </c>
      <c r="E66" s="3" t="s">
        <v>84</v>
      </c>
      <c r="F66" s="3"/>
      <c r="G66" s="14" t="s">
        <v>36</v>
      </c>
      <c r="H66" s="1" t="str">
        <f ca="1" t="shared" si="2"/>
        <v>26.07.2024</v>
      </c>
      <c r="I66" s="11">
        <f ca="1" t="shared" si="1"/>
        <v>45589</v>
      </c>
      <c r="J66" s="9" t="s">
        <v>46</v>
      </c>
      <c r="K66" s="9" t="s">
        <v>79</v>
      </c>
      <c r="L66" s="6"/>
      <c r="M66" s="17"/>
    </row>
    <row r="67" s="10" customFormat="1">
      <c r="A67" s="4">
        <v>66</v>
      </c>
      <c r="B67" s="4" t="s">
        <v>88</v>
      </c>
      <c r="C67" s="3" t="s">
        <v>1</v>
      </c>
      <c r="D67" s="3" t="s">
        <v>2</v>
      </c>
      <c r="E67" s="3" t="s">
        <v>84</v>
      </c>
      <c r="F67" s="3" t="s">
        <v>4</v>
      </c>
      <c r="G67" s="2" t="s">
        <v>91</v>
      </c>
      <c r="H67" s="1" t="str">
        <f ca="1" t="shared" si="2"/>
        <v>26.07.2024</v>
      </c>
      <c r="I67" s="11">
        <f ca="1" t="shared" si="1"/>
        <v>45589</v>
      </c>
      <c r="J67" s="9" t="s">
        <v>79</v>
      </c>
      <c r="K67" s="9" t="s">
        <v>79</v>
      </c>
      <c r="L67" s="6"/>
      <c r="M67" s="17"/>
    </row>
    <row r="68" s="10" customFormat="1">
      <c r="A68" s="4">
        <v>67</v>
      </c>
      <c r="B68" s="4" t="s">
        <v>47</v>
      </c>
      <c r="C68" s="3" t="s">
        <v>1</v>
      </c>
      <c r="D68" s="3" t="s">
        <v>2</v>
      </c>
      <c r="E68" s="7" t="s">
        <v>3</v>
      </c>
      <c r="F68" s="3" t="s">
        <v>4</v>
      </c>
      <c r="G68" s="2" t="s">
        <v>54</v>
      </c>
      <c r="H68" s="1" t="str">
        <f ca="1" t="shared" si="2"/>
        <v>26.07.2024</v>
      </c>
      <c r="I68" s="8">
        <f ca="1" t="shared" si="1"/>
        <v>45589</v>
      </c>
      <c r="J68" s="9" t="s">
        <v>59</v>
      </c>
      <c r="K68" s="9" t="s">
        <v>79</v>
      </c>
      <c r="L68" s="2" t="s">
        <v>113</v>
      </c>
      <c r="M68" s="17"/>
    </row>
    <row r="69" s="10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7"/>
    </row>
    <row r="70" s="10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7"/>
    </row>
    <row r="71" s="10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7"/>
    </row>
    <row r="72" s="10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7"/>
    </row>
    <row r="73" s="10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7"/>
    </row>
    <row r="74" s="10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7"/>
    </row>
    <row r="75" s="10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7"/>
    </row>
    <row r="76" s="10" customFormat="1">
      <c r="A76" s="1"/>
      <c r="B76" s="1"/>
      <c r="C76" s="1"/>
      <c r="D76" s="1"/>
      <c r="E76" s="1"/>
      <c r="F76" s="1"/>
      <c r="G76" s="1" t="s">
        <v>72</v>
      </c>
      <c r="H76" s="1"/>
      <c r="I76" s="1"/>
      <c r="J76" s="1"/>
      <c r="K76" s="1"/>
      <c r="L76" s="1"/>
      <c r="M76" s="17"/>
    </row>
  </sheetData>
  <hyperlinks>
    <hyperlink ref="E2" r:id="rId1" display="Welcome@2023"/>
    <hyperlink ref="E68" r:id="rId2" display="Welcome@2022"/>
  </hyperlinks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