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Action1" sheetId="2" r:id="rId2"/>
    <sheet name="Action1 {RunTimeResultFolde..00" sheetId="3" r:id="rId3"/>
    <sheet name="Action1 {Test_113_Update Us..00" sheetId="4" r:id="rId4"/>
    <sheet name="Action1 {Test_159_Update Ac..00" sheetId="5" r:id="rId5"/>
    <sheet name="Action1 {Test_116_SRM Stand..00" sheetId="6" r:id="rId6"/>
  </sheets>
  <externalReferences>
    <externalReference r:id="rId10"/>
  </externalReferences>
  <definedNames>
    <definedName name="_xlfn.CONCAT" hidden="1">#NAME?</definedName>
  </definedNames>
  <calcPr calcId="40001"/>
</workbook>
</file>

<file path=xl/sharedStrings.xml><?xml version="1.0" encoding="utf-8"?>
<sst xmlns="http://schemas.openxmlformats.org/spreadsheetml/2006/main" uniqueCount="38">
  <si>
    <t>https://sapportal-pre.delhaize.com/irj/portal/fiori_ad?spnego=disabled#Shell-home</t>
  </si>
  <si>
    <t>ASRMDLL01</t>
  </si>
  <si>
    <t>Welcome@2022</t>
  </si>
  <si>
    <t/>
  </si>
  <si>
    <t>6300003393</t>
  </si>
  <si>
    <t>DT_LINK</t>
  </si>
  <si>
    <t>DT___AGIM0U112021</t>
  </si>
  <si>
    <t>DT_SAPURL</t>
  </si>
  <si>
    <t>3</t>
  </si>
  <si>
    <t>Scenario</t>
  </si>
  <si>
    <t>1000103416</t>
  </si>
  <si>
    <t>6400061831</t>
  </si>
  <si>
    <t>ASRMMI01</t>
  </si>
  <si>
    <t>DT_SAPOPTIONS</t>
  </si>
  <si>
    <t>4</t>
  </si>
  <si>
    <t>DT_PO_ITEM</t>
  </si>
  <si>
    <t>Row_Number</t>
  </si>
  <si>
    <t>116_SRM Standard SC Limit Item on Cost Center (all opcos)_P1</t>
  </si>
  <si>
    <t>Shopping Cart</t>
  </si>
  <si>
    <t>DT_PONUM</t>
  </si>
  <si>
    <t>1</t>
  </si>
  <si>
    <t>ASRMAB01</t>
  </si>
  <si>
    <t>DT_ITEM_NUMBER</t>
  </si>
  <si>
    <t>https://sapportal-pre.delhaize.com/irj/portal/fiori_ad?spnego=disabled</t>
  </si>
  <si>
    <t>IP116_DLL_Standard_SC_Limit_ItemonCC_169</t>
  </si>
  <si>
    <t>DT_NUMBER</t>
  </si>
  <si>
    <t>1000100748</t>
  </si>
  <si>
    <t>10</t>
  </si>
  <si>
    <t>DT_SAPPASSWORD</t>
  </si>
  <si>
    <t>6200057977</t>
  </si>
  <si>
    <t>6200057966</t>
  </si>
  <si>
    <t>DT_PONUM_OUTPUT</t>
  </si>
  <si>
    <t>2</t>
  </si>
  <si>
    <t>AT_04.04.02.45 VIM - PO Precontrole Issue - BR23 - Missing Good Receipt (PO</t>
  </si>
  <si>
    <t>DT_SAPUSER</t>
  </si>
  <si>
    <t>Iovio2020</t>
  </si>
  <si>
    <t>DT_SEARCH_FOR</t>
  </si>
  <si>
    <t>1000478878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</si>
</sst>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u/>
      <sz val="11"/>
      <color theme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Border="1" applyProtection="1">
      <protection locked="0"/>
    </xf>
    <xf numFmtId="49" fontId="2" fillId="2" borderId="1" xfId="0" applyNumberFormat="1" applyFill="1" applyBorder="1" applyProtection="1">
      <protection locked="0"/>
    </xf>
    <xf numFmtId="0" fontId="2" fillId="0" borderId="0" xfId="0" applyBorder="1" applyProtection="1">
      <protection locked="0"/>
    </xf>
    <xf numFmtId="0" fontId="2" fillId="0" borderId="2" xfId="0" applyBorder="1" applyProtection="1">
      <protection locked="0"/>
    </xf>
    <xf numFmtId="0" fontId="2" fillId="3" borderId="1" xfId="0" applyNumberFormat="1" applyFill="1" applyBorder="1" applyProtection="1">
      <protection locked="0"/>
    </xf>
    <xf numFmtId="49" fontId="2" fillId="3" borderId="1" xfId="0" applyNumberFormat="1" applyFill="1" applyBorder="1" applyProtection="1">
      <protection locked="0"/>
    </xf>
    <xf numFmtId="49" fontId="2" fillId="4" borderId="1" xfId="0" applyNumberFormat="1" applyFill="1" applyBorder="1" applyProtection="1">
      <protection locked="0"/>
    </xf>
    <xf numFmtId="0" fontId="3" fillId="5" borderId="1" xfId="0" applyNumberFormat="1" applyFont="1" applyFill="1" applyBorder="1" applyProtection="1">
      <protection locked="0"/>
    </xf>
    <xf numFmtId="0" fontId="2" fillId="0" borderId="1" xfId="0" applyBorder="1" applyProtection="1">
      <protection locked="0"/>
    </xf>
    <xf numFmtId="49" fontId="4" fillId="2" borderId="1" xfId="1" applyNumberFormat="1" applyFill="1" applyBorder="1" applyProtection="1">
      <protection locked="0"/>
    </xf>
    <xf numFmtId="49" fontId="5" fillId="6" borderId="1" xfId="0" applyNumberFormat="1" applyFont="1" applyFill="1" applyBorder="1" applyProtection="1">
      <protection locked="0"/>
    </xf>
    <xf numFmtId="0" fontId="5" fillId="6" borderId="1" xfId="0" applyNumberFormat="1" applyFont="1" applyFill="1" applyBorder="1" applyProtection="1">
      <protection locked="0"/>
    </xf>
    <xf numFmtId="49" fontId="2" fillId="0" borderId="1" xfId="0" applyNumberFormat="1" applyBorder="1" applyProtection="1">
      <protection locked="0"/>
    </xf>
    <xf numFmtId="49" fontId="3" fillId="5" borderId="1" xfId="0" applyNumberFormat="1" applyFon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FICO\TASE_DT_116_SRM%20Standard%20SC%20Limit%20Item%20on%20Cost%20Center%20(all%20opcos)_P1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"/>
  <sheetViews>
    <sheetView topLeftCell="D1" workbookViewId="0">
      <selection activeCell="D2" sqref="D2"/>
    </sheetView>
  </sheetViews>
  <sheetFormatPr defaultColWidth="9.125" defaultRowHeight="14.25"/>
  <cols>
    <col min="1" max="1" width="13.125" style="3" customWidth="1"/>
    <col min="2" max="2" width="70.5" style="3" customWidth="1"/>
    <col min="3" max="3" width="49.875" style="3" customWidth="1"/>
    <col min="4" max="4" width="13.625" style="3" customWidth="1"/>
    <col min="5" max="5" width="20.25" style="3" customWidth="1"/>
    <col min="6" max="6" width="16.75" style="3" customWidth="1"/>
    <col min="7" max="7" width="17.5" style="3" customWidth="1"/>
    <col min="8" max="8" width="13.125" style="3" customWidth="1"/>
    <col min="9" max="9" width="12" style="3" customWidth="1"/>
    <col min="10" max="10" width="19" style="3" customWidth="1"/>
    <col min="11" max="11" width="14.875" style="3" customWidth="1"/>
    <col min="12" max="12" width="20.875" style="3" customWidth="1"/>
    <col min="13" max="16384" width="9.125" style="3" customWidth="1"/>
  </cols>
  <sheetData>
    <row r="1" ht="12.75" customHeight="1" customFormat="1">
      <c r="A1" t="s">
        <v>16</v>
      </c>
      <c r="B1" t="s">
        <v>9</v>
      </c>
      <c r="C1" t="s">
        <v>7</v>
      </c>
      <c r="D1" t="s">
        <v>34</v>
      </c>
      <c r="E1" t="s">
        <v>28</v>
      </c>
      <c r="F1" t="s">
        <v>13</v>
      </c>
      <c r="G1" t="s">
        <v>36</v>
      </c>
      <c r="H1" t="s">
        <v>25</v>
      </c>
      <c r="I1" t="s">
        <v>19</v>
      </c>
      <c r="J1" t="s">
        <v>22</v>
      </c>
      <c r="K1" t="s">
        <v>5</v>
      </c>
      <c r="L1" t="s">
        <v>6</v>
      </c>
      <c r="M1" t="s">
        <v>15</v>
      </c>
    </row>
    <row r="2">
      <c r="A2" s="7" t="s">
        <v>20</v>
      </c>
      <c r="B2" s="7" t="s">
        <v>17</v>
      </c>
      <c r="C2" s="2" t="s">
        <v>23</v>
      </c>
      <c r="D2" s="2" t="s">
        <v>1</v>
      </c>
      <c r="E2" s="10" t="s">
        <v>2</v>
      </c>
      <c r="F2" s="2" t="s">
        <v>3</v>
      </c>
      <c r="G2" s="13" t="s">
        <v>24</v>
      </c>
      <c r="H2" s="8">
        <v>1001879926</v>
      </c>
      <c r="I2" s="5" t="e">
        <f>[1]Output!A2</f>
        <v>#REF!</v>
      </c>
      <c r="J2" s="5" t="e">
        <f>[1]Output!B2</f>
        <v>#REF!</v>
      </c>
      <c r="K2" s="12" t="e">
        <f t="shared" si="0" ref="K2:K5">CONCATENATE(I2,"/",J2)</f>
        <v>#REF!</v>
      </c>
      <c r="L2" s="11" t="s">
        <v>30</v>
      </c>
      <c r="M2" s="4" t="e">
        <f>_xlfn.CONCAT(I2&amp;"/"&amp;J2)</f>
        <v>#NAME?</v>
      </c>
    </row>
    <row r="3">
      <c r="A3" s="7" t="s">
        <v>32</v>
      </c>
      <c r="B3" s="7" t="s">
        <v>17</v>
      </c>
      <c r="C3" s="2" t="s">
        <v>0</v>
      </c>
      <c r="D3" s="2" t="s">
        <v>21</v>
      </c>
      <c r="E3" s="2" t="s">
        <v>35</v>
      </c>
      <c r="F3" s="2" t="s">
        <v>3</v>
      </c>
      <c r="G3" s="13" t="s">
        <v>18</v>
      </c>
      <c r="H3" s="14" t="s">
        <v>37</v>
      </c>
      <c r="I3" s="6" t="s">
        <v>11</v>
      </c>
      <c r="J3" s="6" t="s">
        <v>27</v>
      </c>
      <c r="K3" s="12" t="str">
        <f t="shared" si="0"/>
        <v>6400061831/10</v>
      </c>
      <c r="L3" s="11" t="s">
        <v>30</v>
      </c>
      <c r="M3" s="4"/>
    </row>
    <row r="4">
      <c r="A4" s="7" t="s">
        <v>8</v>
      </c>
      <c r="B4" s="7" t="s">
        <v>17</v>
      </c>
      <c r="C4" s="2" t="s">
        <v>0</v>
      </c>
      <c r="D4" s="2" t="s">
        <v>12</v>
      </c>
      <c r="E4" s="2" t="s">
        <v>35</v>
      </c>
      <c r="F4" s="2" t="s">
        <v>3</v>
      </c>
      <c r="G4" s="13" t="s">
        <v>18</v>
      </c>
      <c r="H4" s="14" t="s">
        <v>10</v>
      </c>
      <c r="I4" s="6" t="s">
        <v>4</v>
      </c>
      <c r="J4" s="6" t="s">
        <v>27</v>
      </c>
      <c r="K4" s="12" t="str">
        <f t="shared" si="0"/>
        <v>6300003393/10</v>
      </c>
      <c r="L4" s="11" t="s">
        <v>30</v>
      </c>
      <c r="M4" s="4"/>
    </row>
    <row r="5">
      <c r="A5" s="7" t="s">
        <v>14</v>
      </c>
      <c r="B5" s="7" t="s">
        <v>33</v>
      </c>
      <c r="C5" s="2" t="s">
        <v>0</v>
      </c>
      <c r="D5" s="2" t="s">
        <v>12</v>
      </c>
      <c r="E5" s="2" t="s">
        <v>35</v>
      </c>
      <c r="F5" s="2" t="s">
        <v>3</v>
      </c>
      <c r="G5" s="13" t="s">
        <v>18</v>
      </c>
      <c r="H5" s="14" t="s">
        <v>26</v>
      </c>
      <c r="I5" s="6" t="s">
        <v>29</v>
      </c>
      <c r="J5" s="6" t="s">
        <v>27</v>
      </c>
      <c r="K5" s="12" t="str">
        <f t="shared" si="0"/>
        <v>6200057977/10</v>
      </c>
      <c r="L5" s="11" t="s">
        <v>30</v>
      </c>
      <c r="M5" s="4"/>
    </row>
  </sheetData>
  <hyperlinks>
    <hyperlink ref="E2" r:id="rId1" display="Welcome@2022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6384" width="9.125" style="3" customWidth="1"/>
  </cols>
  <sheetData>
    <row r="1" ht="12.75" customHeight="1" customFormat="1">
      <c r="A1" t="s">
        <v>31</v>
      </c>
      <c r="B1" t="s">
        <v>22</v>
      </c>
    </row>
    <row r="2">
      <c r="A2" s="9">
        <v>6200402909</v>
      </c>
      <c r="B2" s="4">
        <v>10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