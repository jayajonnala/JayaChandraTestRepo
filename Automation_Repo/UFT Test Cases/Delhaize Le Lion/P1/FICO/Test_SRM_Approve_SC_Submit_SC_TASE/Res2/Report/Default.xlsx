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definedNames>
    <definedName name="_xlnm._FilterDatabase" localSheetId="0" hidden="1">Global!$2:$73</definedName>
  </definedNames>
  <calcPr calcId="40001"/>
</workbook>
</file>

<file path=xl/sharedStrings.xml><?xml version="1.0" encoding="utf-8"?>
<sst xmlns="http://schemas.openxmlformats.org/spreadsheetml/2006/main" uniqueCount="382">
  <si>
    <t>117_SRM Standard SC Catalog Item Different PO Currency (All Opcos)_AB</t>
  </si>
  <si>
    <t>AT_04.04.02.23 VIM - PO Precontrole Issue - BR03 - Missing Vendor Invoice Reference (PO) MI</t>
  </si>
  <si>
    <t>116_SRM Standard SC Limit Item on Cost Center (all opcos)_AB (2nd submit)</t>
  </si>
  <si>
    <t>https://sapportal-pre.delhaize.com/irj/portal/fiori_ad?spnego=disabled#Shell-home</t>
  </si>
  <si>
    <t>ASRMDLL01</t>
  </si>
  <si>
    <t/>
  </si>
  <si>
    <t>=G62</t>
  </si>
  <si>
    <t>IP144_DLL_SC_FreeText_Appr.Note_22</t>
  </si>
  <si>
    <t>BA</t>
  </si>
  <si>
    <t>FX</t>
  </si>
  <si>
    <t>GY</t>
  </si>
  <si>
    <t>HV</t>
  </si>
  <si>
    <t>HZ</t>
  </si>
  <si>
    <t>115_SRM Standard SC Generic Item on Cost Center (MI) P1</t>
  </si>
  <si>
    <t>129b_SRM Technical SC Free Texts on behalf on Asset 3 P1</t>
  </si>
  <si>
    <t>AT_04.04.02.21 VIM - PO Precontrole Issue - BR01 - Invalid Company  MI</t>
  </si>
  <si>
    <t>AT_04.04.02.40 VIM - PO Precontrole Issue - BR18 - Invalid Tax Info (PO) MI</t>
  </si>
  <si>
    <t>AT_140</t>
  </si>
  <si>
    <t>ASRMDLL12</t>
  </si>
  <si>
    <t>ASRMDLL05</t>
  </si>
  <si>
    <t>IP125_DLL_TSC_Cat_onAsset_2Appr_6</t>
  </si>
  <si>
    <t>IP149c_MIGenericItemBudgetCheck_21</t>
  </si>
  <si>
    <t>04_04_02_80_VIM_36</t>
  </si>
  <si>
    <t>IP140_DLL_SC_17</t>
  </si>
  <si>
    <t>DT_TO_DATE</t>
  </si>
  <si>
    <t>DT_NAME_OF_SHOPPING_CART</t>
  </si>
  <si>
    <t>AD</t>
  </si>
  <si>
    <t>AH</t>
  </si>
  <si>
    <t>AL</t>
  </si>
  <si>
    <t>BE</t>
  </si>
  <si>
    <t>BI</t>
  </si>
  <si>
    <t>CB</t>
  </si>
  <si>
    <t>CF</t>
  </si>
  <si>
    <t>DC</t>
  </si>
  <si>
    <t>DG</t>
  </si>
  <si>
    <t>ED</t>
  </si>
  <si>
    <t>FA</t>
  </si>
  <si>
    <t>FE</t>
  </si>
  <si>
    <t>GB</t>
  </si>
  <si>
    <t>160_SRM Standard SC Catalog Item on Internal Order (MI)</t>
  </si>
  <si>
    <t>AT_04.04.02.31 VIM - PO Precontrole Issue - BR10 - Invalid Vendor VAT Number (PO) MI</t>
  </si>
  <si>
    <t>AT_144</t>
  </si>
  <si>
    <t>DT_SAPURL</t>
  </si>
  <si>
    <t>ASRMAB03</t>
  </si>
  <si>
    <t>IP122_MI_Catalog_and_Generic_Items_on_84</t>
  </si>
  <si>
    <t>IP117_DLL_SC_Cat_Different_PO_Curr_7</t>
  </si>
  <si>
    <t>IP119b_MI_Standard_SC_Catalog_CC_28</t>
  </si>
  <si>
    <t>IP119b_AB_Standard_Catalog_CC_12</t>
  </si>
  <si>
    <t>IP119b_AB_Standard_SC_Catalog_CC_13</t>
  </si>
  <si>
    <t>Test_115_70</t>
  </si>
  <si>
    <t>R</t>
  </si>
  <si>
    <t>V</t>
  </si>
  <si>
    <t>AP</t>
  </si>
  <si>
    <t>AT</t>
  </si>
  <si>
    <t>BM</t>
  </si>
  <si>
    <t>BQ</t>
  </si>
  <si>
    <t>CJ</t>
  </si>
  <si>
    <t>CN</t>
  </si>
  <si>
    <t>CR</t>
  </si>
  <si>
    <t>DK</t>
  </si>
  <si>
    <t>DO</t>
  </si>
  <si>
    <t>EH</t>
  </si>
  <si>
    <t>EL</t>
  </si>
  <si>
    <t>FI</t>
  </si>
  <si>
    <t>FM</t>
  </si>
  <si>
    <t>GF</t>
  </si>
  <si>
    <t>GJ</t>
  </si>
  <si>
    <t>HC</t>
  </si>
  <si>
    <t>HG</t>
  </si>
  <si>
    <t>HK</t>
  </si>
  <si>
    <t>ID</t>
  </si>
  <si>
    <t>IH</t>
  </si>
  <si>
    <t>Scenario</t>
  </si>
  <si>
    <t>PM020 - Asset- equipment from capex catalog item SC - Asset master data check</t>
  </si>
  <si>
    <t>AT_04.04.02.30 VIM - PO Precontrole Issue - BR09 - Invalid Recipien MI</t>
  </si>
  <si>
    <t>AT_04.04.02.36 VIM - PO Precontrole Issue - BR14 - Company Code Mismatch (PO) MI</t>
  </si>
  <si>
    <t>AT_AA_025</t>
  </si>
  <si>
    <t>AT_04.04.02.69 VIM - PO - Technical Approval - Shop on behalf</t>
  </si>
  <si>
    <t>Iovio1112</t>
  </si>
  <si>
    <t>IP119b_DLL_Standard_SC_Catalog_CC_87</t>
  </si>
  <si>
    <t>IP119b_AB_Standard_SC_Catalog_CC_31</t>
  </si>
  <si>
    <t>Test_115_92</t>
  </si>
  <si>
    <t>IP129_MITecSC_CatalogBehalfonAsset2_72</t>
  </si>
  <si>
    <t>Z</t>
  </si>
  <si>
    <t>AX</t>
  </si>
  <si>
    <t>BU</t>
  </si>
  <si>
    <t>BY</t>
  </si>
  <si>
    <t>CV</t>
  </si>
  <si>
    <t>CZ</t>
  </si>
  <si>
    <t>DS</t>
  </si>
  <si>
    <t>DW</t>
  </si>
  <si>
    <t>EP</t>
  </si>
  <si>
    <t>ET</t>
  </si>
  <si>
    <t>EX</t>
  </si>
  <si>
    <t>FQ</t>
  </si>
  <si>
    <t>FU</t>
  </si>
  <si>
    <t>GN</t>
  </si>
  <si>
    <t>GR</t>
  </si>
  <si>
    <t>HO</t>
  </si>
  <si>
    <t>HS</t>
  </si>
  <si>
    <t>IL</t>
  </si>
  <si>
    <t>IP</t>
  </si>
  <si>
    <t>04.04.02.58 VIM - PO Precontrole Issue - Process PO Invoice (PO) - Manual Posting - Euro to RON</t>
  </si>
  <si>
    <t>136_SRM Regularization SC Generic item on cost Center (MI)_P1</t>
  </si>
  <si>
    <t>PM024_58</t>
  </si>
  <si>
    <t>AA</t>
  </si>
  <si>
    <t>BB</t>
  </si>
  <si>
    <t>FY</t>
  </si>
  <si>
    <t>GV</t>
  </si>
  <si>
    <t>GZ</t>
  </si>
  <si>
    <t>HW</t>
  </si>
  <si>
    <t>IT</t>
  </si>
  <si>
    <t>129_SRM Technical SC Catalog Items on behalf on Asset 3</t>
  </si>
  <si>
    <t>ASRMMI05</t>
  </si>
  <si>
    <t>ASRMDLL06</t>
  </si>
  <si>
    <t>ASRMDLL02</t>
  </si>
  <si>
    <t>ASRMMI12</t>
  </si>
  <si>
    <t>ASRMMI01</t>
  </si>
  <si>
    <t>IP130_DLL_TechSC_CatFreeText_onCC_29</t>
  </si>
  <si>
    <t>DT_WINDOW_TITLE</t>
  </si>
  <si>
    <t>AE</t>
  </si>
  <si>
    <t>AI</t>
  </si>
  <si>
    <t>BF</t>
  </si>
  <si>
    <t>BJ</t>
  </si>
  <si>
    <t>CC</t>
  </si>
  <si>
    <t>CG</t>
  </si>
  <si>
    <t>DD</t>
  </si>
  <si>
    <t>DH</t>
  </si>
  <si>
    <t>EA</t>
  </si>
  <si>
    <t>EE</t>
  </si>
  <si>
    <t>FB</t>
  </si>
  <si>
    <t>GC</t>
  </si>
  <si>
    <t>AT_04.04.02.77 VIM - PO - Catalog Item approval</t>
  </si>
  <si>
    <t>AT_04.04.02.80 VIM - PO - Catalog Item approval</t>
  </si>
  <si>
    <t>http://sapportal-pre.delhaize.com/irj/portal?spnego=disabled</t>
  </si>
  <si>
    <t>Iovio001</t>
  </si>
  <si>
    <t>DT_SAPOPTIONS</t>
  </si>
  <si>
    <t>Test_115_42</t>
  </si>
  <si>
    <t>IP123_DLL_Std_SC_FreeText_on_Order_8</t>
  </si>
  <si>
    <t>DT_APPROVAL_MESSAGE</t>
  </si>
  <si>
    <t>Approved</t>
  </si>
  <si>
    <t>S</t>
  </si>
  <si>
    <t>AM</t>
  </si>
  <si>
    <t>AQ</t>
  </si>
  <si>
    <t>AU</t>
  </si>
  <si>
    <t>BN</t>
  </si>
  <si>
    <t>BR</t>
  </si>
  <si>
    <t>CK</t>
  </si>
  <si>
    <t>CO</t>
  </si>
  <si>
    <t>DL</t>
  </si>
  <si>
    <t>DP</t>
  </si>
  <si>
    <t>EI</t>
  </si>
  <si>
    <t>EM</t>
  </si>
  <si>
    <t>FF</t>
  </si>
  <si>
    <t>FJ</t>
  </si>
  <si>
    <t>FN</t>
  </si>
  <si>
    <t>GG</t>
  </si>
  <si>
    <t>GK</t>
  </si>
  <si>
    <t>HD</t>
  </si>
  <si>
    <t>HH</t>
  </si>
  <si>
    <t>IA</t>
  </si>
  <si>
    <t>IE</t>
  </si>
  <si>
    <t>II</t>
  </si>
  <si>
    <t>116_SRM Standard SC Limit Item on Cost Center (all opcos)</t>
  </si>
  <si>
    <t>117_SRM Standard SC Catalog Item Different PO Currency (All Opcos)</t>
  </si>
  <si>
    <t>116_SRM Standard SC Limit Item on Cost Center (all opcos)_MI</t>
  </si>
  <si>
    <t>119b_SRM Standard SC Catalog CostCenter</t>
  </si>
  <si>
    <t>04.04.02.54 VIM - PO Precontrole Issue - Process PO Invoice (PO) - Auto Posting - Euro to RON</t>
  </si>
  <si>
    <t>Iovio2019</t>
  </si>
  <si>
    <t>PM023_148</t>
  </si>
  <si>
    <t>IP123_DLL_Std_SC_FreeText_on_Order_44</t>
  </si>
  <si>
    <t>IP129b_ABTechSC_FreeTxtBehalfonAsset_8</t>
  </si>
  <si>
    <t>IP117_DLL_SC_Cat_Different_PO_Curr_8</t>
  </si>
  <si>
    <t>IP149b_AB_SC_23</t>
  </si>
  <si>
    <t>DT_CREATED_ON</t>
  </si>
  <si>
    <t>Awaiting Approval</t>
  </si>
  <si>
    <t>PM020 30092019</t>
  </si>
  <si>
    <t>W</t>
  </si>
  <si>
    <t>AY</t>
  </si>
  <si>
    <t>BV</t>
  </si>
  <si>
    <t>BZ</t>
  </si>
  <si>
    <t>CS</t>
  </si>
  <si>
    <t>CW</t>
  </si>
  <si>
    <t>DT</t>
  </si>
  <si>
    <t>DX</t>
  </si>
  <si>
    <t>EQ</t>
  </si>
  <si>
    <t>EU</t>
  </si>
  <si>
    <t>FR</t>
  </si>
  <si>
    <t>FV</t>
  </si>
  <si>
    <t>GO</t>
  </si>
  <si>
    <t>GS</t>
  </si>
  <si>
    <t>HL</t>
  </si>
  <si>
    <t>HP</t>
  </si>
  <si>
    <t>HT</t>
  </si>
  <si>
    <t>IM</t>
  </si>
  <si>
    <t>IQ</t>
  </si>
  <si>
    <t>116_SRM Standard SC Limit Item on Cost Center (all opcos)_AB</t>
  </si>
  <si>
    <t>AA059-Manage FA Acquisition-acq SRM –SC EUR and IR with warranty for building_P5</t>
  </si>
  <si>
    <t>AT_04.04.02.39 VIM - PO Precontrole Issue - BR17 - Balance Not Zero MI</t>
  </si>
  <si>
    <t>DT_SC_NAME</t>
  </si>
  <si>
    <t>IP121_DLL_Catalog_and_Freetext_on_CC_19</t>
  </si>
  <si>
    <t>AA025_68</t>
  </si>
  <si>
    <t>IP140_DLL_SC_22</t>
  </si>
  <si>
    <t>ApprovedStatus</t>
  </si>
  <si>
    <t>Approve Shopping Cart</t>
  </si>
  <si>
    <t>AB</t>
  </si>
  <si>
    <t>EY</t>
  </si>
  <si>
    <t>FZ</t>
  </si>
  <si>
    <t>GW</t>
  </si>
  <si>
    <t>HX</t>
  </si>
  <si>
    <t>IU</t>
  </si>
  <si>
    <t>Row_Number</t>
  </si>
  <si>
    <t>122_SRM Standard SC Catalog Item and Generic Item on Cost Center (MI)</t>
  </si>
  <si>
    <t>123_SRM Standard SC Free Text on order (DLL)</t>
  </si>
  <si>
    <t>AT_124</t>
  </si>
  <si>
    <t>ASRMDLL03</t>
  </si>
  <si>
    <t>ASRMMI02</t>
  </si>
  <si>
    <t>Welcome@2024</t>
  </si>
  <si>
    <t>Test_115_113</t>
  </si>
  <si>
    <t>IP129_DLLTecSC_VIM_69_9</t>
  </si>
  <si>
    <t>AF</t>
  </si>
  <si>
    <t>AJ</t>
  </si>
  <si>
    <t>BC</t>
  </si>
  <si>
    <t>BG</t>
  </si>
  <si>
    <t>BK</t>
  </si>
  <si>
    <t>CD</t>
  </si>
  <si>
    <t>CH</t>
  </si>
  <si>
    <t>DA</t>
  </si>
  <si>
    <t>DE</t>
  </si>
  <si>
    <t>EB</t>
  </si>
  <si>
    <t>EF</t>
  </si>
  <si>
    <t>FC</t>
  </si>
  <si>
    <t>HA</t>
  </si>
  <si>
    <t>120_SRM Standard SC Free Text on Real Capex WBS (DLL)</t>
  </si>
  <si>
    <t>125_SRM Technical SC Catalog Items on Asset 2 Approvals (DLL-MI</t>
  </si>
  <si>
    <t>AT_162_SRM Shopping Cart Deletion After Approval (MI)</t>
  </si>
  <si>
    <t>PM024 - Execute Approval Technical for cost center Capex</t>
  </si>
  <si>
    <t>AT_04.04.02.22 VIM - PO Precontrole Issue - BR02 - Missing Invoice  MI</t>
  </si>
  <si>
    <t>AT_04.04.02.24 VIM - PO Precontrole Issue - BR04 - Invalid Vendor (PO) MI</t>
  </si>
  <si>
    <t>ASRMAB01</t>
  </si>
  <si>
    <t>ASRMAB12</t>
  </si>
  <si>
    <t>IP116_AB_Standard_SC_Limit_ItemonCC_25</t>
  </si>
  <si>
    <t>IP116_AB_Standard_SC_Limit_ItemonCC_3</t>
  </si>
  <si>
    <t>IP149c_MIGenericItemBudgetCheck_16</t>
  </si>
  <si>
    <t>Action was successfully performed</t>
  </si>
  <si>
    <t>T</t>
  </si>
  <si>
    <t>AN</t>
  </si>
  <si>
    <t>AR</t>
  </si>
  <si>
    <t>BO</t>
  </si>
  <si>
    <t>BS</t>
  </si>
  <si>
    <t>CL</t>
  </si>
  <si>
    <t>CP</t>
  </si>
  <si>
    <t>DI</t>
  </si>
  <si>
    <t>DM</t>
  </si>
  <si>
    <t>DQ</t>
  </si>
  <si>
    <t>EJ</t>
  </si>
  <si>
    <t>EN</t>
  </si>
  <si>
    <t>FG</t>
  </si>
  <si>
    <t>FK</t>
  </si>
  <si>
    <t>GD</t>
  </si>
  <si>
    <t>GH</t>
  </si>
  <si>
    <t>GL</t>
  </si>
  <si>
    <t>HE</t>
  </si>
  <si>
    <t>HI</t>
  </si>
  <si>
    <t>IB</t>
  </si>
  <si>
    <t>IF</t>
  </si>
  <si>
    <t>IJ</t>
  </si>
  <si>
    <t>AT_04.04.02.51 VIM -  MI</t>
  </si>
  <si>
    <t>Iovio002</t>
  </si>
  <si>
    <t>IP117_DLL_SC_Cat_Different_PO_Curr_29</t>
  </si>
  <si>
    <t>IP116_DLL_Standard_SC_Limit_ItemonCC_12</t>
  </si>
  <si>
    <t>IP119b_DLL_Standard_SC_Catalog_CC_78</t>
  </si>
  <si>
    <t>DT_</t>
  </si>
  <si>
    <t>DT_WINDOW_TITLE_CHECK</t>
  </si>
  <si>
    <t>X</t>
  </si>
  <si>
    <t>AV</t>
  </si>
  <si>
    <t>AZ</t>
  </si>
  <si>
    <t>BW</t>
  </si>
  <si>
    <t>CT</t>
  </si>
  <si>
    <t>CX</t>
  </si>
  <si>
    <t>DU</t>
  </si>
  <si>
    <t>DY</t>
  </si>
  <si>
    <t>ER</t>
  </si>
  <si>
    <t>EV</t>
  </si>
  <si>
    <t>FO</t>
  </si>
  <si>
    <t>FS</t>
  </si>
  <si>
    <t>FW</t>
  </si>
  <si>
    <t>GP</t>
  </si>
  <si>
    <t>GT</t>
  </si>
  <si>
    <t>HM</t>
  </si>
  <si>
    <t>HQ</t>
  </si>
  <si>
    <t>IN</t>
  </si>
  <si>
    <t>IR</t>
  </si>
  <si>
    <t>AT_04.04.02.78 VIM - PO - Catalog Item approval_AB</t>
  </si>
  <si>
    <t>IP116_DLL_Standard_SC_Limit_ItemonCC_169</t>
  </si>
  <si>
    <t>160_SRM_21</t>
  </si>
  <si>
    <t>DT_GMLJUWLMAINVIEWFILTER_SUBJECT</t>
  </si>
  <si>
    <t>AC</t>
  </si>
  <si>
    <t>EZ</t>
  </si>
  <si>
    <t>GX</t>
  </si>
  <si>
    <t>HU</t>
  </si>
  <si>
    <t>HY</t>
  </si>
  <si>
    <t>AT_149c</t>
  </si>
  <si>
    <t>149b_SRM_AB</t>
  </si>
  <si>
    <t>ASRMMI03</t>
  </si>
  <si>
    <t>ASRMDLL04</t>
  </si>
  <si>
    <t>DT_SAPPASSWORD</t>
  </si>
  <si>
    <t>Test_136_2</t>
  </si>
  <si>
    <t>IP119b_DLL_VIM_77_12</t>
  </si>
  <si>
    <t>AG</t>
  </si>
  <si>
    <t>AK</t>
  </si>
  <si>
    <t>BD</t>
  </si>
  <si>
    <t>BH</t>
  </si>
  <si>
    <t>CA</t>
  </si>
  <si>
    <t>CE</t>
  </si>
  <si>
    <t>CI</t>
  </si>
  <si>
    <t>DB</t>
  </si>
  <si>
    <t>DF</t>
  </si>
  <si>
    <t>EC</t>
  </si>
  <si>
    <t>FD</t>
  </si>
  <si>
    <t>GA</t>
  </si>
  <si>
    <t>HB</t>
  </si>
  <si>
    <t>AT_04.04.02.37 VIM - PO Precontrole Issue - BR15 - Vendor Mismatch (PO) MI</t>
  </si>
  <si>
    <t>DT_SAPUSER</t>
  </si>
  <si>
    <t>ASRMAB02</t>
  </si>
  <si>
    <t>Iovio2020</t>
  </si>
  <si>
    <t>IP117_DLL_SC_Cat_Different_PO_Curr_11</t>
  </si>
  <si>
    <t>IP120_DLL_Stndrd_SC_Cat_Real_Capex_145</t>
  </si>
  <si>
    <t>IP123_DLL_Std_SC_FreeText_on_Order_42</t>
  </si>
  <si>
    <t>DT_SC_NUMBER</t>
  </si>
  <si>
    <t>Q</t>
  </si>
  <si>
    <t>U</t>
  </si>
  <si>
    <t>AO</t>
  </si>
  <si>
    <t>AS</t>
  </si>
  <si>
    <t>BL</t>
  </si>
  <si>
    <t>BP</t>
  </si>
  <si>
    <t>BT</t>
  </si>
  <si>
    <t>CM</t>
  </si>
  <si>
    <t>CQ</t>
  </si>
  <si>
    <t>DJ</t>
  </si>
  <si>
    <t>DN</t>
  </si>
  <si>
    <t>EG</t>
  </si>
  <si>
    <t>EK</t>
  </si>
  <si>
    <t>EO</t>
  </si>
  <si>
    <t>FH</t>
  </si>
  <si>
    <t>FL</t>
  </si>
  <si>
    <t>GE</t>
  </si>
  <si>
    <t>GI</t>
  </si>
  <si>
    <t>HF</t>
  </si>
  <si>
    <t>HJ</t>
  </si>
  <si>
    <t>IC</t>
  </si>
  <si>
    <t>IG</t>
  </si>
  <si>
    <t>117_SRM Standard SC Catalog Item Different PO Currency (All Opcos)_MI</t>
  </si>
  <si>
    <t xml:space="preserve"> 121_SRM Standard SC Catalog Item and Free text on Cost Center (DLL-AB)           </t>
  </si>
  <si>
    <t>ASRMAB06</t>
  </si>
  <si>
    <t>Iovio1111</t>
  </si>
  <si>
    <t>AA059_35</t>
  </si>
  <si>
    <t>IP129b_ABTechSC_FreeTxtBehalfonAsset_6</t>
  </si>
  <si>
    <t>Test_115_37</t>
  </si>
  <si>
    <t>124_MI_TechSC_Asset_ReqAppr_only 41</t>
  </si>
  <si>
    <t>IP129_MITecSC_CatalogBehalfonAsset_67</t>
  </si>
  <si>
    <t>IP119b_DLL_Standard_SC_Catalog_CC_86</t>
  </si>
  <si>
    <t>Y</t>
  </si>
  <si>
    <t>AW</t>
  </si>
  <si>
    <t>BX</t>
  </si>
  <si>
    <t>CU</t>
  </si>
  <si>
    <t>CY</t>
  </si>
  <si>
    <t>DR</t>
  </si>
  <si>
    <t>DV</t>
  </si>
  <si>
    <t>DZ</t>
  </si>
  <si>
    <t>ES</t>
  </si>
  <si>
    <t>EW</t>
  </si>
  <si>
    <t>FP</t>
  </si>
  <si>
    <t>FT</t>
  </si>
  <si>
    <t>GM</t>
  </si>
  <si>
    <t>GQ</t>
  </si>
  <si>
    <t>GU</t>
  </si>
  <si>
    <t>HN</t>
  </si>
  <si>
    <t>HR</t>
  </si>
  <si>
    <t>IK</t>
  </si>
  <si>
    <t>IO</t>
  </si>
  <si>
    <t>IS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</si>
</sst>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\.mm\.yyyy"/>
  </numFmts>
  <fonts count="3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Mic Shell Dlg"/>
      <charset val="1"/>
    </font>
    <font>
      <sz val="11"/>
      <color indexed="8"/>
      <name val="Mic Shell Dlg"/>
      <charset val="1"/>
    </font>
    <font>
      <sz val="10"/>
      <name val="Mic Shell Dlg"/>
      <charset val="1"/>
    </font>
    <font>
      <sz val="10"/>
      <color indexed="10"/>
      <name val="Mic Shell Dlg"/>
      <charset val="1"/>
    </font>
    <font>
      <sz val="10"/>
      <color indexed="9"/>
      <name val="Mic Shell Dlg"/>
      <charset val="1"/>
    </font>
    <font>
      <sz val="10"/>
      <color indexed="12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2"/>
      <name val="Mic Shell Dlg"/>
      <charset val="1"/>
    </font>
    <font>
      <sz val="11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Protection="1">
      <protection locked="0"/>
    </xf>
    <xf numFmtId="0" fontId="3" fillId="0" borderId="1" xfId="0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2" fillId="0" borderId="0" xfId="0" applyFont="1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3" fillId="0" borderId="0" xfId="0" applyBorder="1" applyProtection="1">
      <protection locked="0"/>
    </xf>
    <xf numFmtId="49" fontId="3" fillId="3" borderId="1" xfId="0" applyNumberFormat="1" applyFill="1" applyBorder="1" applyProtection="1">
      <protection locked="0"/>
    </xf>
    <xf numFmtId="0" fontId="3" fillId="0" borderId="2" xfId="0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5" fillId="4" borderId="1" xfId="0" applyNumberFormat="1" applyFont="1" applyFill="1" applyBorder="1" applyProtection="1">
      <protection locked="0"/>
    </xf>
    <xf numFmtId="49" fontId="6" fillId="5" borderId="1" xfId="0" applyNumberFormat="1" applyFont="1" applyFill="1" applyBorder="1" applyProtection="1">
      <protection locked="0"/>
    </xf>
    <xf numFmtId="0" fontId="7" fillId="0" borderId="1" xfId="0" applyFont="1" applyFill="1" applyBorder="1" applyProtection="1">
      <protection locked="0"/>
    </xf>
    <xf numFmtId="49" fontId="8" fillId="4" borderId="1" xfId="0" applyNumberFormat="1" applyFont="1" applyFill="1" applyBorder="1" applyProtection="1"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2" fillId="0" borderId="1" xfId="0" applyFont="1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9" fillId="5" borderId="1" xfId="0" applyNumberFormat="1" applyFont="1" applyFill="1" applyBorder="1" applyProtection="1">
      <protection locked="0"/>
    </xf>
    <xf numFmtId="0" fontId="3" fillId="6" borderId="1" xfId="0" applyNumberFormat="1" applyFill="1" applyBorder="1" applyProtection="1">
      <protection locked="0"/>
    </xf>
    <xf numFmtId="164" fontId="3" fillId="0" borderId="1" xfId="0" applyNumberFormat="1" applyBorder="1" applyProtection="1">
      <protection locked="0"/>
    </xf>
    <xf numFmtId="0" fontId="10" fillId="4" borderId="1" xfId="0" applyFont="1" applyFill="1" applyBorder="1" applyProtection="1">
      <protection locked="0"/>
    </xf>
    <xf numFmtId="165" fontId="3" fillId="0" borderId="1" xfId="0" applyNumberFormat="1" applyBorder="1" applyProtection="1">
      <protection locked="0"/>
    </xf>
    <xf numFmtId="0" fontId="7" fillId="0" borderId="0" xfId="0" applyFont="1" applyFill="1" applyBorder="1" applyProtection="1">
      <protection locked="0"/>
    </xf>
    <xf numFmtId="0" fontId="11" fillId="0" borderId="1" xfId="0" applyFont="1" applyFill="1" applyBorder="1" applyProtection="1">
      <protection locked="0"/>
    </xf>
    <xf numFmtId="0" fontId="3" fillId="2" borderId="1" xfId="0" applyFill="1" applyBorder="1" applyProtection="1">
      <protection locked="0"/>
    </xf>
    <xf numFmtId="0" fontId="12" fillId="0" borderId="1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49" fontId="13" fillId="3" borderId="1" xfId="1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4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U78"/>
  <sheetViews>
    <sheetView tabSelected="1" workbookViewId="0">
      <selection activeCell="A2" sqref="A2"/>
    </sheetView>
  </sheetViews>
  <sheetFormatPr defaultColWidth="9.125" defaultRowHeight="14.25"/>
  <cols>
    <col min="1" max="1" width="11.125" style="4" bestFit="1" customWidth="1"/>
    <col min="2" max="2" width="81.625" style="4" bestFit="1" customWidth="1"/>
    <col min="3" max="3" width="63.875" style="4" bestFit="1" customWidth="1"/>
    <col min="4" max="4" width="12.25" style="4" bestFit="1" customWidth="1"/>
    <col min="5" max="5" width="17.625" style="4" bestFit="1" customWidth="1"/>
    <col min="6" max="6" width="15.125" style="4" bestFit="1" customWidth="1"/>
    <col min="7" max="7" width="38.5" style="4" bestFit="1" customWidth="1"/>
    <col min="8" max="8" width="37.125" style="4" bestFit="1" customWidth="1"/>
    <col min="9" max="9" width="17.375" style="8" customWidth="1"/>
    <col min="10" max="10" width="13" style="8" customWidth="1"/>
    <col min="11" max="11" width="30.125" style="4" bestFit="1" customWidth="1"/>
    <col min="12" max="12" width="22.625" style="4" bestFit="1" customWidth="1"/>
    <col min="13" max="13" width="18.625" style="25" bestFit="1" customWidth="1"/>
    <col min="14" max="14" width="26.75" style="29" bestFit="1" customWidth="1"/>
    <col min="15" max="15" width="30.875" style="29" bestFit="1" customWidth="1"/>
    <col min="16" max="16" width="14.75" style="4" bestFit="1" customWidth="1"/>
    <col min="17" max="255" width="9.125" style="4" customWidth="1"/>
    <col min="256" max="16384" width="9.125" style="8" customWidth="1"/>
  </cols>
  <sheetData>
    <row r="1" ht="14.85" customFormat="1">
      <c r="A1" t="s">
        <v>211</v>
      </c>
      <c r="B1" t="s">
        <v>72</v>
      </c>
      <c r="C1" t="s">
        <v>42</v>
      </c>
      <c r="D1" t="s">
        <v>323</v>
      </c>
      <c r="E1" t="s">
        <v>306</v>
      </c>
      <c r="F1" t="s">
        <v>136</v>
      </c>
      <c r="G1" t="s">
        <v>199</v>
      </c>
      <c r="H1" t="s">
        <v>296</v>
      </c>
      <c r="I1" t="s">
        <v>174</v>
      </c>
      <c r="J1" t="s">
        <v>24</v>
      </c>
      <c r="K1" t="s">
        <v>272</v>
      </c>
      <c r="L1" t="s">
        <v>139</v>
      </c>
      <c r="M1" t="s">
        <v>119</v>
      </c>
      <c r="N1" t="s">
        <v>273</v>
      </c>
      <c r="O1" t="s">
        <v>25</v>
      </c>
      <c r="P1" t="s">
        <v>329</v>
      </c>
      <c r="Q1" t="s">
        <v>330</v>
      </c>
      <c r="R1" t="s">
        <v>50</v>
      </c>
      <c r="S1" t="s">
        <v>141</v>
      </c>
      <c r="T1" t="s">
        <v>245</v>
      </c>
      <c r="U1" t="s">
        <v>331</v>
      </c>
      <c r="V1" t="s">
        <v>51</v>
      </c>
      <c r="W1" t="s">
        <v>177</v>
      </c>
      <c r="X1" t="s">
        <v>274</v>
      </c>
      <c r="Y1" t="s">
        <v>362</v>
      </c>
      <c r="Z1" t="s">
        <v>83</v>
      </c>
      <c r="AA1" t="s">
        <v>105</v>
      </c>
      <c r="AB1" t="s">
        <v>205</v>
      </c>
      <c r="AC1" t="s">
        <v>297</v>
      </c>
      <c r="AD1" t="s">
        <v>26</v>
      </c>
      <c r="AE1" t="s">
        <v>120</v>
      </c>
      <c r="AF1" t="s">
        <v>220</v>
      </c>
      <c r="AG1" t="s">
        <v>309</v>
      </c>
      <c r="AH1" t="s">
        <v>27</v>
      </c>
      <c r="AI1" t="s">
        <v>121</v>
      </c>
      <c r="AJ1" t="s">
        <v>221</v>
      </c>
      <c r="AK1" t="s">
        <v>310</v>
      </c>
      <c r="AL1" t="s">
        <v>28</v>
      </c>
      <c r="AM1" t="s">
        <v>142</v>
      </c>
      <c r="AN1" t="s">
        <v>246</v>
      </c>
      <c r="AO1" t="s">
        <v>332</v>
      </c>
      <c r="AP1" t="s">
        <v>52</v>
      </c>
      <c r="AQ1" t="s">
        <v>143</v>
      </c>
      <c r="AR1" t="s">
        <v>247</v>
      </c>
      <c r="AS1" t="s">
        <v>333</v>
      </c>
      <c r="AT1" t="s">
        <v>53</v>
      </c>
      <c r="AU1" t="s">
        <v>144</v>
      </c>
      <c r="AV1" t="s">
        <v>275</v>
      </c>
      <c r="AW1" t="s">
        <v>363</v>
      </c>
      <c r="AX1" t="s">
        <v>84</v>
      </c>
      <c r="AY1" t="s">
        <v>178</v>
      </c>
      <c r="AZ1" t="s">
        <v>276</v>
      </c>
      <c r="BA1" t="s">
        <v>8</v>
      </c>
      <c r="BB1" t="s">
        <v>106</v>
      </c>
      <c r="BC1" t="s">
        <v>222</v>
      </c>
      <c r="BD1" t="s">
        <v>311</v>
      </c>
      <c r="BE1" t="s">
        <v>29</v>
      </c>
      <c r="BF1" t="s">
        <v>122</v>
      </c>
      <c r="BG1" t="s">
        <v>223</v>
      </c>
      <c r="BH1" t="s">
        <v>312</v>
      </c>
      <c r="BI1" t="s">
        <v>30</v>
      </c>
      <c r="BJ1" t="s">
        <v>123</v>
      </c>
      <c r="BK1" t="s">
        <v>224</v>
      </c>
      <c r="BL1" t="s">
        <v>334</v>
      </c>
      <c r="BM1" t="s">
        <v>54</v>
      </c>
      <c r="BN1" t="s">
        <v>145</v>
      </c>
      <c r="BO1" t="s">
        <v>248</v>
      </c>
      <c r="BP1" t="s">
        <v>335</v>
      </c>
      <c r="BQ1" t="s">
        <v>55</v>
      </c>
      <c r="BR1" t="s">
        <v>146</v>
      </c>
      <c r="BS1" t="s">
        <v>249</v>
      </c>
      <c r="BT1" t="s">
        <v>336</v>
      </c>
      <c r="BU1" t="s">
        <v>85</v>
      </c>
      <c r="BV1" t="s">
        <v>179</v>
      </c>
      <c r="BW1" t="s">
        <v>277</v>
      </c>
      <c r="BX1" t="s">
        <v>364</v>
      </c>
      <c r="BY1" t="s">
        <v>86</v>
      </c>
      <c r="BZ1" t="s">
        <v>180</v>
      </c>
      <c r="CA1" t="s">
        <v>313</v>
      </c>
      <c r="CB1" t="s">
        <v>31</v>
      </c>
      <c r="CC1" t="s">
        <v>124</v>
      </c>
      <c r="CD1" t="s">
        <v>225</v>
      </c>
      <c r="CE1" t="s">
        <v>314</v>
      </c>
      <c r="CF1" t="s">
        <v>32</v>
      </c>
      <c r="CG1" t="s">
        <v>125</v>
      </c>
      <c r="CH1" t="s">
        <v>226</v>
      </c>
      <c r="CI1" t="s">
        <v>315</v>
      </c>
      <c r="CJ1" t="s">
        <v>56</v>
      </c>
      <c r="CK1" t="s">
        <v>147</v>
      </c>
      <c r="CL1" t="s">
        <v>250</v>
      </c>
      <c r="CM1" t="s">
        <v>337</v>
      </c>
      <c r="CN1" t="s">
        <v>57</v>
      </c>
      <c r="CO1" t="s">
        <v>148</v>
      </c>
      <c r="CP1" t="s">
        <v>251</v>
      </c>
      <c r="CQ1" t="s">
        <v>338</v>
      </c>
      <c r="CR1" t="s">
        <v>58</v>
      </c>
      <c r="CS1" t="s">
        <v>181</v>
      </c>
      <c r="CT1" t="s">
        <v>278</v>
      </c>
      <c r="CU1" t="s">
        <v>365</v>
      </c>
      <c r="CV1" t="s">
        <v>87</v>
      </c>
      <c r="CW1" t="s">
        <v>182</v>
      </c>
      <c r="CX1" t="s">
        <v>279</v>
      </c>
      <c r="CY1" t="s">
        <v>366</v>
      </c>
      <c r="CZ1" t="s">
        <v>88</v>
      </c>
      <c r="DA1" t="s">
        <v>227</v>
      </c>
      <c r="DB1" t="s">
        <v>316</v>
      </c>
      <c r="DC1" t="s">
        <v>33</v>
      </c>
      <c r="DD1" t="s">
        <v>126</v>
      </c>
      <c r="DE1" t="s">
        <v>228</v>
      </c>
      <c r="DF1" t="s">
        <v>317</v>
      </c>
      <c r="DG1" t="s">
        <v>34</v>
      </c>
      <c r="DH1" t="s">
        <v>127</v>
      </c>
      <c r="DI1" t="s">
        <v>252</v>
      </c>
      <c r="DJ1" t="s">
        <v>339</v>
      </c>
      <c r="DK1" t="s">
        <v>59</v>
      </c>
      <c r="DL1" t="s">
        <v>149</v>
      </c>
      <c r="DM1" t="s">
        <v>253</v>
      </c>
      <c r="DN1" t="s">
        <v>340</v>
      </c>
      <c r="DO1" t="s">
        <v>60</v>
      </c>
      <c r="DP1" t="s">
        <v>150</v>
      </c>
      <c r="DQ1" t="s">
        <v>254</v>
      </c>
      <c r="DR1" t="s">
        <v>367</v>
      </c>
      <c r="DS1" t="s">
        <v>89</v>
      </c>
      <c r="DT1" t="s">
        <v>183</v>
      </c>
      <c r="DU1" t="s">
        <v>280</v>
      </c>
      <c r="DV1" t="s">
        <v>368</v>
      </c>
      <c r="DW1" t="s">
        <v>90</v>
      </c>
      <c r="DX1" t="s">
        <v>184</v>
      </c>
      <c r="DY1" t="s">
        <v>281</v>
      </c>
      <c r="DZ1" t="s">
        <v>369</v>
      </c>
      <c r="EA1" t="s">
        <v>128</v>
      </c>
      <c r="EB1" t="s">
        <v>229</v>
      </c>
      <c r="EC1" t="s">
        <v>318</v>
      </c>
      <c r="ED1" t="s">
        <v>35</v>
      </c>
      <c r="EE1" t="s">
        <v>129</v>
      </c>
      <c r="EF1" t="s">
        <v>230</v>
      </c>
      <c r="EG1" t="s">
        <v>341</v>
      </c>
      <c r="EH1" t="s">
        <v>61</v>
      </c>
      <c r="EI1" t="s">
        <v>151</v>
      </c>
      <c r="EJ1" t="s">
        <v>255</v>
      </c>
      <c r="EK1" t="s">
        <v>342</v>
      </c>
      <c r="EL1" t="s">
        <v>62</v>
      </c>
      <c r="EM1" t="s">
        <v>152</v>
      </c>
      <c r="EN1" t="s">
        <v>256</v>
      </c>
      <c r="EO1" t="s">
        <v>343</v>
      </c>
      <c r="EP1" t="s">
        <v>91</v>
      </c>
      <c r="EQ1" t="s">
        <v>185</v>
      </c>
      <c r="ER1" t="s">
        <v>282</v>
      </c>
      <c r="ES1" t="s">
        <v>370</v>
      </c>
      <c r="ET1" t="s">
        <v>92</v>
      </c>
      <c r="EU1" t="s">
        <v>186</v>
      </c>
      <c r="EV1" t="s">
        <v>283</v>
      </c>
      <c r="EW1" t="s">
        <v>371</v>
      </c>
      <c r="EX1" t="s">
        <v>93</v>
      </c>
      <c r="EY1" t="s">
        <v>206</v>
      </c>
      <c r="EZ1" t="s">
        <v>298</v>
      </c>
      <c r="FA1" t="s">
        <v>36</v>
      </c>
      <c r="FB1" t="s">
        <v>130</v>
      </c>
      <c r="FC1" t="s">
        <v>231</v>
      </c>
      <c r="FD1" t="s">
        <v>319</v>
      </c>
      <c r="FE1" t="s">
        <v>37</v>
      </c>
      <c r="FF1" t="s">
        <v>153</v>
      </c>
      <c r="FG1" t="s">
        <v>257</v>
      </c>
      <c r="FH1" t="s">
        <v>344</v>
      </c>
      <c r="FI1" t="s">
        <v>63</v>
      </c>
      <c r="FJ1" t="s">
        <v>154</v>
      </c>
      <c r="FK1" t="s">
        <v>258</v>
      </c>
      <c r="FL1" t="s">
        <v>345</v>
      </c>
      <c r="FM1" t="s">
        <v>64</v>
      </c>
      <c r="FN1" t="s">
        <v>155</v>
      </c>
      <c r="FO1" t="s">
        <v>284</v>
      </c>
      <c r="FP1" t="s">
        <v>372</v>
      </c>
      <c r="FQ1" t="s">
        <v>94</v>
      </c>
      <c r="FR1" t="s">
        <v>187</v>
      </c>
      <c r="FS1" t="s">
        <v>285</v>
      </c>
      <c r="FT1" t="s">
        <v>373</v>
      </c>
      <c r="FU1" t="s">
        <v>95</v>
      </c>
      <c r="FV1" t="s">
        <v>188</v>
      </c>
      <c r="FW1" t="s">
        <v>286</v>
      </c>
      <c r="FX1" t="s">
        <v>9</v>
      </c>
      <c r="FY1" t="s">
        <v>107</v>
      </c>
      <c r="FZ1" t="s">
        <v>207</v>
      </c>
      <c r="GA1" t="s">
        <v>320</v>
      </c>
      <c r="GB1" t="s">
        <v>38</v>
      </c>
      <c r="GC1" t="s">
        <v>131</v>
      </c>
      <c r="GD1" t="s">
        <v>259</v>
      </c>
      <c r="GE1" t="s">
        <v>346</v>
      </c>
      <c r="GF1" t="s">
        <v>65</v>
      </c>
      <c r="GG1" t="s">
        <v>156</v>
      </c>
      <c r="GH1" t="s">
        <v>260</v>
      </c>
      <c r="GI1" t="s">
        <v>347</v>
      </c>
      <c r="GJ1" t="s">
        <v>66</v>
      </c>
      <c r="GK1" t="s">
        <v>157</v>
      </c>
      <c r="GL1" t="s">
        <v>261</v>
      </c>
      <c r="GM1" t="s">
        <v>374</v>
      </c>
      <c r="GN1" t="s">
        <v>96</v>
      </c>
      <c r="GO1" t="s">
        <v>189</v>
      </c>
      <c r="GP1" t="s">
        <v>287</v>
      </c>
      <c r="GQ1" t="s">
        <v>375</v>
      </c>
      <c r="GR1" t="s">
        <v>97</v>
      </c>
      <c r="GS1" t="s">
        <v>190</v>
      </c>
      <c r="GT1" t="s">
        <v>288</v>
      </c>
      <c r="GU1" t="s">
        <v>376</v>
      </c>
      <c r="GV1" t="s">
        <v>108</v>
      </c>
      <c r="GW1" t="s">
        <v>208</v>
      </c>
      <c r="GX1" t="s">
        <v>299</v>
      </c>
      <c r="GY1" t="s">
        <v>10</v>
      </c>
      <c r="GZ1" t="s">
        <v>109</v>
      </c>
      <c r="HA1" t="s">
        <v>232</v>
      </c>
      <c r="HB1" t="s">
        <v>321</v>
      </c>
      <c r="HC1" t="s">
        <v>67</v>
      </c>
      <c r="HD1" t="s">
        <v>158</v>
      </c>
      <c r="HE1" t="s">
        <v>262</v>
      </c>
      <c r="HF1" t="s">
        <v>348</v>
      </c>
      <c r="HG1" t="s">
        <v>68</v>
      </c>
      <c r="HH1" t="s">
        <v>159</v>
      </c>
      <c r="HI1" t="s">
        <v>263</v>
      </c>
      <c r="HJ1" t="s">
        <v>349</v>
      </c>
      <c r="HK1" t="s">
        <v>69</v>
      </c>
      <c r="HL1" t="s">
        <v>191</v>
      </c>
      <c r="HM1" t="s">
        <v>289</v>
      </c>
      <c r="HN1" t="s">
        <v>377</v>
      </c>
      <c r="HO1" t="s">
        <v>98</v>
      </c>
      <c r="HP1" t="s">
        <v>192</v>
      </c>
      <c r="HQ1" t="s">
        <v>290</v>
      </c>
      <c r="HR1" t="s">
        <v>378</v>
      </c>
      <c r="HS1" t="s">
        <v>99</v>
      </c>
      <c r="HT1" t="s">
        <v>193</v>
      </c>
      <c r="HU1" t="s">
        <v>300</v>
      </c>
      <c r="HV1" t="s">
        <v>11</v>
      </c>
      <c r="HW1" t="s">
        <v>110</v>
      </c>
      <c r="HX1" t="s">
        <v>209</v>
      </c>
      <c r="HY1" t="s">
        <v>301</v>
      </c>
      <c r="HZ1" t="s">
        <v>12</v>
      </c>
      <c r="IA1" t="s">
        <v>160</v>
      </c>
      <c r="IB1" t="s">
        <v>264</v>
      </c>
      <c r="IC1" t="s">
        <v>350</v>
      </c>
      <c r="ID1" t="s">
        <v>70</v>
      </c>
      <c r="IE1" t="s">
        <v>161</v>
      </c>
      <c r="IF1" t="s">
        <v>265</v>
      </c>
      <c r="IG1" t="s">
        <v>351</v>
      </c>
      <c r="IH1" t="s">
        <v>71</v>
      </c>
      <c r="II1" t="s">
        <v>162</v>
      </c>
      <c r="IJ1" t="s">
        <v>266</v>
      </c>
      <c r="IK1" t="s">
        <v>379</v>
      </c>
      <c r="IL1" t="s">
        <v>100</v>
      </c>
      <c r="IM1" t="s">
        <v>194</v>
      </c>
      <c r="IN1" t="s">
        <v>291</v>
      </c>
      <c r="IO1" t="s">
        <v>380</v>
      </c>
      <c r="IP1" t="s">
        <v>101</v>
      </c>
      <c r="IQ1" t="s">
        <v>195</v>
      </c>
      <c r="IR1" t="s">
        <v>292</v>
      </c>
      <c r="IS1" t="s">
        <v>381</v>
      </c>
      <c r="IT1" t="s">
        <v>111</v>
      </c>
      <c r="IU1" t="s">
        <v>210</v>
      </c>
    </row>
    <row r="2" s="4" customFormat="1">
      <c r="A2" s="3">
        <v>1</v>
      </c>
      <c r="B2" s="3" t="s">
        <v>163</v>
      </c>
      <c r="C2" s="5" t="s">
        <v>3</v>
      </c>
      <c r="D2" s="5" t="s">
        <v>215</v>
      </c>
      <c r="E2" s="30" t="s">
        <v>217</v>
      </c>
      <c r="F2" s="5" t="s">
        <v>5</v>
      </c>
      <c r="G2" s="12" t="s">
        <v>294</v>
      </c>
      <c r="H2" s="18" t="str">
        <f t="shared" si="0" ref="H2:H78">CONCATENATE("*",G2,"*")</f>
        <v>*IP116_DLL_Standard_SC_Limit_ItemonCC_169*</v>
      </c>
      <c r="I2" s="2" t="str">
        <f ca="1" t="shared" si="1" ref="I2:I78">TEXT(TODAY(),"dd.mm.") &amp; YEAR(TODAY())</f>
        <v>22.07.2024</v>
      </c>
      <c r="J2" s="22">
        <f ca="1" t="shared" si="2" ref="J2:J78">TODAY()+90</f>
        <v>45585</v>
      </c>
      <c r="K2" s="13" t="s">
        <v>244</v>
      </c>
      <c r="L2" s="13" t="s">
        <v>203</v>
      </c>
      <c r="M2" s="7" t="s">
        <v>204</v>
      </c>
      <c r="N2" s="28" t="s">
        <v>204</v>
      </c>
      <c r="O2" s="26" t="s">
        <v>176</v>
      </c>
      <c r="P2" s="1">
        <v>1001879893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6"/>
    </row>
    <row r="3" s="4" customFormat="1">
      <c r="A3" s="3">
        <v>2</v>
      </c>
      <c r="B3" s="3" t="s">
        <v>164</v>
      </c>
      <c r="C3" s="5" t="s">
        <v>134</v>
      </c>
      <c r="D3" s="5" t="s">
        <v>215</v>
      </c>
      <c r="E3" s="5" t="s">
        <v>135</v>
      </c>
      <c r="F3" s="5" t="s">
        <v>5</v>
      </c>
      <c r="G3" s="12" t="s">
        <v>269</v>
      </c>
      <c r="H3" s="18" t="str">
        <f t="shared" si="0"/>
        <v>*IP117_DLL_SC_Cat_Different_PO_Curr_29*</v>
      </c>
      <c r="I3" s="2" t="str">
        <f ca="1" t="shared" si="1"/>
        <v>22.07.2024</v>
      </c>
      <c r="J3" s="24">
        <f ca="1" t="shared" si="2"/>
        <v>45585</v>
      </c>
      <c r="K3" s="13" t="s">
        <v>244</v>
      </c>
      <c r="L3" s="13" t="s">
        <v>140</v>
      </c>
      <c r="M3" s="7"/>
      <c r="N3" s="28" t="s">
        <v>204</v>
      </c>
      <c r="O3" s="2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6"/>
    </row>
    <row r="4" s="4" customFormat="1">
      <c r="A4" s="3">
        <v>3</v>
      </c>
      <c r="B4" s="3" t="s">
        <v>196</v>
      </c>
      <c r="C4" s="5" t="s">
        <v>134</v>
      </c>
      <c r="D4" s="5" t="s">
        <v>43</v>
      </c>
      <c r="E4" s="5" t="s">
        <v>268</v>
      </c>
      <c r="F4" s="5" t="s">
        <v>5</v>
      </c>
      <c r="G4" s="12" t="s">
        <v>241</v>
      </c>
      <c r="H4" s="18" t="str">
        <f t="shared" si="0"/>
        <v>*IP116_AB_Standard_SC_Limit_ItemonCC_25*</v>
      </c>
      <c r="I4" s="2" t="str">
        <f ca="1" t="shared" si="1"/>
        <v>22.07.2024</v>
      </c>
      <c r="J4" s="24">
        <f ca="1" t="shared" si="2"/>
        <v>45585</v>
      </c>
      <c r="K4" s="13" t="s">
        <v>244</v>
      </c>
      <c r="L4" s="13" t="s">
        <v>175</v>
      </c>
      <c r="M4" s="7">
        <v>1000100748</v>
      </c>
      <c r="N4" s="28" t="s">
        <v>204</v>
      </c>
      <c r="O4" s="2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6"/>
    </row>
    <row r="5" s="4" customFormat="1">
      <c r="A5" s="3">
        <v>4</v>
      </c>
      <c r="B5" s="3" t="s">
        <v>165</v>
      </c>
      <c r="C5" s="5" t="s">
        <v>134</v>
      </c>
      <c r="D5" s="5" t="s">
        <v>216</v>
      </c>
      <c r="E5" s="5" t="s">
        <v>268</v>
      </c>
      <c r="F5" s="5" t="s">
        <v>5</v>
      </c>
      <c r="G5" s="12" t="s">
        <v>270</v>
      </c>
      <c r="H5" s="18" t="str">
        <f t="shared" si="0"/>
        <v>*IP116_DLL_Standard_SC_Limit_ItemonCC_12*</v>
      </c>
      <c r="I5" s="2" t="str">
        <f ca="1" t="shared" si="1"/>
        <v>22.07.2024</v>
      </c>
      <c r="J5" s="24">
        <f ca="1" t="shared" si="2"/>
        <v>45585</v>
      </c>
      <c r="K5" s="13" t="s">
        <v>244</v>
      </c>
      <c r="L5" s="13" t="s">
        <v>140</v>
      </c>
      <c r="M5" s="7">
        <v>1000100748</v>
      </c>
      <c r="N5" s="28" t="s">
        <v>204</v>
      </c>
      <c r="O5" s="26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6"/>
    </row>
    <row r="6" s="4" customFormat="1">
      <c r="A6" s="3">
        <v>5</v>
      </c>
      <c r="B6" s="3" t="s">
        <v>0</v>
      </c>
      <c r="C6" s="5" t="s">
        <v>134</v>
      </c>
      <c r="D6" s="5" t="s">
        <v>239</v>
      </c>
      <c r="E6" s="5" t="s">
        <v>135</v>
      </c>
      <c r="F6" s="5" t="s">
        <v>5</v>
      </c>
      <c r="G6" s="12" t="s">
        <v>326</v>
      </c>
      <c r="H6" s="18" t="str">
        <f t="shared" si="0"/>
        <v>*IP117_DLL_SC_Cat_Different_PO_Curr_11*</v>
      </c>
      <c r="I6" s="2" t="str">
        <f ca="1" t="shared" si="1"/>
        <v>22.07.2024</v>
      </c>
      <c r="J6" s="24">
        <f ca="1" t="shared" si="2"/>
        <v>45585</v>
      </c>
      <c r="K6" s="13" t="s">
        <v>244</v>
      </c>
      <c r="L6" s="13" t="s">
        <v>140</v>
      </c>
      <c r="M6" s="7"/>
      <c r="N6" s="28" t="s">
        <v>204</v>
      </c>
      <c r="O6" s="2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6"/>
    </row>
    <row r="7" s="4" customFormat="1">
      <c r="A7" s="3">
        <v>6</v>
      </c>
      <c r="B7" s="3" t="s">
        <v>212</v>
      </c>
      <c r="C7" s="5" t="s">
        <v>134</v>
      </c>
      <c r="D7" s="5" t="s">
        <v>304</v>
      </c>
      <c r="E7" s="5" t="s">
        <v>135</v>
      </c>
      <c r="F7" s="5" t="s">
        <v>5</v>
      </c>
      <c r="G7" s="12" t="s">
        <v>44</v>
      </c>
      <c r="H7" s="18" t="str">
        <f t="shared" si="0"/>
        <v>*IP122_MI_Catalog_and_Generic_Items_on_84*</v>
      </c>
      <c r="I7" s="2" t="str">
        <f ca="1" t="shared" si="1"/>
        <v>22.07.2024</v>
      </c>
      <c r="J7" s="24">
        <f ca="1" t="shared" si="2"/>
        <v>45585</v>
      </c>
      <c r="K7" s="13" t="s">
        <v>244</v>
      </c>
      <c r="L7" s="13" t="s">
        <v>175</v>
      </c>
      <c r="M7" s="7" t="s">
        <v>204</v>
      </c>
      <c r="N7" s="28" t="s">
        <v>204</v>
      </c>
      <c r="O7" s="2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6"/>
    </row>
    <row r="8" s="4" customFormat="1">
      <c r="A8" s="3">
        <v>7</v>
      </c>
      <c r="B8" s="3" t="s">
        <v>212</v>
      </c>
      <c r="C8" s="5" t="s">
        <v>134</v>
      </c>
      <c r="D8" s="5" t="s">
        <v>216</v>
      </c>
      <c r="E8" s="5" t="s">
        <v>268</v>
      </c>
      <c r="F8" s="5" t="s">
        <v>5</v>
      </c>
      <c r="G8" s="12" t="s">
        <v>44</v>
      </c>
      <c r="H8" s="18" t="str">
        <f t="shared" si="0"/>
        <v>*IP122_MI_Catalog_and_Generic_Items_on_84*</v>
      </c>
      <c r="I8" s="2" t="str">
        <f ca="1" t="shared" si="1"/>
        <v>22.07.2024</v>
      </c>
      <c r="J8" s="24">
        <f ca="1" t="shared" si="2"/>
        <v>45585</v>
      </c>
      <c r="K8" s="13" t="s">
        <v>244</v>
      </c>
      <c r="L8" s="13" t="s">
        <v>140</v>
      </c>
      <c r="M8" s="7" t="s">
        <v>204</v>
      </c>
      <c r="N8" s="28" t="s">
        <v>204</v>
      </c>
      <c r="O8" s="2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6"/>
    </row>
    <row r="9" s="4" customFormat="1">
      <c r="A9" s="3">
        <v>8</v>
      </c>
      <c r="B9" s="3" t="s">
        <v>352</v>
      </c>
      <c r="C9" s="5" t="s">
        <v>134</v>
      </c>
      <c r="D9" s="5" t="s">
        <v>304</v>
      </c>
      <c r="E9" s="5" t="s">
        <v>135</v>
      </c>
      <c r="F9" s="5" t="s">
        <v>5</v>
      </c>
      <c r="G9" s="12" t="s">
        <v>45</v>
      </c>
      <c r="H9" s="18" t="str">
        <f t="shared" si="0"/>
        <v>*IP117_DLL_SC_Cat_Different_PO_Curr_7*</v>
      </c>
      <c r="I9" s="2" t="str">
        <f ca="1" t="shared" si="1"/>
        <v>22.07.2024</v>
      </c>
      <c r="J9" s="24">
        <f ca="1" t="shared" si="2"/>
        <v>45585</v>
      </c>
      <c r="K9" s="13" t="s">
        <v>244</v>
      </c>
      <c r="L9" s="13" t="s">
        <v>175</v>
      </c>
      <c r="M9" s="7"/>
      <c r="N9" s="28" t="s">
        <v>204</v>
      </c>
      <c r="O9" s="26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6"/>
    </row>
    <row r="10" s="4" customFormat="1">
      <c r="A10" s="3">
        <v>9</v>
      </c>
      <c r="B10" s="3" t="s">
        <v>197</v>
      </c>
      <c r="C10" s="5" t="s">
        <v>134</v>
      </c>
      <c r="D10" s="5" t="s">
        <v>304</v>
      </c>
      <c r="E10" s="5" t="s">
        <v>135</v>
      </c>
      <c r="F10" s="5" t="s">
        <v>5</v>
      </c>
      <c r="G10" s="12" t="s">
        <v>356</v>
      </c>
      <c r="H10" s="18" t="str">
        <f t="shared" si="0"/>
        <v>*AA059_35*</v>
      </c>
      <c r="I10" s="2" t="str">
        <f ca="1" t="shared" si="1"/>
        <v>22.07.2024</v>
      </c>
      <c r="J10" s="24">
        <f ca="1" t="shared" si="2"/>
        <v>45585</v>
      </c>
      <c r="K10" s="13" t="s">
        <v>244</v>
      </c>
      <c r="L10" s="13" t="s">
        <v>175</v>
      </c>
      <c r="M10" s="7"/>
      <c r="N10" s="28" t="s">
        <v>204</v>
      </c>
      <c r="O10" s="2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6"/>
    </row>
    <row r="11" s="4" customFormat="1">
      <c r="A11" s="3">
        <v>10</v>
      </c>
      <c r="B11" s="3" t="s">
        <v>197</v>
      </c>
      <c r="C11" s="5" t="s">
        <v>134</v>
      </c>
      <c r="D11" s="5" t="s">
        <v>216</v>
      </c>
      <c r="E11" s="5" t="s">
        <v>268</v>
      </c>
      <c r="F11" s="5" t="s">
        <v>5</v>
      </c>
      <c r="G11" s="12" t="s">
        <v>356</v>
      </c>
      <c r="H11" s="18" t="str">
        <f t="shared" si="0"/>
        <v>*AA059_35*</v>
      </c>
      <c r="I11" s="2" t="str">
        <f ca="1" t="shared" si="1"/>
        <v>22.07.2024</v>
      </c>
      <c r="J11" s="24">
        <f ca="1" t="shared" si="2"/>
        <v>45585</v>
      </c>
      <c r="K11" s="13" t="s">
        <v>244</v>
      </c>
      <c r="L11" s="13" t="s">
        <v>175</v>
      </c>
      <c r="M11" s="7"/>
      <c r="N11" s="28" t="s">
        <v>204</v>
      </c>
      <c r="O11" s="2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6"/>
    </row>
    <row r="12" s="8" customFormat="1">
      <c r="A12" s="11">
        <v>11</v>
      </c>
      <c r="B12" s="11" t="s">
        <v>73</v>
      </c>
      <c r="C12" s="9" t="s">
        <v>134</v>
      </c>
      <c r="D12" s="9" t="s">
        <v>304</v>
      </c>
      <c r="E12" s="5" t="s">
        <v>78</v>
      </c>
      <c r="F12" s="9"/>
      <c r="G12" s="15" t="s">
        <v>169</v>
      </c>
      <c r="H12" s="21" t="str">
        <f t="shared" si="0"/>
        <v>*PM023_148*</v>
      </c>
      <c r="I12" s="2" t="str">
        <f ca="1" t="shared" si="1"/>
        <v>22.07.2024</v>
      </c>
      <c r="J12" s="24">
        <f ca="1" t="shared" si="2"/>
        <v>45585</v>
      </c>
      <c r="K12" s="20" t="s">
        <v>244</v>
      </c>
      <c r="L12" s="13" t="s">
        <v>140</v>
      </c>
      <c r="M12" s="14" t="s">
        <v>204</v>
      </c>
      <c r="N12" s="28" t="s">
        <v>204</v>
      </c>
      <c r="O12" s="2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10"/>
    </row>
    <row r="13" s="8" customFormat="1">
      <c r="A13" s="11">
        <v>12</v>
      </c>
      <c r="B13" s="11" t="s">
        <v>39</v>
      </c>
      <c r="C13" s="9" t="s">
        <v>134</v>
      </c>
      <c r="D13" s="9" t="s">
        <v>113</v>
      </c>
      <c r="E13" s="5" t="s">
        <v>135</v>
      </c>
      <c r="F13" s="9"/>
      <c r="G13" s="15" t="s">
        <v>295</v>
      </c>
      <c r="H13" s="21" t="str">
        <f t="shared" si="0"/>
        <v>*160_SRM_21*</v>
      </c>
      <c r="I13" s="2" t="str">
        <f ca="1" t="shared" si="1"/>
        <v>22.07.2024</v>
      </c>
      <c r="J13" s="24">
        <f ca="1" t="shared" si="2"/>
        <v>45585</v>
      </c>
      <c r="K13" s="20" t="s">
        <v>244</v>
      </c>
      <c r="L13" s="13" t="s">
        <v>175</v>
      </c>
      <c r="M13" s="2"/>
      <c r="N13" s="28" t="s">
        <v>204</v>
      </c>
      <c r="O13" s="2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10"/>
    </row>
    <row r="14" s="4" customFormat="1">
      <c r="A14" s="3">
        <v>13</v>
      </c>
      <c r="B14" s="3" t="s">
        <v>213</v>
      </c>
      <c r="C14" s="5" t="s">
        <v>3</v>
      </c>
      <c r="D14" s="5" t="s">
        <v>114</v>
      </c>
      <c r="E14" s="5" t="s">
        <v>355</v>
      </c>
      <c r="F14" s="5"/>
      <c r="G14" s="12" t="s">
        <v>170</v>
      </c>
      <c r="H14" s="18" t="str">
        <f t="shared" si="0"/>
        <v>*IP123_DLL_Std_SC_FreeText_on_Order_44*</v>
      </c>
      <c r="I14" s="2" t="str">
        <f ca="1" t="shared" si="1"/>
        <v>22.07.2024</v>
      </c>
      <c r="J14" s="24">
        <f ca="1" t="shared" si="2"/>
        <v>45585</v>
      </c>
      <c r="K14" s="13" t="s">
        <v>244</v>
      </c>
      <c r="L14" s="13" t="s">
        <v>175</v>
      </c>
      <c r="M14" s="14" t="s">
        <v>204</v>
      </c>
      <c r="N14" s="28" t="s">
        <v>204</v>
      </c>
      <c r="O14" s="2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6"/>
    </row>
    <row r="15" s="4" customFormat="1">
      <c r="A15" s="3">
        <v>14</v>
      </c>
      <c r="B15" s="3" t="s">
        <v>233</v>
      </c>
      <c r="C15" s="5" t="s">
        <v>134</v>
      </c>
      <c r="D15" s="5" t="s">
        <v>215</v>
      </c>
      <c r="E15" s="5" t="s">
        <v>355</v>
      </c>
      <c r="F15" s="5" t="s">
        <v>5</v>
      </c>
      <c r="G15" s="12" t="s">
        <v>327</v>
      </c>
      <c r="H15" s="18" t="str">
        <f t="shared" si="0"/>
        <v>*IP120_DLL_Stndrd_SC_Cat_Real_Capex_145*</v>
      </c>
      <c r="I15" s="2" t="str">
        <f ca="1" t="shared" si="1"/>
        <v>22.07.2024</v>
      </c>
      <c r="J15" s="24">
        <f ca="1" t="shared" si="2"/>
        <v>45585</v>
      </c>
      <c r="K15" s="13" t="s">
        <v>244</v>
      </c>
      <c r="L15" s="13" t="s">
        <v>140</v>
      </c>
      <c r="M15" s="14" t="s">
        <v>204</v>
      </c>
      <c r="N15" s="28" t="s">
        <v>204</v>
      </c>
      <c r="O15" s="2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6"/>
    </row>
    <row r="16" s="4" customFormat="1">
      <c r="A16" s="3">
        <v>15</v>
      </c>
      <c r="B16" s="3" t="s">
        <v>213</v>
      </c>
      <c r="C16" s="5" t="s">
        <v>3</v>
      </c>
      <c r="D16" s="5" t="s">
        <v>115</v>
      </c>
      <c r="E16" s="5" t="s">
        <v>325</v>
      </c>
      <c r="F16" s="5"/>
      <c r="G16" s="12" t="s">
        <v>170</v>
      </c>
      <c r="H16" s="18" t="str">
        <f t="shared" si="0"/>
        <v>*IP123_DLL_Std_SC_FreeText_on_Order_44*</v>
      </c>
      <c r="I16" s="2" t="str">
        <f ca="1" t="shared" si="1"/>
        <v>22.07.2024</v>
      </c>
      <c r="J16" s="24">
        <f ca="1" t="shared" si="2"/>
        <v>45585</v>
      </c>
      <c r="K16" s="13" t="s">
        <v>244</v>
      </c>
      <c r="L16" s="13" t="s">
        <v>140</v>
      </c>
      <c r="M16" s="14" t="s">
        <v>204</v>
      </c>
      <c r="N16" s="28" t="s">
        <v>204</v>
      </c>
      <c r="O16" s="2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6"/>
    </row>
    <row r="17" s="4" customFormat="1">
      <c r="A17" s="3">
        <v>16</v>
      </c>
      <c r="B17" s="3" t="s">
        <v>13</v>
      </c>
      <c r="C17" s="5" t="s">
        <v>134</v>
      </c>
      <c r="D17" s="5" t="s">
        <v>304</v>
      </c>
      <c r="E17" s="5" t="s">
        <v>135</v>
      </c>
      <c r="F17" s="5" t="s">
        <v>5</v>
      </c>
      <c r="G17" s="12" t="s">
        <v>218</v>
      </c>
      <c r="H17" s="18" t="str">
        <f t="shared" si="0"/>
        <v>*Test_115_113*</v>
      </c>
      <c r="I17" s="2" t="str">
        <f ca="1" t="shared" si="1"/>
        <v>22.07.2024</v>
      </c>
      <c r="J17" s="24">
        <f ca="1" t="shared" si="2"/>
        <v>45585</v>
      </c>
      <c r="K17" s="13" t="s">
        <v>244</v>
      </c>
      <c r="L17" s="13" t="s">
        <v>140</v>
      </c>
      <c r="M17" s="17" t="s">
        <v>204</v>
      </c>
      <c r="N17" s="28" t="s">
        <v>204</v>
      </c>
      <c r="O17" s="2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6"/>
    </row>
    <row r="18" s="4" customFormat="1">
      <c r="A18" s="3">
        <v>17</v>
      </c>
      <c r="B18" s="3" t="s">
        <v>166</v>
      </c>
      <c r="C18" s="5" t="s">
        <v>3</v>
      </c>
      <c r="D18" s="5" t="s">
        <v>114</v>
      </c>
      <c r="E18" s="5" t="s">
        <v>325</v>
      </c>
      <c r="F18" s="5" t="s">
        <v>5</v>
      </c>
      <c r="G18" s="12" t="s">
        <v>79</v>
      </c>
      <c r="H18" s="18" t="str">
        <f t="shared" si="0"/>
        <v>*IP119b_DLL_Standard_SC_Catalog_CC_87*</v>
      </c>
      <c r="I18" s="2" t="str">
        <f ca="1" t="shared" si="1"/>
        <v>22.07.2024</v>
      </c>
      <c r="J18" s="24">
        <f ca="1" t="shared" si="2"/>
        <v>45585</v>
      </c>
      <c r="K18" s="13" t="s">
        <v>244</v>
      </c>
      <c r="L18" s="13" t="s">
        <v>175</v>
      </c>
      <c r="M18" s="1"/>
      <c r="N18" s="28" t="s">
        <v>204</v>
      </c>
      <c r="O18" s="2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6"/>
    </row>
    <row r="19" s="4" customFormat="1">
      <c r="A19" s="3">
        <v>18</v>
      </c>
      <c r="B19" s="3" t="s">
        <v>166</v>
      </c>
      <c r="C19" s="5" t="s">
        <v>134</v>
      </c>
      <c r="D19" s="5" t="s">
        <v>43</v>
      </c>
      <c r="E19" s="5" t="s">
        <v>268</v>
      </c>
      <c r="F19" s="5" t="s">
        <v>5</v>
      </c>
      <c r="G19" s="12" t="s">
        <v>80</v>
      </c>
      <c r="H19" s="18" t="str">
        <f t="shared" si="0"/>
        <v>*IP119b_AB_Standard_SC_Catalog_CC_31*</v>
      </c>
      <c r="I19" s="2" t="str">
        <f ca="1" t="shared" si="1"/>
        <v>22.07.2024</v>
      </c>
      <c r="J19" s="24">
        <f ca="1" t="shared" si="2"/>
        <v>45585</v>
      </c>
      <c r="K19" s="13" t="s">
        <v>244</v>
      </c>
      <c r="L19" s="13" t="s">
        <v>140</v>
      </c>
      <c r="M19" s="1"/>
      <c r="N19" s="28" t="s">
        <v>204</v>
      </c>
      <c r="O19" s="2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6"/>
    </row>
    <row r="20" s="4" customFormat="1">
      <c r="A20" s="3">
        <v>19</v>
      </c>
      <c r="B20" s="3" t="s">
        <v>166</v>
      </c>
      <c r="C20" s="5" t="s">
        <v>134</v>
      </c>
      <c r="D20" s="5" t="s">
        <v>304</v>
      </c>
      <c r="E20" s="5" t="s">
        <v>135</v>
      </c>
      <c r="F20" s="5" t="s">
        <v>5</v>
      </c>
      <c r="G20" s="12" t="s">
        <v>46</v>
      </c>
      <c r="H20" s="18" t="str">
        <f t="shared" si="0"/>
        <v>*IP119b_MI_Standard_SC_Catalog_CC_28*</v>
      </c>
      <c r="I20" s="2" t="str">
        <f ca="1" t="shared" si="1"/>
        <v>22.07.2024</v>
      </c>
      <c r="J20" s="24">
        <f ca="1" t="shared" si="2"/>
        <v>45585</v>
      </c>
      <c r="K20" s="13" t="s">
        <v>244</v>
      </c>
      <c r="L20" s="13" t="s">
        <v>175</v>
      </c>
      <c r="M20" s="1"/>
      <c r="N20" s="28" t="s">
        <v>204</v>
      </c>
      <c r="O20" s="2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6"/>
    </row>
    <row r="21" s="4" customFormat="1">
      <c r="A21" s="3">
        <v>20</v>
      </c>
      <c r="B21" s="3" t="s">
        <v>166</v>
      </c>
      <c r="C21" s="5" t="s">
        <v>134</v>
      </c>
      <c r="D21" s="5" t="s">
        <v>216</v>
      </c>
      <c r="E21" s="5" t="s">
        <v>268</v>
      </c>
      <c r="F21" s="5" t="s">
        <v>5</v>
      </c>
      <c r="G21" s="12" t="s">
        <v>46</v>
      </c>
      <c r="H21" s="18" t="str">
        <f t="shared" si="0"/>
        <v>*IP119b_MI_Standard_SC_Catalog_CC_28*</v>
      </c>
      <c r="I21" s="2" t="str">
        <f ca="1" t="shared" si="1"/>
        <v>22.07.2024</v>
      </c>
      <c r="J21" s="24">
        <f ca="1" t="shared" si="2"/>
        <v>45585</v>
      </c>
      <c r="K21" s="13" t="s">
        <v>244</v>
      </c>
      <c r="L21" s="13" t="s">
        <v>140</v>
      </c>
      <c r="M21" s="1"/>
      <c r="N21" s="28" t="s">
        <v>204</v>
      </c>
      <c r="O21" s="2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6"/>
    </row>
    <row r="22" s="4" customFormat="1">
      <c r="A22" s="3">
        <v>21</v>
      </c>
      <c r="B22" s="3" t="s">
        <v>14</v>
      </c>
      <c r="C22" s="5" t="s">
        <v>134</v>
      </c>
      <c r="D22" s="5" t="s">
        <v>240</v>
      </c>
      <c r="E22" s="5" t="s">
        <v>268</v>
      </c>
      <c r="F22" s="5" t="s">
        <v>5</v>
      </c>
      <c r="G22" s="12" t="s">
        <v>357</v>
      </c>
      <c r="H22" s="18" t="str">
        <f t="shared" si="0"/>
        <v>*IP129b_ABTechSC_FreeTxtBehalfonAsset_6*</v>
      </c>
      <c r="I22" s="2" t="str">
        <f ca="1" t="shared" si="1"/>
        <v>22.07.2024</v>
      </c>
      <c r="J22" s="24">
        <f ca="1" t="shared" si="2"/>
        <v>45585</v>
      </c>
      <c r="K22" s="13" t="s">
        <v>244</v>
      </c>
      <c r="L22" s="13" t="s">
        <v>175</v>
      </c>
      <c r="M22" s="1"/>
      <c r="N22" s="28" t="s">
        <v>204</v>
      </c>
      <c r="O22" s="2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6"/>
    </row>
    <row r="23" s="4" customFormat="1">
      <c r="A23" s="3">
        <v>22</v>
      </c>
      <c r="B23" s="19" t="s">
        <v>353</v>
      </c>
      <c r="C23" s="5" t="s">
        <v>134</v>
      </c>
      <c r="D23" s="5" t="s">
        <v>215</v>
      </c>
      <c r="E23" s="5" t="s">
        <v>135</v>
      </c>
      <c r="F23" s="5"/>
      <c r="G23" s="12" t="s">
        <v>200</v>
      </c>
      <c r="H23" s="18" t="str">
        <f t="shared" si="0"/>
        <v>*IP121_DLL_Catalog_and_Freetext_on_CC_19*</v>
      </c>
      <c r="I23" s="2" t="str">
        <f ca="1" t="shared" si="1"/>
        <v>22.07.2024</v>
      </c>
      <c r="J23" s="24">
        <f ca="1" t="shared" si="2"/>
        <v>45585</v>
      </c>
      <c r="K23" s="13" t="s">
        <v>244</v>
      </c>
      <c r="L23" s="13" t="s">
        <v>140</v>
      </c>
      <c r="M23" s="1"/>
      <c r="N23" s="28" t="s">
        <v>204</v>
      </c>
      <c r="O23" s="26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6"/>
    </row>
    <row r="24" s="4" customFormat="1">
      <c r="A24" s="3">
        <v>23</v>
      </c>
      <c r="B24" s="19" t="s">
        <v>353</v>
      </c>
      <c r="C24" s="5" t="s">
        <v>134</v>
      </c>
      <c r="D24" s="5" t="s">
        <v>304</v>
      </c>
      <c r="E24" s="5" t="s">
        <v>135</v>
      </c>
      <c r="F24" s="5"/>
      <c r="G24" s="12" t="s">
        <v>307</v>
      </c>
      <c r="H24" s="18" t="str">
        <f t="shared" si="0"/>
        <v>*Test_136_2*</v>
      </c>
      <c r="I24" s="2" t="str">
        <f ca="1" t="shared" si="1"/>
        <v>22.07.2024</v>
      </c>
      <c r="J24" s="24">
        <f ca="1" t="shared" si="2"/>
        <v>45585</v>
      </c>
      <c r="K24" s="13" t="s">
        <v>244</v>
      </c>
      <c r="L24" s="13" t="s">
        <v>140</v>
      </c>
      <c r="M24" s="1"/>
      <c r="N24" s="28" t="s">
        <v>204</v>
      </c>
      <c r="O24" s="26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6"/>
    </row>
    <row r="25" s="4" customFormat="1">
      <c r="A25" s="3">
        <v>24</v>
      </c>
      <c r="B25" s="16" t="s">
        <v>234</v>
      </c>
      <c r="C25" s="5" t="s">
        <v>134</v>
      </c>
      <c r="D25" s="5" t="s">
        <v>116</v>
      </c>
      <c r="E25" s="5" t="s">
        <v>268</v>
      </c>
      <c r="F25" s="5"/>
      <c r="G25" s="12" t="s">
        <v>20</v>
      </c>
      <c r="H25" s="18" t="str">
        <f t="shared" si="0"/>
        <v>*IP125_DLL_TSC_Cat_onAsset_2Appr_6*</v>
      </c>
      <c r="I25" s="2" t="str">
        <f ca="1" t="shared" si="1"/>
        <v>22.07.2024</v>
      </c>
      <c r="J25" s="24">
        <f ca="1" t="shared" si="2"/>
        <v>45585</v>
      </c>
      <c r="K25" s="13" t="s">
        <v>244</v>
      </c>
      <c r="L25" s="13" t="s">
        <v>140</v>
      </c>
      <c r="M25" s="1"/>
      <c r="N25" s="28" t="s">
        <v>204</v>
      </c>
      <c r="O25" s="2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6"/>
    </row>
    <row r="26" s="8" customFormat="1">
      <c r="A26" s="3">
        <v>25</v>
      </c>
      <c r="B26" s="16" t="s">
        <v>302</v>
      </c>
      <c r="C26" s="5" t="s">
        <v>134</v>
      </c>
      <c r="D26" s="5" t="s">
        <v>304</v>
      </c>
      <c r="E26" s="5" t="s">
        <v>135</v>
      </c>
      <c r="F26" s="5"/>
      <c r="G26" s="12" t="s">
        <v>21</v>
      </c>
      <c r="H26" s="18" t="str">
        <f t="shared" si="0"/>
        <v>*IP149c_MIGenericItemBudgetCheck_21*</v>
      </c>
      <c r="I26" s="2" t="str">
        <f ca="1" t="shared" si="1"/>
        <v>22.07.2024</v>
      </c>
      <c r="J26" s="24">
        <f ca="1" t="shared" si="2"/>
        <v>45585</v>
      </c>
      <c r="K26" s="13" t="s">
        <v>244</v>
      </c>
      <c r="L26" s="13" t="s">
        <v>175</v>
      </c>
      <c r="M26" s="2"/>
      <c r="N26" s="28" t="s">
        <v>204</v>
      </c>
      <c r="O26" s="2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10"/>
    </row>
    <row r="27" s="8" customFormat="1">
      <c r="A27" s="1">
        <v>26</v>
      </c>
      <c r="B27" s="2" t="s">
        <v>235</v>
      </c>
      <c r="C27" s="5" t="s">
        <v>134</v>
      </c>
      <c r="D27" s="5" t="s">
        <v>304</v>
      </c>
      <c r="E27" s="5" t="s">
        <v>135</v>
      </c>
      <c r="F27" s="5" t="s">
        <v>5</v>
      </c>
      <c r="G27" s="12" t="s">
        <v>81</v>
      </c>
      <c r="H27" s="18" t="str">
        <f t="shared" si="0"/>
        <v>*Test_115_92*</v>
      </c>
      <c r="I27" s="2" t="str">
        <f ca="1" t="shared" si="1"/>
        <v>22.07.2024</v>
      </c>
      <c r="J27" s="24">
        <f ca="1" t="shared" si="2"/>
        <v>45585</v>
      </c>
      <c r="K27" s="13" t="s">
        <v>244</v>
      </c>
      <c r="L27" s="13" t="s">
        <v>175</v>
      </c>
      <c r="M27" s="7">
        <v>1000100748</v>
      </c>
      <c r="N27" s="28" t="s">
        <v>204</v>
      </c>
      <c r="O27" s="2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10"/>
    </row>
    <row r="28" s="4" customFormat="1">
      <c r="A28" s="3">
        <v>27</v>
      </c>
      <c r="B28" s="11" t="s">
        <v>132</v>
      </c>
      <c r="C28" s="5" t="s">
        <v>3</v>
      </c>
      <c r="D28" s="5" t="s">
        <v>215</v>
      </c>
      <c r="E28" s="5" t="s">
        <v>355</v>
      </c>
      <c r="F28" s="5" t="s">
        <v>5</v>
      </c>
      <c r="G28" s="12" t="s">
        <v>308</v>
      </c>
      <c r="H28" s="18" t="str">
        <f t="shared" si="0"/>
        <v>*IP119b_DLL_VIM_77_12*</v>
      </c>
      <c r="I28" s="2" t="str">
        <f ca="1" t="shared" si="1"/>
        <v>22.07.2024</v>
      </c>
      <c r="J28" s="24">
        <f ca="1" t="shared" si="2"/>
        <v>45585</v>
      </c>
      <c r="K28" s="13" t="s">
        <v>244</v>
      </c>
      <c r="L28" s="13" t="s">
        <v>140</v>
      </c>
      <c r="M28" s="17" t="s">
        <v>204</v>
      </c>
      <c r="N28" s="28" t="s">
        <v>204</v>
      </c>
      <c r="O28" s="26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6"/>
    </row>
    <row r="29" s="4" customFormat="1">
      <c r="A29" s="3">
        <v>28</v>
      </c>
      <c r="B29" s="11" t="s">
        <v>132</v>
      </c>
      <c r="C29" s="5" t="s">
        <v>3</v>
      </c>
      <c r="D29" s="5" t="s">
        <v>115</v>
      </c>
      <c r="E29" s="5" t="s">
        <v>168</v>
      </c>
      <c r="F29" s="5" t="s">
        <v>5</v>
      </c>
      <c r="G29" s="12" t="s">
        <v>308</v>
      </c>
      <c r="H29" s="18" t="str">
        <f t="shared" si="0"/>
        <v>*IP119b_DLL_VIM_77_12*</v>
      </c>
      <c r="I29" s="2" t="str">
        <f ca="1" t="shared" si="1"/>
        <v>22.07.2024</v>
      </c>
      <c r="J29" s="24">
        <f ca="1" t="shared" si="2"/>
        <v>45585</v>
      </c>
      <c r="K29" s="13" t="s">
        <v>244</v>
      </c>
      <c r="L29" s="13" t="s">
        <v>140</v>
      </c>
      <c r="M29" s="1"/>
      <c r="N29" s="28" t="s">
        <v>204</v>
      </c>
      <c r="O29" s="26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6"/>
    </row>
    <row r="30" s="4" customFormat="1">
      <c r="A30" s="3">
        <v>29</v>
      </c>
      <c r="B30" s="27" t="s">
        <v>133</v>
      </c>
      <c r="C30" s="5" t="s">
        <v>134</v>
      </c>
      <c r="D30" s="5" t="s">
        <v>304</v>
      </c>
      <c r="E30" s="5" t="s">
        <v>135</v>
      </c>
      <c r="F30" s="5" t="s">
        <v>5</v>
      </c>
      <c r="G30" s="12" t="s">
        <v>22</v>
      </c>
      <c r="H30" s="18" t="str">
        <f t="shared" si="0"/>
        <v>*04_04_02_80_VIM_36*</v>
      </c>
      <c r="I30" s="2" t="str">
        <f ca="1" t="shared" si="1"/>
        <v>22.07.2024</v>
      </c>
      <c r="J30" s="24">
        <f ca="1" t="shared" si="2"/>
        <v>45585</v>
      </c>
      <c r="K30" s="13" t="s">
        <v>244</v>
      </c>
      <c r="L30" s="13" t="s">
        <v>175</v>
      </c>
      <c r="M30" s="7"/>
      <c r="N30" s="28" t="s">
        <v>204</v>
      </c>
      <c r="O30" s="26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6"/>
    </row>
    <row r="31" s="4" customFormat="1">
      <c r="A31" s="3">
        <v>30</v>
      </c>
      <c r="B31" s="27" t="s">
        <v>133</v>
      </c>
      <c r="C31" s="5" t="s">
        <v>134</v>
      </c>
      <c r="D31" s="5" t="s">
        <v>216</v>
      </c>
      <c r="E31" s="5" t="s">
        <v>268</v>
      </c>
      <c r="F31" s="5" t="s">
        <v>5</v>
      </c>
      <c r="G31" s="12" t="s">
        <v>22</v>
      </c>
      <c r="H31" s="18" t="str">
        <f t="shared" si="0"/>
        <v>*04_04_02_80_VIM_36*</v>
      </c>
      <c r="I31" s="2" t="str">
        <f ca="1" t="shared" si="1"/>
        <v>22.07.2024</v>
      </c>
      <c r="J31" s="24">
        <f ca="1" t="shared" si="2"/>
        <v>45585</v>
      </c>
      <c r="K31" s="13" t="s">
        <v>244</v>
      </c>
      <c r="L31" s="13" t="s">
        <v>140</v>
      </c>
      <c r="M31" s="7"/>
      <c r="N31" s="28" t="s">
        <v>204</v>
      </c>
      <c r="O31" s="26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6"/>
    </row>
    <row r="32" s="4" customFormat="1">
      <c r="A32" s="3">
        <v>31</v>
      </c>
      <c r="B32" s="3" t="s">
        <v>14</v>
      </c>
      <c r="C32" s="5" t="s">
        <v>134</v>
      </c>
      <c r="D32" s="5" t="s">
        <v>18</v>
      </c>
      <c r="E32" s="5" t="s">
        <v>268</v>
      </c>
      <c r="F32" s="5" t="s">
        <v>5</v>
      </c>
      <c r="G32" s="12" t="s">
        <v>357</v>
      </c>
      <c r="H32" s="18" t="str">
        <f t="shared" si="0"/>
        <v>*IP129b_ABTechSC_FreeTxtBehalfonAsset_6*</v>
      </c>
      <c r="I32" s="2" t="str">
        <f ca="1" t="shared" si="1"/>
        <v>22.07.2024</v>
      </c>
      <c r="J32" s="24">
        <f ca="1" t="shared" si="2"/>
        <v>45585</v>
      </c>
      <c r="K32" s="13" t="s">
        <v>244</v>
      </c>
      <c r="L32" s="13" t="s">
        <v>175</v>
      </c>
      <c r="M32" s="1"/>
      <c r="N32" s="28" t="s">
        <v>204</v>
      </c>
      <c r="O32" s="26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6"/>
    </row>
    <row r="33" s="4" customFormat="1">
      <c r="A33" s="3">
        <v>32</v>
      </c>
      <c r="B33" s="3" t="s">
        <v>167</v>
      </c>
      <c r="C33" s="5" t="s">
        <v>134</v>
      </c>
      <c r="D33" s="5" t="s">
        <v>304</v>
      </c>
      <c r="E33" s="5" t="s">
        <v>135</v>
      </c>
      <c r="F33" s="5" t="s">
        <v>5</v>
      </c>
      <c r="G33" s="12" t="s">
        <v>137</v>
      </c>
      <c r="H33" s="18" t="str">
        <f t="shared" si="0"/>
        <v>*Test_115_42*</v>
      </c>
      <c r="I33" s="2" t="str">
        <f ca="1" t="shared" si="1"/>
        <v>22.07.2024</v>
      </c>
      <c r="J33" s="24">
        <f ca="1" t="shared" si="2"/>
        <v>45585</v>
      </c>
      <c r="K33" s="13" t="s">
        <v>244</v>
      </c>
      <c r="L33" s="13" t="s">
        <v>175</v>
      </c>
      <c r="M33" s="1"/>
      <c r="N33" s="28" t="s">
        <v>204</v>
      </c>
      <c r="O33" s="26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6"/>
    </row>
    <row r="34" s="4" customFormat="1">
      <c r="A34" s="3">
        <v>33</v>
      </c>
      <c r="B34" s="3" t="s">
        <v>102</v>
      </c>
      <c r="C34" s="5" t="s">
        <v>134</v>
      </c>
      <c r="D34" s="5" t="s">
        <v>116</v>
      </c>
      <c r="E34" s="5" t="s">
        <v>268</v>
      </c>
      <c r="F34" s="5" t="s">
        <v>5</v>
      </c>
      <c r="G34" s="12" t="s">
        <v>358</v>
      </c>
      <c r="H34" s="18" t="str">
        <f t="shared" si="0"/>
        <v>*Test_115_37*</v>
      </c>
      <c r="I34" s="2" t="str">
        <f ca="1" t="shared" si="1"/>
        <v>22.07.2024</v>
      </c>
      <c r="J34" s="24">
        <f ca="1" t="shared" si="2"/>
        <v>45585</v>
      </c>
      <c r="K34" s="13" t="s">
        <v>244</v>
      </c>
      <c r="L34" s="13" t="s">
        <v>175</v>
      </c>
      <c r="M34" s="1"/>
      <c r="N34" s="28" t="s">
        <v>204</v>
      </c>
      <c r="O34" s="26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6"/>
    </row>
    <row r="35" s="8" customFormat="1">
      <c r="A35" s="3">
        <v>34</v>
      </c>
      <c r="B35" s="3" t="s">
        <v>103</v>
      </c>
      <c r="C35" s="5" t="s">
        <v>134</v>
      </c>
      <c r="D35" s="5" t="s">
        <v>304</v>
      </c>
      <c r="E35" s="5" t="s">
        <v>135</v>
      </c>
      <c r="F35" s="5" t="s">
        <v>5</v>
      </c>
      <c r="G35" s="12" t="s">
        <v>307</v>
      </c>
      <c r="H35" s="18" t="str">
        <f t="shared" si="0"/>
        <v>*Test_136_2*</v>
      </c>
      <c r="I35" s="2" t="str">
        <f ca="1" t="shared" si="1"/>
        <v>22.07.2024</v>
      </c>
      <c r="J35" s="24">
        <f ca="1" t="shared" si="2"/>
        <v>45585</v>
      </c>
      <c r="K35" s="13" t="s">
        <v>244</v>
      </c>
      <c r="L35" s="13" t="s">
        <v>140</v>
      </c>
      <c r="M35" s="2"/>
      <c r="N35" s="28" t="s">
        <v>204</v>
      </c>
      <c r="O35" s="2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10"/>
    </row>
    <row r="36" s="4" customFormat="1">
      <c r="A36" s="3">
        <v>35</v>
      </c>
      <c r="B36" s="3" t="s">
        <v>196</v>
      </c>
      <c r="C36" s="5" t="s">
        <v>134</v>
      </c>
      <c r="D36" s="5" t="s">
        <v>324</v>
      </c>
      <c r="E36" s="5" t="s">
        <v>268</v>
      </c>
      <c r="F36" s="5" t="s">
        <v>5</v>
      </c>
      <c r="G36" s="12" t="s">
        <v>242</v>
      </c>
      <c r="H36" s="18" t="str">
        <f t="shared" si="0"/>
        <v>*IP116_AB_Standard_SC_Limit_ItemonCC_3*</v>
      </c>
      <c r="I36" s="2" t="str">
        <f ca="1" t="shared" si="1"/>
        <v>22.07.2024</v>
      </c>
      <c r="J36" s="24">
        <f ca="1" t="shared" si="2"/>
        <v>45585</v>
      </c>
      <c r="K36" s="13" t="s">
        <v>244</v>
      </c>
      <c r="L36" s="13" t="s">
        <v>140</v>
      </c>
      <c r="M36" s="7">
        <v>1000100748</v>
      </c>
      <c r="N36" s="28" t="s">
        <v>204</v>
      </c>
      <c r="O36" s="26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6"/>
    </row>
    <row r="37" s="4" customFormat="1">
      <c r="A37" s="3">
        <v>36</v>
      </c>
      <c r="B37" s="11" t="s">
        <v>293</v>
      </c>
      <c r="C37" s="5" t="s">
        <v>134</v>
      </c>
      <c r="D37" s="5" t="s">
        <v>354</v>
      </c>
      <c r="E37" s="5" t="s">
        <v>268</v>
      </c>
      <c r="F37" s="5" t="s">
        <v>5</v>
      </c>
      <c r="G37" s="12" t="s">
        <v>171</v>
      </c>
      <c r="H37" s="18" t="str">
        <f t="shared" si="0"/>
        <v>*IP129b_ABTechSC_FreeTxtBehalfonAsset_8*</v>
      </c>
      <c r="I37" s="2" t="str">
        <f ca="1" t="shared" si="1"/>
        <v>22.07.2024</v>
      </c>
      <c r="J37" s="24">
        <f ca="1" t="shared" si="2"/>
        <v>45585</v>
      </c>
      <c r="K37" s="13" t="s">
        <v>244</v>
      </c>
      <c r="L37" s="13" t="s">
        <v>175</v>
      </c>
      <c r="M37" s="1"/>
      <c r="N37" s="28" t="s">
        <v>204</v>
      </c>
      <c r="O37" s="26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6"/>
    </row>
    <row r="38" s="4" customFormat="1">
      <c r="A38" s="3">
        <v>37</v>
      </c>
      <c r="B38" s="11" t="s">
        <v>293</v>
      </c>
      <c r="C38" s="5" t="s">
        <v>134</v>
      </c>
      <c r="D38" s="5" t="s">
        <v>324</v>
      </c>
      <c r="E38" s="5" t="s">
        <v>268</v>
      </c>
      <c r="F38" s="5" t="s">
        <v>5</v>
      </c>
      <c r="G38" s="12" t="s">
        <v>47</v>
      </c>
      <c r="H38" s="18" t="str">
        <f t="shared" si="0"/>
        <v>*IP119b_AB_Standard_Catalog_CC_12*</v>
      </c>
      <c r="I38" s="2" t="str">
        <f ca="1" t="shared" si="1"/>
        <v>22.07.2024</v>
      </c>
      <c r="J38" s="24">
        <f ca="1" t="shared" si="2"/>
        <v>45585</v>
      </c>
      <c r="K38" s="13" t="s">
        <v>244</v>
      </c>
      <c r="L38" s="13" t="s">
        <v>140</v>
      </c>
      <c r="M38" s="1"/>
      <c r="N38" s="28" t="s">
        <v>204</v>
      </c>
      <c r="O38" s="26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6"/>
    </row>
    <row r="39" s="8" customFormat="1">
      <c r="A39" s="3">
        <v>38</v>
      </c>
      <c r="B39" s="3" t="s">
        <v>0</v>
      </c>
      <c r="C39" s="5" t="s">
        <v>134</v>
      </c>
      <c r="D39" s="5" t="s">
        <v>43</v>
      </c>
      <c r="E39" s="5" t="s">
        <v>268</v>
      </c>
      <c r="F39" s="5" t="s">
        <v>5</v>
      </c>
      <c r="G39" s="12" t="s">
        <v>172</v>
      </c>
      <c r="H39" s="18" t="str">
        <f t="shared" si="0"/>
        <v>*IP117_DLL_SC_Cat_Different_PO_Curr_8*</v>
      </c>
      <c r="I39" s="2" t="str">
        <f ca="1" t="shared" si="1"/>
        <v>22.07.2024</v>
      </c>
      <c r="J39" s="24">
        <f ca="1" t="shared" si="2"/>
        <v>45585</v>
      </c>
      <c r="K39" s="13" t="s">
        <v>244</v>
      </c>
      <c r="L39" s="13" t="s">
        <v>140</v>
      </c>
      <c r="M39" s="7"/>
      <c r="N39" s="28" t="s">
        <v>204</v>
      </c>
      <c r="O39" s="2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10"/>
    </row>
    <row r="40" s="8" customFormat="1">
      <c r="A40" s="3">
        <v>6</v>
      </c>
      <c r="B40" s="3" t="s">
        <v>166</v>
      </c>
      <c r="C40" s="5" t="s">
        <v>134</v>
      </c>
      <c r="D40" s="5" t="s">
        <v>239</v>
      </c>
      <c r="E40" s="5" t="s">
        <v>135</v>
      </c>
      <c r="F40" s="5" t="s">
        <v>5</v>
      </c>
      <c r="G40" s="12" t="s">
        <v>48</v>
      </c>
      <c r="H40" s="18" t="str">
        <f t="shared" si="0"/>
        <v>*IP119b_AB_Standard_SC_Catalog_CC_13*</v>
      </c>
      <c r="I40" s="2" t="str">
        <f ca="1" t="shared" si="1"/>
        <v>22.07.2024</v>
      </c>
      <c r="J40" s="24">
        <f ca="1" t="shared" si="2"/>
        <v>45585</v>
      </c>
      <c r="K40" s="13" t="s">
        <v>244</v>
      </c>
      <c r="L40" s="13" t="s">
        <v>175</v>
      </c>
      <c r="M40" s="2"/>
      <c r="N40" s="28" t="s">
        <v>204</v>
      </c>
      <c r="O40" s="2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10"/>
    </row>
    <row r="41" s="8" customFormat="1">
      <c r="A41" s="3">
        <v>40</v>
      </c>
      <c r="B41" s="3" t="s">
        <v>236</v>
      </c>
      <c r="C41" s="5" t="s">
        <v>134</v>
      </c>
      <c r="D41" s="5" t="s">
        <v>113</v>
      </c>
      <c r="E41" s="5" t="s">
        <v>268</v>
      </c>
      <c r="F41" s="5" t="s">
        <v>5</v>
      </c>
      <c r="G41" s="12" t="s">
        <v>104</v>
      </c>
      <c r="H41" s="18" t="str">
        <f t="shared" si="0"/>
        <v>*PM024_58*</v>
      </c>
      <c r="I41" s="2" t="str">
        <f ca="1" t="shared" si="1"/>
        <v>22.07.2024</v>
      </c>
      <c r="J41" s="24">
        <f ca="1" t="shared" si="2"/>
        <v>45585</v>
      </c>
      <c r="K41" s="13" t="s">
        <v>244</v>
      </c>
      <c r="L41" s="13" t="s">
        <v>175</v>
      </c>
      <c r="M41" s="2"/>
      <c r="N41" s="28" t="s">
        <v>204</v>
      </c>
      <c r="O41" s="2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10"/>
    </row>
    <row r="42" s="4" customFormat="1">
      <c r="A42" s="3">
        <v>41</v>
      </c>
      <c r="B42" s="3" t="s">
        <v>352</v>
      </c>
      <c r="C42" s="5" t="s">
        <v>134</v>
      </c>
      <c r="D42" s="5" t="s">
        <v>216</v>
      </c>
      <c r="E42" s="5" t="s">
        <v>268</v>
      </c>
      <c r="F42" s="5" t="s">
        <v>5</v>
      </c>
      <c r="G42" s="12" t="s">
        <v>45</v>
      </c>
      <c r="H42" s="18" t="str">
        <f t="shared" si="0"/>
        <v>*IP117_DLL_SC_Cat_Different_PO_Curr_7*</v>
      </c>
      <c r="I42" s="2" t="str">
        <f ca="1" t="shared" si="1"/>
        <v>22.07.2024</v>
      </c>
      <c r="J42" s="24">
        <f ca="1" t="shared" si="2"/>
        <v>45585</v>
      </c>
      <c r="K42" s="13" t="s">
        <v>244</v>
      </c>
      <c r="L42" s="13" t="s">
        <v>140</v>
      </c>
      <c r="M42" s="7"/>
      <c r="N42" s="28" t="s">
        <v>204</v>
      </c>
      <c r="O42" s="2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6"/>
    </row>
    <row r="43" s="4" customFormat="1">
      <c r="A43" s="3">
        <v>42</v>
      </c>
      <c r="B43" s="3" t="s">
        <v>303</v>
      </c>
      <c r="C43" s="5" t="s">
        <v>134</v>
      </c>
      <c r="D43" s="5" t="s">
        <v>43</v>
      </c>
      <c r="E43" s="5" t="s">
        <v>268</v>
      </c>
      <c r="F43" s="5" t="s">
        <v>5</v>
      </c>
      <c r="G43" s="12" t="s">
        <v>173</v>
      </c>
      <c r="H43" s="18" t="str">
        <f t="shared" si="0"/>
        <v>*IP149b_AB_SC_23*</v>
      </c>
      <c r="I43" s="2" t="str">
        <f ca="1" t="shared" si="1"/>
        <v>22.07.2024</v>
      </c>
      <c r="J43" s="24">
        <f ca="1" t="shared" si="2"/>
        <v>45585</v>
      </c>
      <c r="K43" s="13" t="s">
        <v>244</v>
      </c>
      <c r="L43" s="13" t="s">
        <v>175</v>
      </c>
      <c r="M43" s="7"/>
      <c r="N43" s="28" t="s">
        <v>204</v>
      </c>
      <c r="O43" s="26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6"/>
    </row>
    <row r="44" s="4" customFormat="1">
      <c r="A44" s="3">
        <v>43</v>
      </c>
      <c r="B44" s="3" t="s">
        <v>165</v>
      </c>
      <c r="C44" s="5" t="s">
        <v>134</v>
      </c>
      <c r="D44" s="5" t="s">
        <v>304</v>
      </c>
      <c r="E44" s="5" t="s">
        <v>135</v>
      </c>
      <c r="F44" s="5" t="s">
        <v>5</v>
      </c>
      <c r="G44" s="12" t="s">
        <v>270</v>
      </c>
      <c r="H44" s="18" t="str">
        <f t="shared" si="0"/>
        <v>*IP116_DLL_Standard_SC_Limit_ItemonCC_12*</v>
      </c>
      <c r="I44" s="2" t="str">
        <f ca="1" t="shared" si="1"/>
        <v>22.07.2024</v>
      </c>
      <c r="J44" s="24">
        <f ca="1" t="shared" si="2"/>
        <v>45585</v>
      </c>
      <c r="K44" s="13" t="s">
        <v>244</v>
      </c>
      <c r="L44" s="13" t="s">
        <v>175</v>
      </c>
      <c r="M44" s="7">
        <v>1000100748</v>
      </c>
      <c r="N44" s="28" t="s">
        <v>204</v>
      </c>
      <c r="O44" s="26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6"/>
    </row>
    <row r="45" s="8" customFormat="1">
      <c r="A45" s="3">
        <v>44</v>
      </c>
      <c r="B45" s="2" t="s">
        <v>15</v>
      </c>
      <c r="C45" s="5" t="s">
        <v>134</v>
      </c>
      <c r="D45" s="5" t="s">
        <v>304</v>
      </c>
      <c r="E45" s="5" t="s">
        <v>135</v>
      </c>
      <c r="F45" s="5" t="s">
        <v>5</v>
      </c>
      <c r="G45" s="12" t="s">
        <v>270</v>
      </c>
      <c r="H45" s="18" t="str">
        <f t="shared" si="0"/>
        <v>*IP116_DLL_Standard_SC_Limit_ItemonCC_12*</v>
      </c>
      <c r="I45" s="2" t="str">
        <f ca="1" t="shared" si="1"/>
        <v>22.07.2024</v>
      </c>
      <c r="J45" s="24">
        <f ca="1" t="shared" si="2"/>
        <v>45585</v>
      </c>
      <c r="K45" s="13" t="s">
        <v>244</v>
      </c>
      <c r="L45" s="13" t="s">
        <v>175</v>
      </c>
      <c r="M45" s="7">
        <v>1000100748</v>
      </c>
      <c r="N45" s="28" t="s">
        <v>204</v>
      </c>
      <c r="O45" s="2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10"/>
    </row>
    <row r="46" s="8" customFormat="1">
      <c r="A46" s="3">
        <v>45</v>
      </c>
      <c r="B46" s="2" t="s">
        <v>237</v>
      </c>
      <c r="C46" s="5" t="s">
        <v>134</v>
      </c>
      <c r="D46" s="5" t="s">
        <v>304</v>
      </c>
      <c r="E46" s="5" t="s">
        <v>135</v>
      </c>
      <c r="F46" s="5" t="s">
        <v>5</v>
      </c>
      <c r="G46" s="12" t="s">
        <v>270</v>
      </c>
      <c r="H46" s="18" t="str">
        <f t="shared" si="0"/>
        <v>*IP116_DLL_Standard_SC_Limit_ItemonCC_12*</v>
      </c>
      <c r="I46" s="2" t="str">
        <f ca="1" t="shared" si="1"/>
        <v>22.07.2024</v>
      </c>
      <c r="J46" s="24">
        <f ca="1" t="shared" si="2"/>
        <v>45585</v>
      </c>
      <c r="K46" s="13" t="s">
        <v>244</v>
      </c>
      <c r="L46" s="13" t="s">
        <v>175</v>
      </c>
      <c r="M46" s="7">
        <v>1000100748</v>
      </c>
      <c r="N46" s="28" t="s">
        <v>204</v>
      </c>
      <c r="O46" s="2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10"/>
    </row>
    <row r="47" s="8" customFormat="1">
      <c r="A47" s="3">
        <v>46</v>
      </c>
      <c r="B47" s="2" t="s">
        <v>1</v>
      </c>
      <c r="C47" s="5" t="s">
        <v>134</v>
      </c>
      <c r="D47" s="5" t="s">
        <v>304</v>
      </c>
      <c r="E47" s="5" t="s">
        <v>135</v>
      </c>
      <c r="F47" s="5" t="s">
        <v>5</v>
      </c>
      <c r="G47" s="12" t="s">
        <v>270</v>
      </c>
      <c r="H47" s="18" t="str">
        <f t="shared" si="0"/>
        <v>*IP116_DLL_Standard_SC_Limit_ItemonCC_12*</v>
      </c>
      <c r="I47" s="2" t="str">
        <f ca="1" t="shared" si="1"/>
        <v>22.07.2024</v>
      </c>
      <c r="J47" s="24">
        <f ca="1" t="shared" si="2"/>
        <v>45585</v>
      </c>
      <c r="K47" s="13" t="s">
        <v>244</v>
      </c>
      <c r="L47" s="13" t="s">
        <v>175</v>
      </c>
      <c r="M47" s="7">
        <v>1000100748</v>
      </c>
      <c r="N47" s="28" t="s">
        <v>204</v>
      </c>
      <c r="O47" s="2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10"/>
    </row>
    <row r="48" s="8" customFormat="1">
      <c r="A48" s="3">
        <v>47</v>
      </c>
      <c r="B48" s="2" t="s">
        <v>238</v>
      </c>
      <c r="C48" s="5" t="s">
        <v>134</v>
      </c>
      <c r="D48" s="5" t="s">
        <v>304</v>
      </c>
      <c r="E48" s="5" t="s">
        <v>135</v>
      </c>
      <c r="F48" s="5" t="s">
        <v>5</v>
      </c>
      <c r="G48" s="12" t="s">
        <v>270</v>
      </c>
      <c r="H48" s="18" t="str">
        <f t="shared" si="0"/>
        <v>*IP116_DLL_Standard_SC_Limit_ItemonCC_12*</v>
      </c>
      <c r="I48" s="2" t="str">
        <f ca="1" t="shared" si="1"/>
        <v>22.07.2024</v>
      </c>
      <c r="J48" s="24">
        <f ca="1" t="shared" si="2"/>
        <v>45585</v>
      </c>
      <c r="K48" s="13" t="s">
        <v>244</v>
      </c>
      <c r="L48" s="13" t="s">
        <v>175</v>
      </c>
      <c r="M48" s="7">
        <v>1000100748</v>
      </c>
      <c r="N48" s="28" t="s">
        <v>204</v>
      </c>
      <c r="O48" s="2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10"/>
    </row>
    <row r="49" s="8" customFormat="1">
      <c r="A49" s="3">
        <v>48</v>
      </c>
      <c r="B49" s="2" t="s">
        <v>74</v>
      </c>
      <c r="C49" s="5" t="s">
        <v>134</v>
      </c>
      <c r="D49" s="5" t="s">
        <v>304</v>
      </c>
      <c r="E49" s="5" t="s">
        <v>135</v>
      </c>
      <c r="F49" s="5" t="s">
        <v>5</v>
      </c>
      <c r="G49" s="12" t="s">
        <v>270</v>
      </c>
      <c r="H49" s="18" t="str">
        <f t="shared" si="0"/>
        <v>*IP116_DLL_Standard_SC_Limit_ItemonCC_12*</v>
      </c>
      <c r="I49" s="2" t="str">
        <f ca="1" t="shared" si="1"/>
        <v>22.07.2024</v>
      </c>
      <c r="J49" s="24">
        <f ca="1" t="shared" si="2"/>
        <v>45585</v>
      </c>
      <c r="K49" s="13" t="s">
        <v>244</v>
      </c>
      <c r="L49" s="13" t="s">
        <v>175</v>
      </c>
      <c r="M49" s="7">
        <v>1000100748</v>
      </c>
      <c r="N49" s="28" t="s">
        <v>204</v>
      </c>
      <c r="O49" s="2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10"/>
    </row>
    <row r="50" s="8" customFormat="1">
      <c r="A50" s="3">
        <v>49</v>
      </c>
      <c r="B50" s="2" t="s">
        <v>40</v>
      </c>
      <c r="C50" s="5" t="s">
        <v>134</v>
      </c>
      <c r="D50" s="5" t="s">
        <v>304</v>
      </c>
      <c r="E50" s="5" t="s">
        <v>135</v>
      </c>
      <c r="F50" s="5" t="s">
        <v>5</v>
      </c>
      <c r="G50" s="12" t="s">
        <v>270</v>
      </c>
      <c r="H50" s="18" t="str">
        <f t="shared" si="0"/>
        <v>*IP116_DLL_Standard_SC_Limit_ItemonCC_12*</v>
      </c>
      <c r="I50" s="2" t="str">
        <f ca="1" t="shared" si="1"/>
        <v>22.07.2024</v>
      </c>
      <c r="J50" s="24">
        <f ca="1" t="shared" si="2"/>
        <v>45585</v>
      </c>
      <c r="K50" s="13" t="s">
        <v>244</v>
      </c>
      <c r="L50" s="13" t="s">
        <v>175</v>
      </c>
      <c r="M50" s="7">
        <v>1000100748</v>
      </c>
      <c r="N50" s="28" t="s">
        <v>204</v>
      </c>
      <c r="O50" s="2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10"/>
    </row>
    <row r="51" s="8" customFormat="1">
      <c r="A51" s="3">
        <v>50</v>
      </c>
      <c r="B51" s="2" t="s">
        <v>75</v>
      </c>
      <c r="C51" s="5" t="s">
        <v>134</v>
      </c>
      <c r="D51" s="5" t="s">
        <v>304</v>
      </c>
      <c r="E51" s="5" t="s">
        <v>135</v>
      </c>
      <c r="F51" s="5" t="s">
        <v>5</v>
      </c>
      <c r="G51" s="12" t="s">
        <v>270</v>
      </c>
      <c r="H51" s="18" t="str">
        <f t="shared" si="0"/>
        <v>*IP116_DLL_Standard_SC_Limit_ItemonCC_12*</v>
      </c>
      <c r="I51" s="2" t="str">
        <f ca="1" t="shared" si="1"/>
        <v>22.07.2024</v>
      </c>
      <c r="J51" s="24">
        <f ca="1" t="shared" si="2"/>
        <v>45585</v>
      </c>
      <c r="K51" s="13" t="s">
        <v>244</v>
      </c>
      <c r="L51" s="13" t="s">
        <v>175</v>
      </c>
      <c r="M51" s="7">
        <v>1000100748</v>
      </c>
      <c r="N51" s="28" t="s">
        <v>204</v>
      </c>
      <c r="O51" s="2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10"/>
    </row>
    <row r="52" s="8" customFormat="1">
      <c r="A52" s="3">
        <v>51</v>
      </c>
      <c r="B52" s="2" t="s">
        <v>322</v>
      </c>
      <c r="C52" s="5" t="s">
        <v>134</v>
      </c>
      <c r="D52" s="5" t="s">
        <v>304</v>
      </c>
      <c r="E52" s="5" t="s">
        <v>135</v>
      </c>
      <c r="F52" s="5" t="s">
        <v>5</v>
      </c>
      <c r="G52" s="12" t="s">
        <v>270</v>
      </c>
      <c r="H52" s="18" t="str">
        <f t="shared" si="0"/>
        <v>*IP116_DLL_Standard_SC_Limit_ItemonCC_12*</v>
      </c>
      <c r="I52" s="2" t="str">
        <f ca="1" t="shared" si="1"/>
        <v>22.07.2024</v>
      </c>
      <c r="J52" s="24">
        <f ca="1" t="shared" si="2"/>
        <v>45585</v>
      </c>
      <c r="K52" s="13" t="s">
        <v>244</v>
      </c>
      <c r="L52" s="13" t="s">
        <v>175</v>
      </c>
      <c r="M52" s="7">
        <v>1000100748</v>
      </c>
      <c r="N52" s="28" t="s">
        <v>204</v>
      </c>
      <c r="O52" s="2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10"/>
    </row>
    <row r="53" s="8" customFormat="1">
      <c r="A53" s="3">
        <v>52</v>
      </c>
      <c r="B53" s="2" t="s">
        <v>198</v>
      </c>
      <c r="C53" s="5" t="s">
        <v>134</v>
      </c>
      <c r="D53" s="5" t="s">
        <v>304</v>
      </c>
      <c r="E53" s="5" t="s">
        <v>135</v>
      </c>
      <c r="F53" s="5" t="s">
        <v>5</v>
      </c>
      <c r="G53" s="12" t="s">
        <v>270</v>
      </c>
      <c r="H53" s="18" t="str">
        <f t="shared" si="0"/>
        <v>*IP116_DLL_Standard_SC_Limit_ItemonCC_12*</v>
      </c>
      <c r="I53" s="2" t="str">
        <f ca="1" t="shared" si="1"/>
        <v>22.07.2024</v>
      </c>
      <c r="J53" s="24">
        <f ca="1" t="shared" si="2"/>
        <v>45585</v>
      </c>
      <c r="K53" s="13" t="s">
        <v>244</v>
      </c>
      <c r="L53" s="13" t="s">
        <v>175</v>
      </c>
      <c r="M53" s="7">
        <v>1000100748</v>
      </c>
      <c r="N53" s="28" t="s">
        <v>204</v>
      </c>
      <c r="O53" s="2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10"/>
    </row>
    <row r="54" s="8" customFormat="1">
      <c r="A54" s="3">
        <v>53</v>
      </c>
      <c r="B54" s="2" t="s">
        <v>16</v>
      </c>
      <c r="C54" s="5" t="s">
        <v>134</v>
      </c>
      <c r="D54" s="5" t="s">
        <v>304</v>
      </c>
      <c r="E54" s="5" t="s">
        <v>135</v>
      </c>
      <c r="F54" s="5" t="s">
        <v>5</v>
      </c>
      <c r="G54" s="12" t="s">
        <v>270</v>
      </c>
      <c r="H54" s="18" t="str">
        <f t="shared" si="0"/>
        <v>*IP116_DLL_Standard_SC_Limit_ItemonCC_12*</v>
      </c>
      <c r="I54" s="2" t="str">
        <f ca="1" t="shared" si="1"/>
        <v>22.07.2024</v>
      </c>
      <c r="J54" s="24">
        <f ca="1" t="shared" si="2"/>
        <v>45585</v>
      </c>
      <c r="K54" s="13" t="s">
        <v>244</v>
      </c>
      <c r="L54" s="13" t="s">
        <v>175</v>
      </c>
      <c r="M54" s="7">
        <v>1000100748</v>
      </c>
      <c r="N54" s="28" t="s">
        <v>204</v>
      </c>
      <c r="O54" s="2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10"/>
    </row>
    <row r="55" s="8" customFormat="1">
      <c r="A55" s="3">
        <v>54</v>
      </c>
      <c r="B55" s="3" t="s">
        <v>76</v>
      </c>
      <c r="C55" s="5" t="s">
        <v>134</v>
      </c>
      <c r="D55" s="5" t="s">
        <v>117</v>
      </c>
      <c r="E55" s="5" t="s">
        <v>268</v>
      </c>
      <c r="F55" s="5" t="s">
        <v>5</v>
      </c>
      <c r="G55" s="12" t="s">
        <v>201</v>
      </c>
      <c r="H55" s="18" t="str">
        <f t="shared" si="0"/>
        <v>*AA025_68*</v>
      </c>
      <c r="I55" s="2" t="str">
        <f ca="1" t="shared" si="1"/>
        <v>22.07.2024</v>
      </c>
      <c r="J55" s="24">
        <f ca="1" t="shared" si="2"/>
        <v>45585</v>
      </c>
      <c r="K55" s="13" t="s">
        <v>244</v>
      </c>
      <c r="L55" s="13" t="s">
        <v>175</v>
      </c>
      <c r="M55" s="7">
        <v>1000220171</v>
      </c>
      <c r="N55" s="28" t="s">
        <v>204</v>
      </c>
      <c r="O55" s="2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10"/>
    </row>
    <row r="56" s="8" customFormat="1">
      <c r="A56" s="3">
        <v>55</v>
      </c>
      <c r="B56" s="2" t="s">
        <v>267</v>
      </c>
      <c r="C56" s="5" t="s">
        <v>134</v>
      </c>
      <c r="D56" s="5" t="s">
        <v>304</v>
      </c>
      <c r="E56" s="5" t="s">
        <v>135</v>
      </c>
      <c r="F56" s="5" t="s">
        <v>5</v>
      </c>
      <c r="G56" s="12" t="s">
        <v>49</v>
      </c>
      <c r="H56" s="18" t="str">
        <f t="shared" si="0"/>
        <v>*Test_115_70*</v>
      </c>
      <c r="I56" s="2" t="str">
        <f ca="1" t="shared" si="1"/>
        <v>22.07.2024</v>
      </c>
      <c r="J56" s="24">
        <f ca="1" t="shared" si="2"/>
        <v>45585</v>
      </c>
      <c r="K56" s="13" t="s">
        <v>244</v>
      </c>
      <c r="L56" s="13" t="s">
        <v>175</v>
      </c>
      <c r="M56" s="7">
        <v>1000100748</v>
      </c>
      <c r="N56" s="28" t="s">
        <v>204</v>
      </c>
      <c r="O56" s="2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10"/>
    </row>
    <row r="57" s="8" customFormat="1">
      <c r="A57" s="3">
        <v>56</v>
      </c>
      <c r="B57" s="2" t="s">
        <v>267</v>
      </c>
      <c r="C57" s="5" t="s">
        <v>134</v>
      </c>
      <c r="D57" s="5" t="s">
        <v>216</v>
      </c>
      <c r="E57" s="5" t="s">
        <v>268</v>
      </c>
      <c r="F57" s="5" t="s">
        <v>5</v>
      </c>
      <c r="G57" s="12" t="s">
        <v>49</v>
      </c>
      <c r="H57" s="18" t="str">
        <f t="shared" si="0"/>
        <v>*Test_115_70*</v>
      </c>
      <c r="I57" s="2" t="str">
        <f ca="1" t="shared" si="1"/>
        <v>22.07.2024</v>
      </c>
      <c r="J57" s="24">
        <f ca="1" t="shared" si="2"/>
        <v>45585</v>
      </c>
      <c r="K57" s="13" t="s">
        <v>244</v>
      </c>
      <c r="L57" s="13" t="s">
        <v>175</v>
      </c>
      <c r="M57" s="7">
        <v>1000100748</v>
      </c>
      <c r="N57" s="28" t="s">
        <v>204</v>
      </c>
      <c r="O57" s="2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10"/>
    </row>
    <row r="58" s="4" customFormat="1">
      <c r="A58" s="3">
        <v>57</v>
      </c>
      <c r="B58" s="19" t="s">
        <v>17</v>
      </c>
      <c r="C58" s="5" t="s">
        <v>134</v>
      </c>
      <c r="D58" s="5" t="s">
        <v>114</v>
      </c>
      <c r="E58" s="5" t="s">
        <v>135</v>
      </c>
      <c r="F58" s="5"/>
      <c r="G58" s="12" t="s">
        <v>202</v>
      </c>
      <c r="H58" s="18" t="str">
        <f t="shared" si="0"/>
        <v>*IP140_DLL_SC_22*</v>
      </c>
      <c r="I58" s="2" t="str">
        <f ca="1" t="shared" si="1"/>
        <v>22.07.2024</v>
      </c>
      <c r="J58" s="24">
        <f ca="1" t="shared" si="2"/>
        <v>45585</v>
      </c>
      <c r="K58" s="13" t="s">
        <v>244</v>
      </c>
      <c r="L58" s="13" t="s">
        <v>175</v>
      </c>
      <c r="M58" s="1"/>
      <c r="N58" s="28" t="s">
        <v>204</v>
      </c>
      <c r="O58" s="26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6"/>
    </row>
    <row r="59" s="4" customFormat="1">
      <c r="A59" s="3">
        <v>58</v>
      </c>
      <c r="B59" s="3" t="s">
        <v>214</v>
      </c>
      <c r="C59" s="5" t="s">
        <v>134</v>
      </c>
      <c r="D59" s="5" t="s">
        <v>116</v>
      </c>
      <c r="E59" s="5" t="s">
        <v>268</v>
      </c>
      <c r="F59" s="5" t="s">
        <v>5</v>
      </c>
      <c r="G59" s="23" t="s">
        <v>359</v>
      </c>
      <c r="H59" s="18" t="str">
        <f t="shared" si="0"/>
        <v>*124_MI_TechSC_Asset_ReqAppr_only 41*</v>
      </c>
      <c r="I59" s="2" t="str">
        <f ca="1" t="shared" si="1"/>
        <v>22.07.2024</v>
      </c>
      <c r="J59" s="24">
        <f ca="1" t="shared" si="2"/>
        <v>45585</v>
      </c>
      <c r="K59" s="13" t="s">
        <v>244</v>
      </c>
      <c r="L59" s="13" t="s">
        <v>140</v>
      </c>
      <c r="M59" s="1"/>
      <c r="N59" s="28" t="s">
        <v>204</v>
      </c>
      <c r="O59" s="26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6"/>
    </row>
    <row r="60" s="4" customFormat="1">
      <c r="A60" s="3">
        <v>59</v>
      </c>
      <c r="B60" s="16" t="s">
        <v>112</v>
      </c>
      <c r="C60" s="5" t="s">
        <v>134</v>
      </c>
      <c r="D60" s="5" t="s">
        <v>113</v>
      </c>
      <c r="E60" s="5" t="s">
        <v>268</v>
      </c>
      <c r="F60" s="5"/>
      <c r="G60" s="15" t="s">
        <v>360</v>
      </c>
      <c r="H60" s="18" t="str">
        <f t="shared" si="0"/>
        <v>*IP129_MITecSC_CatalogBehalfonAsset_67*</v>
      </c>
      <c r="I60" s="2" t="str">
        <f ca="1" t="shared" si="1"/>
        <v>22.07.2024</v>
      </c>
      <c r="J60" s="24">
        <f ca="1" t="shared" si="2"/>
        <v>45585</v>
      </c>
      <c r="K60" s="13" t="s">
        <v>244</v>
      </c>
      <c r="L60" s="13" t="s">
        <v>175</v>
      </c>
      <c r="M60" s="1"/>
      <c r="N60" s="28" t="s">
        <v>204</v>
      </c>
      <c r="O60" s="26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6"/>
    </row>
    <row r="61" s="4" customFormat="1">
      <c r="A61" s="3">
        <v>60</v>
      </c>
      <c r="B61" s="16" t="s">
        <v>112</v>
      </c>
      <c r="C61" s="5" t="s">
        <v>134</v>
      </c>
      <c r="D61" s="5" t="s">
        <v>116</v>
      </c>
      <c r="E61" s="5" t="s">
        <v>268</v>
      </c>
      <c r="F61" s="5"/>
      <c r="G61" s="15" t="s">
        <v>360</v>
      </c>
      <c r="H61" s="18" t="str">
        <f t="shared" si="0"/>
        <v>*IP129_MITecSC_CatalogBehalfonAsset_67*</v>
      </c>
      <c r="I61" s="2" t="str">
        <f ca="1" t="shared" si="1"/>
        <v>22.07.2024</v>
      </c>
      <c r="J61" s="24">
        <f ca="1" t="shared" si="2"/>
        <v>45585</v>
      </c>
      <c r="K61" s="13" t="s">
        <v>244</v>
      </c>
      <c r="L61" s="13" t="s">
        <v>140</v>
      </c>
      <c r="M61" s="1"/>
      <c r="N61" s="28" t="s">
        <v>204</v>
      </c>
      <c r="O61" s="26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6"/>
    </row>
    <row r="62" s="4" customFormat="1">
      <c r="A62" s="3">
        <v>61</v>
      </c>
      <c r="B62" s="16" t="s">
        <v>112</v>
      </c>
      <c r="C62" s="5" t="s">
        <v>134</v>
      </c>
      <c r="D62" s="5" t="s">
        <v>19</v>
      </c>
      <c r="E62" s="5" t="s">
        <v>135</v>
      </c>
      <c r="F62" s="5"/>
      <c r="G62" s="15" t="s">
        <v>82</v>
      </c>
      <c r="H62" s="18" t="str">
        <f t="shared" si="0"/>
        <v>*IP129_MITecSC_CatalogBehalfonAsset2_72*</v>
      </c>
      <c r="I62" s="2" t="str">
        <f ca="1" t="shared" si="1"/>
        <v>22.07.2024</v>
      </c>
      <c r="J62" s="24">
        <f ca="1" t="shared" si="2"/>
        <v>45585</v>
      </c>
      <c r="K62" s="13" t="s">
        <v>244</v>
      </c>
      <c r="L62" s="13" t="s">
        <v>175</v>
      </c>
      <c r="M62" s="1"/>
      <c r="N62" s="28" t="s">
        <v>204</v>
      </c>
      <c r="O62" s="26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6"/>
    </row>
    <row r="63" s="4" customFormat="1">
      <c r="A63" s="3">
        <v>62</v>
      </c>
      <c r="B63" s="16" t="s">
        <v>112</v>
      </c>
      <c r="C63" s="5" t="s">
        <v>134</v>
      </c>
      <c r="D63" s="5" t="s">
        <v>305</v>
      </c>
      <c r="E63" s="5" t="s">
        <v>268</v>
      </c>
      <c r="F63" s="5"/>
      <c r="G63" s="15" t="s">
        <v>6</v>
      </c>
      <c r="H63" s="18" t="str">
        <f t="shared" si="0"/>
        <v>*=G62*</v>
      </c>
      <c r="I63" s="2" t="str">
        <f ca="1" t="shared" si="1"/>
        <v>22.07.2024</v>
      </c>
      <c r="J63" s="24">
        <f ca="1" t="shared" si="2"/>
        <v>45585</v>
      </c>
      <c r="K63" s="13" t="s">
        <v>244</v>
      </c>
      <c r="L63" s="13" t="s">
        <v>175</v>
      </c>
      <c r="M63" s="1"/>
      <c r="N63" s="28" t="s">
        <v>204</v>
      </c>
      <c r="O63" s="26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6"/>
    </row>
    <row r="64" s="4" customFormat="1">
      <c r="A64" s="3">
        <v>63</v>
      </c>
      <c r="B64" s="3" t="s">
        <v>166</v>
      </c>
      <c r="C64" s="5" t="s">
        <v>3</v>
      </c>
      <c r="D64" s="5" t="s">
        <v>115</v>
      </c>
      <c r="E64" s="5" t="s">
        <v>355</v>
      </c>
      <c r="F64" s="5" t="s">
        <v>5</v>
      </c>
      <c r="G64" s="12" t="s">
        <v>271</v>
      </c>
      <c r="H64" s="18" t="str">
        <f t="shared" si="0"/>
        <v>*IP119b_DLL_Standard_SC_Catalog_CC_78*</v>
      </c>
      <c r="I64" s="2" t="str">
        <f ca="1" t="shared" si="1"/>
        <v>22.07.2024</v>
      </c>
      <c r="J64" s="24">
        <f ca="1" t="shared" si="2"/>
        <v>45585</v>
      </c>
      <c r="K64" s="13" t="s">
        <v>244</v>
      </c>
      <c r="L64" s="13" t="s">
        <v>140</v>
      </c>
      <c r="M64" s="1"/>
      <c r="N64" s="28" t="s">
        <v>204</v>
      </c>
      <c r="O64" s="2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6"/>
    </row>
    <row r="65" s="4" customFormat="1">
      <c r="A65" s="3">
        <v>64</v>
      </c>
      <c r="B65" s="3" t="s">
        <v>213</v>
      </c>
      <c r="C65" s="5" t="s">
        <v>3</v>
      </c>
      <c r="D65" s="5" t="s">
        <v>115</v>
      </c>
      <c r="E65" s="5" t="s">
        <v>355</v>
      </c>
      <c r="F65" s="5"/>
      <c r="G65" s="12" t="s">
        <v>328</v>
      </c>
      <c r="H65" s="18" t="str">
        <f t="shared" si="0"/>
        <v>*IP123_DLL_Std_SC_FreeText_on_Order_42*</v>
      </c>
      <c r="I65" s="2" t="str">
        <f ca="1" t="shared" si="1"/>
        <v>22.07.2024</v>
      </c>
      <c r="J65" s="24">
        <f ca="1" t="shared" si="2"/>
        <v>45585</v>
      </c>
      <c r="K65" s="13" t="s">
        <v>244</v>
      </c>
      <c r="L65" s="13" t="s">
        <v>140</v>
      </c>
      <c r="M65" s="14" t="s">
        <v>204</v>
      </c>
      <c r="N65" s="28" t="s">
        <v>204</v>
      </c>
      <c r="O65" s="26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6"/>
    </row>
    <row r="66" s="4" customFormat="1">
      <c r="A66" s="3">
        <v>65</v>
      </c>
      <c r="B66" s="16" t="s">
        <v>112</v>
      </c>
      <c r="C66" s="5" t="s">
        <v>134</v>
      </c>
      <c r="D66" s="5" t="s">
        <v>19</v>
      </c>
      <c r="E66" s="5" t="s">
        <v>135</v>
      </c>
      <c r="F66" s="5"/>
      <c r="G66" s="15" t="s">
        <v>118</v>
      </c>
      <c r="H66" s="18" t="str">
        <f t="shared" si="0"/>
        <v>*IP130_DLL_TechSC_CatFreeText_onCC_29*</v>
      </c>
      <c r="I66" s="2" t="str">
        <f ca="1" t="shared" si="1"/>
        <v>22.07.2024</v>
      </c>
      <c r="J66" s="24">
        <f ca="1" t="shared" si="2"/>
        <v>45585</v>
      </c>
      <c r="K66" s="13" t="s">
        <v>244</v>
      </c>
      <c r="L66" s="13" t="s">
        <v>175</v>
      </c>
      <c r="M66" s="1"/>
      <c r="N66" s="28" t="s">
        <v>204</v>
      </c>
      <c r="O66" s="26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6"/>
    </row>
    <row r="67" s="4" customFormat="1">
      <c r="A67" s="3">
        <v>66</v>
      </c>
      <c r="B67" s="16" t="s">
        <v>112</v>
      </c>
      <c r="C67" s="5" t="s">
        <v>134</v>
      </c>
      <c r="D67" s="5" t="s">
        <v>18</v>
      </c>
      <c r="E67" s="5" t="s">
        <v>268</v>
      </c>
      <c r="F67" s="5"/>
      <c r="G67" s="15" t="s">
        <v>118</v>
      </c>
      <c r="H67" s="18" t="str">
        <f t="shared" si="0"/>
        <v>*IP130_DLL_TechSC_CatFreeText_onCC_29*</v>
      </c>
      <c r="I67" s="2" t="str">
        <f ca="1" t="shared" si="1"/>
        <v>22.07.2024</v>
      </c>
      <c r="J67" s="24">
        <f ca="1" t="shared" si="2"/>
        <v>45585</v>
      </c>
      <c r="K67" s="13" t="s">
        <v>244</v>
      </c>
      <c r="L67" s="13" t="s">
        <v>140</v>
      </c>
      <c r="M67" s="1"/>
      <c r="N67" s="28" t="s">
        <v>204</v>
      </c>
      <c r="O67" s="26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6"/>
    </row>
    <row r="68" s="4" customFormat="1">
      <c r="A68" s="3">
        <v>67</v>
      </c>
      <c r="B68" s="3" t="s">
        <v>166</v>
      </c>
      <c r="C68" s="5" t="s">
        <v>134</v>
      </c>
      <c r="D68" s="5" t="s">
        <v>115</v>
      </c>
      <c r="E68" s="5" t="s">
        <v>268</v>
      </c>
      <c r="F68" s="5" t="s">
        <v>5</v>
      </c>
      <c r="G68" s="12" t="s">
        <v>79</v>
      </c>
      <c r="H68" s="18" t="str">
        <f t="shared" si="0"/>
        <v>*IP119b_DLL_Standard_SC_Catalog_CC_87*</v>
      </c>
      <c r="I68" s="2" t="str">
        <f ca="1" t="shared" si="1"/>
        <v>22.07.2024</v>
      </c>
      <c r="J68" s="24">
        <f ca="1" t="shared" si="2"/>
        <v>45585</v>
      </c>
      <c r="K68" s="13" t="s">
        <v>244</v>
      </c>
      <c r="L68" s="13" t="s">
        <v>140</v>
      </c>
      <c r="M68" s="1"/>
      <c r="N68" s="28" t="s">
        <v>204</v>
      </c>
      <c r="O68" s="26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6"/>
    </row>
    <row r="69" s="4" customFormat="1">
      <c r="A69" s="3">
        <v>68</v>
      </c>
      <c r="B69" s="3" t="s">
        <v>41</v>
      </c>
      <c r="C69" s="5" t="s">
        <v>134</v>
      </c>
      <c r="D69" s="5" t="s">
        <v>4</v>
      </c>
      <c r="E69" s="5" t="s">
        <v>268</v>
      </c>
      <c r="F69" s="5" t="s">
        <v>5</v>
      </c>
      <c r="G69" s="12" t="s">
        <v>7</v>
      </c>
      <c r="H69" s="18" t="str">
        <f t="shared" si="0"/>
        <v>*IP144_DLL_SC_FreeText_Appr.Note_22*</v>
      </c>
      <c r="I69" s="2" t="str">
        <f ca="1" t="shared" si="1"/>
        <v>22.07.2024</v>
      </c>
      <c r="J69" s="24">
        <f ca="1" t="shared" si="2"/>
        <v>45585</v>
      </c>
      <c r="K69" s="13" t="s">
        <v>244</v>
      </c>
      <c r="L69" s="13" t="s">
        <v>140</v>
      </c>
      <c r="M69" s="1"/>
      <c r="N69" s="28" t="s">
        <v>204</v>
      </c>
      <c r="O69" s="26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6"/>
    </row>
    <row r="70" s="4" customFormat="1">
      <c r="A70" s="3">
        <v>69</v>
      </c>
      <c r="B70" s="19" t="s">
        <v>17</v>
      </c>
      <c r="C70" s="5" t="s">
        <v>134</v>
      </c>
      <c r="D70" s="5" t="s">
        <v>115</v>
      </c>
      <c r="E70" s="5" t="s">
        <v>268</v>
      </c>
      <c r="F70" s="5"/>
      <c r="G70" s="12" t="s">
        <v>23</v>
      </c>
      <c r="H70" s="18" t="str">
        <f t="shared" si="0"/>
        <v>*IP140_DLL_SC_17*</v>
      </c>
      <c r="I70" s="2" t="str">
        <f ca="1" t="shared" si="1"/>
        <v>22.07.2024</v>
      </c>
      <c r="J70" s="24">
        <f ca="1" t="shared" si="2"/>
        <v>45585</v>
      </c>
      <c r="K70" s="13" t="s">
        <v>244</v>
      </c>
      <c r="L70" s="13" t="s">
        <v>175</v>
      </c>
      <c r="M70" s="1"/>
      <c r="N70" s="28" t="s">
        <v>204</v>
      </c>
      <c r="O70" s="2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6"/>
    </row>
    <row r="71" s="8" customFormat="1">
      <c r="A71" s="3">
        <v>70</v>
      </c>
      <c r="B71" s="16" t="s">
        <v>302</v>
      </c>
      <c r="C71" s="5" t="s">
        <v>134</v>
      </c>
      <c r="D71" s="5" t="s">
        <v>113</v>
      </c>
      <c r="E71" s="5" t="s">
        <v>268</v>
      </c>
      <c r="F71" s="5"/>
      <c r="G71" s="12" t="s">
        <v>243</v>
      </c>
      <c r="H71" s="18" t="str">
        <f t="shared" si="0"/>
        <v>*IP149c_MIGenericItemBudgetCheck_16*</v>
      </c>
      <c r="I71" s="2" t="str">
        <f ca="1" t="shared" si="1"/>
        <v>22.07.2024</v>
      </c>
      <c r="J71" s="24">
        <f ca="1" t="shared" si="2"/>
        <v>45585</v>
      </c>
      <c r="K71" s="13" t="s">
        <v>244</v>
      </c>
      <c r="L71" s="13" t="s">
        <v>175</v>
      </c>
      <c r="M71" s="2"/>
      <c r="N71" s="28" t="s">
        <v>204</v>
      </c>
      <c r="O71" s="2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10"/>
    </row>
    <row r="72" s="8" customFormat="1">
      <c r="A72" s="3">
        <v>71</v>
      </c>
      <c r="B72" s="16" t="s">
        <v>302</v>
      </c>
      <c r="C72" s="5" t="s">
        <v>134</v>
      </c>
      <c r="D72" s="5" t="s">
        <v>216</v>
      </c>
      <c r="E72" s="5" t="s">
        <v>268</v>
      </c>
      <c r="F72" s="5"/>
      <c r="G72" s="12" t="s">
        <v>243</v>
      </c>
      <c r="H72" s="18" t="str">
        <f t="shared" si="0"/>
        <v>*IP149c_MIGenericItemBudgetCheck_16*</v>
      </c>
      <c r="I72" s="2" t="str">
        <f ca="1" t="shared" si="1"/>
        <v>22.07.2024</v>
      </c>
      <c r="J72" s="24">
        <f ca="1" t="shared" si="2"/>
        <v>45585</v>
      </c>
      <c r="K72" s="13" t="s">
        <v>244</v>
      </c>
      <c r="L72" s="13" t="s">
        <v>140</v>
      </c>
      <c r="M72" s="2"/>
      <c r="N72" s="28" t="s">
        <v>204</v>
      </c>
      <c r="O72" s="2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10"/>
    </row>
    <row r="73" s="8" customFormat="1">
      <c r="A73" s="11">
        <v>72</v>
      </c>
      <c r="B73" s="11" t="s">
        <v>39</v>
      </c>
      <c r="C73" s="9" t="s">
        <v>134</v>
      </c>
      <c r="D73" s="9" t="s">
        <v>216</v>
      </c>
      <c r="E73" s="5" t="s">
        <v>268</v>
      </c>
      <c r="F73" s="9"/>
      <c r="G73" s="15" t="s">
        <v>295</v>
      </c>
      <c r="H73" s="21" t="str">
        <f t="shared" si="0"/>
        <v>*160_SRM_21*</v>
      </c>
      <c r="I73" s="2" t="str">
        <f ca="1" t="shared" si="1"/>
        <v>22.07.2024</v>
      </c>
      <c r="J73" s="24">
        <f ca="1" t="shared" si="2"/>
        <v>45585</v>
      </c>
      <c r="K73" s="20" t="s">
        <v>244</v>
      </c>
      <c r="L73" s="13" t="s">
        <v>140</v>
      </c>
      <c r="M73" s="2"/>
      <c r="N73" s="28" t="s">
        <v>204</v>
      </c>
      <c r="O73" s="2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10"/>
    </row>
    <row r="74" s="4" customFormat="1">
      <c r="A74" s="3">
        <v>73</v>
      </c>
      <c r="B74" s="3" t="s">
        <v>2</v>
      </c>
      <c r="C74" s="5" t="s">
        <v>134</v>
      </c>
      <c r="D74" s="5" t="s">
        <v>324</v>
      </c>
      <c r="E74" s="5" t="s">
        <v>268</v>
      </c>
      <c r="F74" s="5" t="s">
        <v>5</v>
      </c>
      <c r="G74" s="12" t="s">
        <v>241</v>
      </c>
      <c r="H74" s="18" t="str">
        <f t="shared" si="0"/>
        <v>*IP116_AB_Standard_SC_Limit_ItemonCC_25*</v>
      </c>
      <c r="I74" s="2" t="str">
        <f ca="1" t="shared" si="1"/>
        <v>22.07.2024</v>
      </c>
      <c r="J74" s="24">
        <f ca="1" t="shared" si="2"/>
        <v>45585</v>
      </c>
      <c r="K74" s="13" t="s">
        <v>244</v>
      </c>
      <c r="L74" s="13" t="s">
        <v>140</v>
      </c>
      <c r="M74" s="7">
        <v>1000100748</v>
      </c>
      <c r="N74" s="28" t="s">
        <v>204</v>
      </c>
      <c r="O74" s="2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6"/>
    </row>
    <row r="75" s="4" customFormat="1">
      <c r="A75" s="3">
        <v>74</v>
      </c>
      <c r="B75" s="3" t="s">
        <v>213</v>
      </c>
      <c r="C75" s="5" t="s">
        <v>3</v>
      </c>
      <c r="D75" s="5" t="s">
        <v>114</v>
      </c>
      <c r="E75" s="5" t="s">
        <v>325</v>
      </c>
      <c r="F75" s="5"/>
      <c r="G75" s="12" t="s">
        <v>138</v>
      </c>
      <c r="H75" s="18" t="str">
        <f t="shared" si="0"/>
        <v>*IP123_DLL_Std_SC_FreeText_on_Order_8*</v>
      </c>
      <c r="I75" s="2" t="str">
        <f ca="1" t="shared" si="1"/>
        <v>22.07.2024</v>
      </c>
      <c r="J75" s="24">
        <f ca="1" t="shared" si="2"/>
        <v>45585</v>
      </c>
      <c r="K75" s="13" t="s">
        <v>244</v>
      </c>
      <c r="L75" s="13" t="s">
        <v>175</v>
      </c>
      <c r="M75" s="14"/>
      <c r="N75" s="28" t="s">
        <v>204</v>
      </c>
      <c r="O75" s="26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6"/>
    </row>
    <row r="76" s="4" customFormat="1">
      <c r="A76" s="3">
        <v>75</v>
      </c>
      <c r="B76" s="3" t="s">
        <v>77</v>
      </c>
      <c r="C76" s="5" t="s">
        <v>3</v>
      </c>
      <c r="D76" s="5" t="s">
        <v>18</v>
      </c>
      <c r="E76" s="5" t="s">
        <v>355</v>
      </c>
      <c r="F76" s="5"/>
      <c r="G76" s="12" t="s">
        <v>219</v>
      </c>
      <c r="H76" s="18" t="str">
        <f t="shared" si="0"/>
        <v>*IP129_DLLTecSC_VIM_69_9*</v>
      </c>
      <c r="I76" s="2" t="str">
        <f ca="1" t="shared" si="1"/>
        <v>22.07.2024</v>
      </c>
      <c r="J76" s="24">
        <f ca="1" t="shared" si="2"/>
        <v>45585</v>
      </c>
      <c r="K76" s="13" t="s">
        <v>244</v>
      </c>
      <c r="L76" s="13" t="s">
        <v>140</v>
      </c>
      <c r="M76" s="14" t="s">
        <v>204</v>
      </c>
      <c r="N76" s="28" t="s">
        <v>204</v>
      </c>
      <c r="O76" s="26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6"/>
    </row>
    <row r="77" s="4" customFormat="1">
      <c r="A77" s="3">
        <v>76</v>
      </c>
      <c r="B77" s="3" t="s">
        <v>166</v>
      </c>
      <c r="C77" s="5" t="s">
        <v>3</v>
      </c>
      <c r="D77" s="5" t="s">
        <v>215</v>
      </c>
      <c r="E77" s="5" t="s">
        <v>325</v>
      </c>
      <c r="F77" s="5" t="s">
        <v>5</v>
      </c>
      <c r="G77" s="12" t="s">
        <v>361</v>
      </c>
      <c r="H77" s="18" t="str">
        <f t="shared" si="0"/>
        <v>*IP119b_DLL_Standard_SC_Catalog_CC_86*</v>
      </c>
      <c r="I77" s="2" t="str">
        <f ca="1" t="shared" si="1"/>
        <v>22.07.2024</v>
      </c>
      <c r="J77" s="24">
        <f ca="1" t="shared" si="2"/>
        <v>45585</v>
      </c>
      <c r="K77" s="13" t="s">
        <v>244</v>
      </c>
      <c r="L77" s="13" t="s">
        <v>140</v>
      </c>
      <c r="M77" s="17" t="s">
        <v>204</v>
      </c>
      <c r="N77" s="28" t="s">
        <v>204</v>
      </c>
      <c r="O77" s="26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6"/>
    </row>
    <row r="78" s="4" customFormat="1">
      <c r="A78" s="3">
        <v>77</v>
      </c>
      <c r="B78" s="3" t="s">
        <v>213</v>
      </c>
      <c r="C78" s="5" t="s">
        <v>3</v>
      </c>
      <c r="D78" s="5" t="s">
        <v>114</v>
      </c>
      <c r="E78" s="5" t="s">
        <v>355</v>
      </c>
      <c r="F78" s="5" t="s">
        <v>5</v>
      </c>
      <c r="G78" s="12" t="s">
        <v>328</v>
      </c>
      <c r="H78" s="18" t="str">
        <f t="shared" si="0"/>
        <v>*IP123_DLL_Std_SC_FreeText_on_Order_42*</v>
      </c>
      <c r="I78" s="2" t="str">
        <f ca="1" t="shared" si="1"/>
        <v>22.07.2024</v>
      </c>
      <c r="J78" s="24">
        <f ca="1" t="shared" si="2"/>
        <v>45585</v>
      </c>
      <c r="K78" s="13" t="s">
        <v>244</v>
      </c>
      <c r="L78" s="13" t="s">
        <v>175</v>
      </c>
      <c r="M78" s="17" t="s">
        <v>204</v>
      </c>
      <c r="N78" s="28" t="s">
        <v>204</v>
      </c>
      <c r="O78" s="26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6"/>
    </row>
  </sheetData>
  <hyperlinks>
    <hyperlink ref="E2" r:id="rId1" display="Welcome@2024"/>
  </hyperlinks>
  <pageMargins left="0.7" right="0.7" top="0.75" bottom="0.75" header="0.3" footer="0.3"/>
  <pageSetup orientation="portrait" horizontalDpi="1200" verticalDpi="1200"/>
</worksheet>
</file>