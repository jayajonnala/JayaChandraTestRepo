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<sst xmlns="http://schemas.openxmlformats.org/spreadsheetml/2006/main" uniqueCount="39">
  <si>
    <t>https://sapportal-pre.delhaize.com/irj/portal/fiori_ad?spnego=disabled#Shell-home</t>
  </si>
  <si>
    <t>ASRMDLL01</t>
  </si>
  <si>
    <t>Welcome@2022</t>
  </si>
  <si>
    <t/>
  </si>
  <si>
    <t>6300003393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</si>
  <si>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</si>
  <si>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</si>
  <si>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</si>
  <si>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</si>
  <si>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</si>
  <si>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</si>
  <si>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</si>
  <si>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</si>
  <si>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DT_SAPOPTIONS</t>
  </si>
  <si>
    <t>4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</si>
  <si>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</si>
  <si>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</si>
  <si>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</si>
  <si>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</si>
  <si>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</si>
  <si>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</si>
  <si>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</si>
  <si>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</si>
  <si>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</si>
  <si>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IP116_DLL_Standard_SC_Limit_ItemonCC_169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</si>
  <si>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</si>
  <si>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</si>
  <si>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</si>
  <si>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</si>
  <si>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</si>
  <si>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</si>
  <si>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</si>
  <si>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</si>
  <si>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</si>
  <si>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</si>
  <si>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</si>
  <si>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</si>
  <si>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</si>
  <si>
    <t>1001879893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</si>
</sst>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theme="10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2" fillId="2" borderId="1" xfId="0" applyNumberFormat="1" applyFill="1" applyBorder="1" applyProtection="1">
      <protection locked="0"/>
    </xf>
    <xf numFmtId="0" fontId="2" fillId="3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49" fontId="3" fillId="2" borderId="1" xfId="1" applyNumberForma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49" fontId="2" fillId="0" borderId="1" xfId="0" applyNumberFormat="1" applyBorder="1" applyProtection="1">
      <protection locked="0"/>
    </xf>
    <xf numFmtId="49" fontId="5" fillId="6" borderId="1" xfId="0" applyNumberFormat="1" applyFont="1" applyFill="1" applyBorder="1" applyProtection="1">
      <protection locked="0"/>
    </xf>
    <xf numFmtId="0" fontId="2" fillId="0" borderId="1" xfId="0" applyBorder="1" applyProtection="1">
      <protection locked="0"/>
    </xf>
    <xf numFmtId="0" fontId="5" fillId="6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F1" workbookViewId="0">
      <selection activeCell="F2" sqref="F2"/>
    </sheetView>
  </sheetViews>
  <sheetFormatPr defaultColWidth="9.125" defaultRowHeight="14.25"/>
  <cols>
    <col min="1" max="1" width="13.125" style="5" customWidth="1"/>
    <col min="2" max="2" width="70.5" style="5" customWidth="1"/>
    <col min="3" max="3" width="49.875" style="5" customWidth="1"/>
    <col min="4" max="4" width="13.625" style="5" customWidth="1"/>
    <col min="5" max="5" width="20.25" style="5" customWidth="1"/>
    <col min="6" max="6" width="16.75" style="5" customWidth="1"/>
    <col min="7" max="7" width="17.5" style="5" customWidth="1"/>
    <col min="8" max="8" width="13.125" style="5" customWidth="1"/>
    <col min="9" max="9" width="12" style="5" customWidth="1"/>
    <col min="10" max="10" width="19" style="5" customWidth="1"/>
    <col min="11" max="11" width="14.875" style="5" customWidth="1"/>
    <col min="12" max="12" width="20.875" style="5" customWidth="1"/>
    <col min="13" max="16384" width="9.125" style="5" customWidth="1"/>
  </cols>
  <sheetData>
    <row r="1" ht="12.75" customHeight="1" customFormat="1">
      <c r="A1" t="s">
        <v>16</v>
      </c>
      <c r="B1" t="s">
        <v>9</v>
      </c>
      <c r="C1" t="s">
        <v>7</v>
      </c>
      <c r="D1" t="s">
        <v>34</v>
      </c>
      <c r="E1" t="s">
        <v>28</v>
      </c>
      <c r="F1" t="s">
        <v>13</v>
      </c>
      <c r="G1" t="s">
        <v>36</v>
      </c>
      <c r="H1" t="s">
        <v>25</v>
      </c>
      <c r="I1" t="s">
        <v>19</v>
      </c>
      <c r="J1" t="s">
        <v>22</v>
      </c>
      <c r="K1" t="s">
        <v>5</v>
      </c>
      <c r="L1" t="s">
        <v>6</v>
      </c>
      <c r="M1" t="s">
        <v>15</v>
      </c>
    </row>
    <row r="2">
      <c r="A2" s="4" t="s">
        <v>20</v>
      </c>
      <c r="B2" s="4" t="s">
        <v>17</v>
      </c>
      <c r="C2" s="1" t="s">
        <v>23</v>
      </c>
      <c r="D2" s="1" t="s">
        <v>1</v>
      </c>
      <c r="E2" s="7" t="s">
        <v>2</v>
      </c>
      <c r="F2" s="1" t="s">
        <v>3</v>
      </c>
      <c r="G2" s="9" t="s">
        <v>24</v>
      </c>
      <c r="H2" s="8" t="s">
        <v>38</v>
      </c>
      <c r="I2" s="2" t="e">
        <f>[1]Output!A2</f>
        <v>#REF!</v>
      </c>
      <c r="J2" s="2" t="e">
        <f>[1]Output!B2</f>
        <v>#REF!</v>
      </c>
      <c r="K2" s="12" t="e">
        <f t="shared" si="0" ref="K2:K5">CONCATENATE(I2,"/",J2)</f>
        <v>#REF!</v>
      </c>
      <c r="L2" s="10" t="s">
        <v>30</v>
      </c>
      <c r="M2" s="6" t="e">
        <f>_xlfn.CONCAT(I2&amp;"/"&amp;J2)</f>
        <v>#NAME?</v>
      </c>
    </row>
    <row r="3">
      <c r="A3" s="4" t="s">
        <v>32</v>
      </c>
      <c r="B3" s="4" t="s">
        <v>17</v>
      </c>
      <c r="C3" s="1" t="s">
        <v>0</v>
      </c>
      <c r="D3" s="1" t="s">
        <v>21</v>
      </c>
      <c r="E3" s="1" t="s">
        <v>35</v>
      </c>
      <c r="F3" s="1" t="s">
        <v>3</v>
      </c>
      <c r="G3" s="9" t="s">
        <v>18</v>
      </c>
      <c r="H3" s="8" t="s">
        <v>37</v>
      </c>
      <c r="I3" s="3" t="s">
        <v>11</v>
      </c>
      <c r="J3" s="3" t="s">
        <v>27</v>
      </c>
      <c r="K3" s="12" t="str">
        <f t="shared" si="0"/>
        <v>6400061831/10</v>
      </c>
      <c r="L3" s="10" t="s">
        <v>30</v>
      </c>
      <c r="M3" s="6"/>
    </row>
    <row r="4">
      <c r="A4" s="4" t="s">
        <v>8</v>
      </c>
      <c r="B4" s="4" t="s">
        <v>17</v>
      </c>
      <c r="C4" s="1" t="s">
        <v>0</v>
      </c>
      <c r="D4" s="1" t="s">
        <v>12</v>
      </c>
      <c r="E4" s="1" t="s">
        <v>35</v>
      </c>
      <c r="F4" s="1" t="s">
        <v>3</v>
      </c>
      <c r="G4" s="9" t="s">
        <v>18</v>
      </c>
      <c r="H4" s="8" t="s">
        <v>10</v>
      </c>
      <c r="I4" s="3" t="s">
        <v>4</v>
      </c>
      <c r="J4" s="3" t="s">
        <v>27</v>
      </c>
      <c r="K4" s="12" t="str">
        <f t="shared" si="0"/>
        <v>6300003393/10</v>
      </c>
      <c r="L4" s="10" t="s">
        <v>30</v>
      </c>
      <c r="M4" s="6"/>
    </row>
    <row r="5">
      <c r="A5" s="4" t="s">
        <v>14</v>
      </c>
      <c r="B5" s="4" t="s">
        <v>33</v>
      </c>
      <c r="C5" s="1" t="s">
        <v>0</v>
      </c>
      <c r="D5" s="1" t="s">
        <v>12</v>
      </c>
      <c r="E5" s="1" t="s">
        <v>35</v>
      </c>
      <c r="F5" s="1" t="s">
        <v>3</v>
      </c>
      <c r="G5" s="9" t="s">
        <v>18</v>
      </c>
      <c r="H5" s="8" t="s">
        <v>26</v>
      </c>
      <c r="I5" s="3" t="s">
        <v>29</v>
      </c>
      <c r="J5" s="3" t="s">
        <v>27</v>
      </c>
      <c r="K5" s="12" t="str">
        <f t="shared" si="0"/>
        <v>6200057977/10</v>
      </c>
      <c r="L5" s="10" t="s">
        <v>30</v>
      </c>
      <c r="M5" s="6"/>
    </row>
  </sheetData>
  <hyperlinks>
    <hyperlink ref="E2" r:id="rId1" display="Welcome@2022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tabSelected="1" workbookViewId="0">
      <selection activeCell="A2" sqref="A2"/>
    </sheetView>
  </sheetViews>
  <sheetFormatPr defaultColWidth="9.125" defaultRowHeight="14.25"/>
  <cols>
    <col min="1" max="16384" width="9.125" style="5" customWidth="1"/>
  </cols>
  <sheetData>
    <row r="1" ht="12.75" customHeight="1" customFormat="1">
      <c r="A1" t="s">
        <v>31</v>
      </c>
      <c r="B1" t="s">
        <v>22</v>
      </c>
    </row>
    <row r="2">
      <c r="A2" s="11">
        <v>6200402901</v>
      </c>
      <c r="B2" s="6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