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<sst xmlns="http://schemas.openxmlformats.org/spreadsheetml/2006/main" uniqueCount="116">
  <si>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</si>
  <si>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</si>
  <si>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</si>
  <si>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</si>
  <si>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</si>
  <si>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Document Number 000040247882 Workflow ID 000273910008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</si>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</sst>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8" customWidth="1"/>
    <col min="2" max="2" width="61.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0.75" style="8" customWidth="1"/>
    <col min="11" max="11" width="28.375" style="8" customWidth="1"/>
    <col min="12" max="12" width="34.375" style="8" customWidth="1"/>
    <col min="13" max="13" width="26.625" style="8" customWidth="1"/>
    <col min="14" max="14" width="51.25" style="8" customWidth="1"/>
    <col min="15" max="15" width="57.125" style="8" customWidth="1"/>
    <col min="16" max="16" width="31.625" style="8" customWidth="1"/>
    <col min="17" max="17" width="9.125" style="8" customWidth="1"/>
    <col min="18" max="18" width="14.875" style="8" bestFit="1" customWidth="1"/>
    <col min="19" max="19" width="13" style="8" customWidth="1"/>
    <col min="20" max="20" width="53.62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34.75" style="8" customWidth="1"/>
    <col min="29" max="29" width="38.625" style="8" customWidth="1"/>
    <col min="30" max="30" width="26.625" style="8" customWidth="1"/>
    <col min="31" max="31" width="76.5" style="8" customWidth="1"/>
    <col min="32" max="32" width="69.125" style="8" customWidth="1"/>
    <col min="33" max="33" width="44.5" style="8" customWidth="1"/>
    <col min="34" max="34" width="26.625" style="8" customWidth="1"/>
    <col min="35" max="35" width="82.375" style="8" customWidth="1"/>
    <col min="36" max="36" width="75" style="8" customWidth="1"/>
    <col min="37" max="37" width="36.125" style="8" bestFit="1" customWidth="1"/>
    <col min="38" max="16384" width="9.125" style="8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13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14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4">
        <v>2</v>
      </c>
      <c r="B2" s="4" t="s">
        <v>12</v>
      </c>
      <c r="C2" s="2" t="s">
        <v>89</v>
      </c>
      <c r="D2" s="2" t="s">
        <v>25</v>
      </c>
      <c r="E2" s="2" t="s">
        <v>19</v>
      </c>
      <c r="F2" s="2" t="s">
        <v>0</v>
      </c>
      <c r="G2" s="2" t="s">
        <v>75</v>
      </c>
      <c r="H2" s="2" t="s">
        <v>1</v>
      </c>
      <c r="I2" s="5" t="s">
        <v>62</v>
      </c>
      <c r="J2" s="1" t="s">
        <v>91</v>
      </c>
      <c r="K2" s="5" t="s">
        <v>101</v>
      </c>
      <c r="L2" s="9">
        <v>40234075</v>
      </c>
      <c r="M2" s="1" t="s">
        <v>44</v>
      </c>
      <c r="N2" s="1" t="s">
        <v>1</v>
      </c>
      <c r="O2" s="11" t="s">
        <v>93</v>
      </c>
      <c r="P2" s="3" t="e">
        <f t="shared" si="0" ref="P2:P5">RIGHT(O2,LEN(O2)-21)</f>
        <v>#VALUE!</v>
      </c>
      <c r="Q2" s="3" t="e">
        <f t="shared" si="1" ref="Q2:Q5">LEFT(P2,LEN(P2)-25)</f>
        <v>#VALUE!</v>
      </c>
      <c r="R2" s="3" t="str">
        <f t="shared" si="2" ref="R2:R5">MID(O2,16,13)</f>
        <v/>
      </c>
      <c r="S2" s="3" t="str">
        <f t="shared" si="3" ref="S2:S5">MID(O2,42,13)</f>
        <v/>
      </c>
      <c r="T2" s="3" t="str">
        <f t="shared" si="4" ref="T2:T5">"Document Number"&amp;R2&amp;" Workflow ID "&amp;S2</f>
        <v xml:space="preserve">Document Number Workflow ID </v>
      </c>
      <c r="U2" s="5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3" t="str">
        <f t="shared" si="5" ref="Z2:Z5">R2</f>
        <v/>
      </c>
      <c r="AA2" s="1" t="s">
        <v>58</v>
      </c>
      <c r="AB2" s="1" t="s">
        <v>46</v>
      </c>
      <c r="AC2" s="5" t="s">
        <v>21</v>
      </c>
      <c r="AD2" s="1" t="s">
        <v>55</v>
      </c>
      <c r="AE2" s="6" t="s">
        <v>27</v>
      </c>
      <c r="AF2" s="6" t="s">
        <v>112</v>
      </c>
      <c r="AG2" s="5" t="s">
        <v>35</v>
      </c>
      <c r="AH2" s="1" t="s">
        <v>55</v>
      </c>
      <c r="AI2" s="6" t="s">
        <v>27</v>
      </c>
      <c r="AJ2" s="6" t="s">
        <v>80</v>
      </c>
      <c r="AK2" s="12"/>
    </row>
    <row r="3">
      <c r="A3" s="4">
        <v>3</v>
      </c>
      <c r="B3" s="4" t="s">
        <v>31</v>
      </c>
      <c r="C3" s="2" t="s">
        <v>89</v>
      </c>
      <c r="D3" s="2" t="s">
        <v>25</v>
      </c>
      <c r="E3" s="2" t="s">
        <v>33</v>
      </c>
      <c r="F3" s="2" t="s">
        <v>20</v>
      </c>
      <c r="G3" s="2" t="s">
        <v>75</v>
      </c>
      <c r="H3" s="2" t="s">
        <v>1</v>
      </c>
      <c r="I3" s="5" t="s">
        <v>62</v>
      </c>
      <c r="J3" s="1" t="s">
        <v>91</v>
      </c>
      <c r="K3" s="5" t="s">
        <v>101</v>
      </c>
      <c r="L3" s="14">
        <v>13723975</v>
      </c>
      <c r="M3" s="1" t="s">
        <v>44</v>
      </c>
      <c r="N3" s="1" t="s">
        <v>1</v>
      </c>
      <c r="O3" s="11" t="s">
        <v>6</v>
      </c>
      <c r="P3" s="3" t="e">
        <f t="shared" si="0"/>
        <v>#VALUE!</v>
      </c>
      <c r="Q3" s="3" t="e">
        <f t="shared" si="1"/>
        <v>#VALUE!</v>
      </c>
      <c r="R3" s="3" t="str">
        <f t="shared" si="2"/>
        <v/>
      </c>
      <c r="S3" s="3" t="str">
        <f t="shared" si="3"/>
        <v/>
      </c>
      <c r="T3" s="3" t="str">
        <f t="shared" si="4"/>
        <v xml:space="preserve">Document Number Workflow ID </v>
      </c>
      <c r="U3" s="5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3" t="str">
        <f t="shared" si="5"/>
        <v/>
      </c>
      <c r="AA3" s="1" t="s">
        <v>58</v>
      </c>
      <c r="AB3" s="1" t="s">
        <v>46</v>
      </c>
      <c r="AC3" s="5" t="s">
        <v>21</v>
      </c>
      <c r="AD3" s="1" t="s">
        <v>55</v>
      </c>
      <c r="AE3" s="6" t="s">
        <v>27</v>
      </c>
      <c r="AF3" s="6" t="s">
        <v>112</v>
      </c>
      <c r="AG3" s="5" t="s">
        <v>28</v>
      </c>
      <c r="AH3" s="1" t="s">
        <v>55</v>
      </c>
      <c r="AI3" s="6" t="s">
        <v>27</v>
      </c>
      <c r="AJ3" s="6" t="s">
        <v>80</v>
      </c>
      <c r="AK3" s="12">
        <v>40234075</v>
      </c>
    </row>
    <row r="4">
      <c r="A4" s="4">
        <v>4</v>
      </c>
      <c r="B4" s="4" t="s">
        <v>24</v>
      </c>
      <c r="C4" s="2" t="s">
        <v>89</v>
      </c>
      <c r="D4" s="2" t="s">
        <v>25</v>
      </c>
      <c r="E4" s="2" t="s">
        <v>74</v>
      </c>
      <c r="F4" s="2" t="s">
        <v>61</v>
      </c>
      <c r="G4" s="2" t="s">
        <v>75</v>
      </c>
      <c r="H4" s="2" t="s">
        <v>1</v>
      </c>
      <c r="I4" s="5" t="s">
        <v>62</v>
      </c>
      <c r="J4" s="1" t="s">
        <v>91</v>
      </c>
      <c r="K4" s="5" t="s">
        <v>101</v>
      </c>
      <c r="L4" s="13" t="s">
        <v>102</v>
      </c>
      <c r="M4" s="1" t="s">
        <v>44</v>
      </c>
      <c r="N4" s="1" t="s">
        <v>1</v>
      </c>
      <c r="O4" s="11" t="s">
        <v>34</v>
      </c>
      <c r="P4" s="3" t="e">
        <f t="shared" si="0"/>
        <v>#VALUE!</v>
      </c>
      <c r="Q4" s="3" t="e">
        <f t="shared" si="1"/>
        <v>#VALUE!</v>
      </c>
      <c r="R4" s="3" t="str">
        <f t="shared" si="2"/>
        <v/>
      </c>
      <c r="S4" s="3" t="str">
        <f t="shared" si="3"/>
        <v/>
      </c>
      <c r="T4" s="3" t="str">
        <f t="shared" si="4"/>
        <v xml:space="preserve">Document Number Workflow ID </v>
      </c>
      <c r="U4" s="5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3" t="str">
        <f t="shared" si="5"/>
        <v/>
      </c>
      <c r="AA4" s="1" t="s">
        <v>58</v>
      </c>
      <c r="AB4" s="1" t="s">
        <v>46</v>
      </c>
      <c r="AC4" s="5" t="s">
        <v>21</v>
      </c>
      <c r="AD4" s="1" t="s">
        <v>55</v>
      </c>
      <c r="AE4" s="6" t="s">
        <v>27</v>
      </c>
      <c r="AF4" s="6" t="s">
        <v>112</v>
      </c>
      <c r="AG4" s="5" t="s">
        <v>4</v>
      </c>
      <c r="AH4" s="1" t="s">
        <v>55</v>
      </c>
      <c r="AI4" s="6" t="s">
        <v>27</v>
      </c>
      <c r="AJ4" s="6" t="s">
        <v>80</v>
      </c>
      <c r="AK4" s="12"/>
    </row>
    <row r="5">
      <c r="A5" s="7">
        <v>5</v>
      </c>
      <c r="B5" s="4" t="s">
        <v>73</v>
      </c>
      <c r="C5" s="2" t="s">
        <v>89</v>
      </c>
      <c r="D5" s="2" t="s">
        <v>25</v>
      </c>
      <c r="E5" s="2" t="s">
        <v>19</v>
      </c>
      <c r="F5" s="2" t="s">
        <v>0</v>
      </c>
      <c r="G5" s="2" t="s">
        <v>75</v>
      </c>
      <c r="H5" s="2" t="s">
        <v>1</v>
      </c>
      <c r="I5" s="5" t="s">
        <v>62</v>
      </c>
      <c r="J5" s="1" t="s">
        <v>91</v>
      </c>
      <c r="K5" s="5" t="s">
        <v>101</v>
      </c>
      <c r="L5" s="13" t="s">
        <v>92</v>
      </c>
      <c r="M5" s="1" t="s">
        <v>44</v>
      </c>
      <c r="N5" s="1" t="s">
        <v>1</v>
      </c>
      <c r="O5" s="11" t="s">
        <v>64</v>
      </c>
      <c r="P5" s="3" t="e">
        <f t="shared" si="0"/>
        <v>#VALUE!</v>
      </c>
      <c r="Q5" s="3" t="e">
        <f t="shared" si="1"/>
        <v>#VALUE!</v>
      </c>
      <c r="R5" s="3" t="str">
        <f t="shared" si="2"/>
        <v/>
      </c>
      <c r="S5" s="3" t="str">
        <f t="shared" si="3"/>
        <v/>
      </c>
      <c r="T5" s="3" t="str">
        <f t="shared" si="4"/>
        <v xml:space="preserve">Document Number Workflow ID </v>
      </c>
      <c r="U5" s="5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3" t="str">
        <f t="shared" si="5"/>
        <v/>
      </c>
      <c r="AA5" s="1" t="s">
        <v>58</v>
      </c>
      <c r="AB5" s="1" t="s">
        <v>46</v>
      </c>
      <c r="AC5" s="5" t="s">
        <v>21</v>
      </c>
      <c r="AD5" s="1" t="s">
        <v>55</v>
      </c>
      <c r="AE5" s="6" t="s">
        <v>27</v>
      </c>
      <c r="AF5" s="6" t="s">
        <v>112</v>
      </c>
      <c r="AG5" s="5" t="s">
        <v>35</v>
      </c>
      <c r="AH5" s="1" t="s">
        <v>55</v>
      </c>
      <c r="AI5" s="6" t="s">
        <v>27</v>
      </c>
      <c r="AJ5" s="6" t="s">
        <v>80</v>
      </c>
      <c r="AK5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9.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7</v>
      </c>
      <c r="G1" t="s">
        <v>37</v>
      </c>
      <c r="H1" t="s">
        <v>69</v>
      </c>
      <c r="I1" t="s">
        <v>95</v>
      </c>
      <c r="J1" t="s">
        <v>8</v>
      </c>
      <c r="K1" t="s">
        <v>38</v>
      </c>
      <c r="L1" t="s">
        <v>70</v>
      </c>
      <c r="M1" t="s">
        <v>96</v>
      </c>
      <c r="N1" t="s">
        <v>15</v>
      </c>
      <c r="O1" t="s">
        <v>47</v>
      </c>
      <c r="P1" t="s">
        <v>77</v>
      </c>
      <c r="Q1" t="s">
        <v>103</v>
      </c>
      <c r="R1" t="s">
        <v>13</v>
      </c>
      <c r="S1" t="s">
        <v>44</v>
      </c>
      <c r="T1" t="s">
        <v>81</v>
      </c>
      <c r="U1" t="s">
        <v>106</v>
      </c>
      <c r="V1" t="s">
        <v>16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9</v>
      </c>
      <c r="AE1" t="s">
        <v>39</v>
      </c>
      <c r="AF1" t="s">
        <v>71</v>
      </c>
      <c r="AG1" t="s">
        <v>97</v>
      </c>
      <c r="AH1" t="s">
        <v>10</v>
      </c>
      <c r="AI1" t="s">
        <v>40</v>
      </c>
      <c r="AJ1" t="s">
        <v>72</v>
      </c>
      <c r="AK1" t="s">
        <v>98</v>
      </c>
      <c r="AL1" t="s">
        <v>11</v>
      </c>
      <c r="AM1" t="s">
        <v>48</v>
      </c>
      <c r="AN1" t="s">
        <v>82</v>
      </c>
      <c r="AO1" t="s">
        <v>107</v>
      </c>
      <c r="AP1" t="s">
        <v>17</v>
      </c>
      <c r="AQ1" t="s">
        <v>49</v>
      </c>
      <c r="AR1" t="s">
        <v>83</v>
      </c>
      <c r="AS1" t="s">
        <v>108</v>
      </c>
      <c r="AT1" t="s">
        <v>18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4">
        <v>2</v>
      </c>
      <c r="B2" s="4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0"/>
    </row>
    <row r="3">
      <c r="A3" s="4">
        <v>3</v>
      </c>
      <c r="B3" s="4" t="s">
        <v>31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0"/>
    </row>
    <row r="4">
      <c r="A4" s="4">
        <v>4</v>
      </c>
      <c r="B4" s="4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0"/>
    </row>
    <row r="5">
      <c r="A5" s="7">
        <v>5</v>
      </c>
      <c r="B5" s="4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0"/>
    </row>
    <row r="6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0"/>
    </row>
    <row r="7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0"/>
    </row>
    <row r="8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0"/>
    </row>
    <row r="9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0"/>
    </row>
    <row r="10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0"/>
    </row>
    <row r="11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0"/>
    </row>
    <row r="12">
      <c r="A12" s="4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0"/>
    </row>
    <row r="13">
      <c r="A13" s="4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0"/>
    </row>
    <row r="14">
      <c r="A14" s="4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0"/>
    </row>
    <row r="15">
      <c r="A15" s="4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0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0"/>
    </row>
    <row r="17">
      <c r="A17" s="4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0"/>
    </row>
    <row r="18">
      <c r="A18" s="4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0"/>
    </row>
    <row r="19">
      <c r="A19" s="4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0"/>
    </row>
    <row r="20">
      <c r="A20" s="4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