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1"/>
  </bookViews>
  <sheets>
    <sheet name="Global" sheetId="1" r:id="rId1"/>
    <sheet name="Action1" sheetId="2" r:id="rId2"/>
  </sheets>
  <calcPr calcId="40001"/>
</workbook>
</file>

<file path=xl/sharedStrings.xml><?xml version="1.0" encoding="utf-8"?>
<sst xmlns="http://schemas.openxmlformats.org/spreadsheetml/2006/main" uniqueCount="116">
  <si>
    <t>5772ca5181ae108ad8f792da</t>
  </si>
  <si>
    <t/>
  </si>
  <si>
    <t>DT_SAPTRANSACTIONCODE</t>
  </si>
  <si>
    <t>DT_EXPECTEDVALUE_OCC3</t>
  </si>
  <si>
    <t>RO02</t>
  </si>
  <si>
    <t>Document Number 000040247882 Workflow ID 000273910008</t>
  </si>
  <si>
    <t>=Output!C3</t>
  </si>
  <si>
    <t>F</t>
  </si>
  <si>
    <t>J</t>
  </si>
  <si>
    <t>AD</t>
  </si>
  <si>
    <t>AH</t>
  </si>
  <si>
    <t>AL</t>
  </si>
  <si>
    <t>04.04.02.21 VIM - PO Precontrole Issue - DLL</t>
  </si>
  <si>
    <t>R</t>
  </si>
  <si>
    <t>DT_OPTVIM_7AX2_1105_DOCUMENT_ID</t>
  </si>
  <si>
    <t>N</t>
  </si>
  <si>
    <t>V</t>
  </si>
  <si>
    <t>AP</t>
  </si>
  <si>
    <t>AT</t>
  </si>
  <si>
    <t>AUTOFDLL</t>
  </si>
  <si>
    <t>Iovio002!</t>
  </si>
  <si>
    <t>%blank%</t>
  </si>
  <si>
    <t>Z</t>
  </si>
  <si>
    <t>AX</t>
  </si>
  <si>
    <t>04.04.02.21 VIM - PO Precontrole Issue - MI</t>
  </si>
  <si>
    <t>200</t>
  </si>
  <si>
    <t>DT_EXPECTEDVALUE</t>
  </si>
  <si>
    <t>902</t>
  </si>
  <si>
    <t>GR02</t>
  </si>
  <si>
    <t>DT_EXPECTEDVALUE_OCC4</t>
  </si>
  <si>
    <t>AA</t>
  </si>
  <si>
    <t>04.04.02.21 VIM - PO Precontrole Issue - AB</t>
  </si>
  <si>
    <t>DT_SAPSYSTEM</t>
  </si>
  <si>
    <t>AUTOAB</t>
  </si>
  <si>
    <t>=Output!C4</t>
  </si>
  <si>
    <t>BE10</t>
  </si>
  <si>
    <t>DT_OPTVIM_7AX2_2004_CHECK_GETCELLVALUE_OF_GRIDCELL_0_PROCESS_TYPE_OCC1</t>
  </si>
  <si>
    <t>G</t>
  </si>
  <si>
    <t>K</t>
  </si>
  <si>
    <t>AE</t>
  </si>
  <si>
    <t>AI</t>
  </si>
  <si>
    <t>DT_SAPLANGUAGE</t>
  </si>
  <si>
    <t>DT_SAPOPTIONS</t>
  </si>
  <si>
    <t>DT_OPTVIM_7AX2_0002_ARCH</t>
  </si>
  <si>
    <t>S</t>
  </si>
  <si>
    <t>DT_OPTVIM_7AX2_0002_CHECK_TEXT_OF_STATUSBAR</t>
  </si>
  <si>
    <t>0</t>
  </si>
  <si>
    <t>O</t>
  </si>
  <si>
    <t>AM</t>
  </si>
  <si>
    <t>AQ</t>
  </si>
  <si>
    <t>AU</t>
  </si>
  <si>
    <t>SCENARIO</t>
  </si>
  <si>
    <t>4</t>
  </si>
  <si>
    <t>DT_OPTVIM_7AX2_0600_GRIDCELL_4_COLUMN_NAME_OCC1</t>
  </si>
  <si>
    <t>DT_OPTVIM_7AX2_1000_GRIDCELL_0_EXECUTE</t>
  </si>
  <si>
    <t>W</t>
  </si>
  <si>
    <t>AY</t>
  </si>
  <si>
    <t>DT_EXPECTEDVALUE_OCC1</t>
  </si>
  <si>
    <t>ICON_EXEC</t>
  </si>
  <si>
    <t>D</t>
  </si>
  <si>
    <t>AB</t>
  </si>
  <si>
    <t>Iovio03!</t>
  </si>
  <si>
    <t>/OPT/VIM_7AX2</t>
  </si>
  <si>
    <t>DT_OPTVIM_7AX2_0002_ADDL_DOCS_OLD</t>
  </si>
  <si>
    <t>=Output!C5</t>
  </si>
  <si>
    <t>DT_DOCUMENT_CHECK</t>
  </si>
  <si>
    <t>DT_OPTVIM_7AX2_0600_GRIDCELL_4_COLUMN_NAME</t>
  </si>
  <si>
    <t>DT_OPTVIM_7AX2_2004_CHECK_GETCELLVALUE_OF_GRIDCELL_0_PROCESS_TYPE</t>
  </si>
  <si>
    <t>DT_OPTVIM_7AX2_0002_CHECK_TEXT_OF_STATUSBAR_OCC1_OUTPUT</t>
  </si>
  <si>
    <t>H</t>
  </si>
  <si>
    <t>L</t>
  </si>
  <si>
    <t>AF</t>
  </si>
  <si>
    <t>AJ</t>
  </si>
  <si>
    <t>AT_04.04.02.21 VIM - PO Precontrole Issue - BR01 - Invalid Company</t>
  </si>
  <si>
    <t>AUTOFICO</t>
  </si>
  <si>
    <t>EN</t>
  </si>
  <si>
    <t>DT_OPTVIM_7AX2_0002_CHECK_TEXT_OF_STATUSBAR_OCC1</t>
  </si>
  <si>
    <t>P</t>
  </si>
  <si>
    <t>DT_OPTVIM_7AX2_1100_COMPANY_CODE</t>
  </si>
  <si>
    <t>DT_OPTVIM_7AX2_2004_CHECK_GETCELLVALUE_OF_GRIDCELL_0_STATUS_OCC1</t>
  </si>
  <si>
    <t>@08\QProcessed@</t>
  </si>
  <si>
    <t>T</t>
  </si>
  <si>
    <t>AN</t>
  </si>
  <si>
    <t>AR</t>
  </si>
  <si>
    <t>X</t>
  </si>
  <si>
    <t>AV</t>
  </si>
  <si>
    <t>DT_EXPECTEDVALUE_OCC2</t>
  </si>
  <si>
    <t>DT_OPTVIM_7AX2_1002_BASIC_DATA</t>
  </si>
  <si>
    <t>AC</t>
  </si>
  <si>
    <t>R1E - SAP RETAIL Pre-Production EUROPE</t>
  </si>
  <si>
    <t>DT_SAPPASSWORD</t>
  </si>
  <si>
    <t>E</t>
  </si>
  <si>
    <t>341339</t>
  </si>
  <si>
    <t>=Output!C2</t>
  </si>
  <si>
    <t>DT_OPTVIM_7AX2_1100_COMPANY_CODE_OCC1</t>
  </si>
  <si>
    <t>I</t>
  </si>
  <si>
    <t>M</t>
  </si>
  <si>
    <t>AG</t>
  </si>
  <si>
    <t>AK</t>
  </si>
  <si>
    <t>ROW</t>
  </si>
  <si>
    <t>DT_SAPUSER</t>
  </si>
  <si>
    <t>S5</t>
  </si>
  <si>
    <t>6213121</t>
  </si>
  <si>
    <t>Q</t>
  </si>
  <si>
    <t>DT_OPTVIM_7AX2_0002_OKCD</t>
  </si>
  <si>
    <t>/n/opt/vim_wp</t>
  </si>
  <si>
    <t>U</t>
  </si>
  <si>
    <t>AO</t>
  </si>
  <si>
    <t>AS</t>
  </si>
  <si>
    <t>DT_SAPCLIENT</t>
  </si>
  <si>
    <t>DT_OPTVIM_7AX2_0150_ALL_USERS_VIEW</t>
  </si>
  <si>
    <t>DT_OPTVIM_7AX2_2004_CHECK_GETCELLVALUE_OF_GRIDCELL_0_STATUS</t>
  </si>
  <si>
    <t>@0A\QException occured@</t>
  </si>
  <si>
    <t>DT_OPTVIM_7AX2_0002_ADDL_DOCS</t>
  </si>
  <si>
    <t>Y</t>
  </si>
  <si>
    <t>AW</t>
  </si>
</sst>
</file>

<file path=xl/styles.xml><?xml version="1.0" encoding="utf-8"?>
<styleSheet xmlns="http://schemas.openxmlformats.org/spreadsheetml/2006/main">
  <numFmts count="0"/>
  <fonts count="19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sz val="11"/>
      <color indexed="10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3F3F3F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4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17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1" xfId="0" applyNumberFormat="1" applyBorder="1" applyProtection="1">
      <protection locked="0"/>
    </xf>
    <xf numFmtId="49" fontId="1" fillId="2" borderId="1" xfId="0" applyNumberFormat="1" applyFill="1" applyBorder="1" applyProtection="1">
      <protection locked="0"/>
    </xf>
    <xf numFmtId="0" fontId="1" fillId="3" borderId="1" xfId="0" applyNumberFormat="1" applyFill="1" applyBorder="1" applyProtection="1">
      <protection locked="0"/>
    </xf>
    <xf numFmtId="0" fontId="1" fillId="0" borderId="1" xfId="0" applyBorder="1" applyProtection="1">
      <protection locked="0"/>
    </xf>
    <xf numFmtId="49" fontId="1" fillId="4" borderId="1" xfId="0" applyNumberFormat="1" applyFill="1" applyBorder="1" applyProtection="1">
      <protection locked="0"/>
    </xf>
    <xf numFmtId="49" fontId="1" fillId="5" borderId="1" xfId="0" applyNumberFormat="1" applyFill="1" applyBorder="1" applyProtection="1">
      <protection locked="0"/>
    </xf>
    <xf numFmtId="0" fontId="1" fillId="0" borderId="0" xfId="0" applyBorder="1" applyProtection="1">
      <protection locked="0"/>
    </xf>
    <xf numFmtId="0" fontId="1" fillId="0" borderId="1" xfId="0" applyFill="1" applyBorder="1" applyProtection="1">
      <protection locked="0"/>
    </xf>
    <xf numFmtId="0" fontId="1" fillId="4" borderId="1" xfId="0" applyFont="1" applyFill="1" applyBorder="1" applyProtection="1">
      <protection locked="0"/>
    </xf>
    <xf numFmtId="0" fontId="1" fillId="0" borderId="2" xfId="0" applyBorder="1" applyProtection="1">
      <protection locked="0"/>
    </xf>
    <xf numFmtId="49" fontId="1" fillId="0" borderId="2" xfId="0" applyNumberFormat="1" applyBorder="1" applyProtection="1">
      <protection locked="0"/>
    </xf>
    <xf numFmtId="0" fontId="2" fillId="4" borderId="1" xfId="0" applyNumberFormat="1" applyFont="1" applyFill="1" applyBorder="1" applyProtection="1">
      <protection locked="0"/>
    </xf>
    <xf numFmtId="49" fontId="1" fillId="6" borderId="1" xfId="0" applyNumberFormat="1" applyFill="1" applyBorder="1" applyProtection="1">
      <protection locked="0"/>
    </xf>
    <xf numFmtId="49" fontId="2" fillId="4" borderId="1" xfId="0" applyNumberFormat="1" applyFont="1" applyFill="1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3" Type="http://schemas.openxmlformats.org/officeDocument/2006/relationships/theme" Target="theme/theme1.xml" /><Relationship Id="rId4" Type="http://schemas.openxmlformats.org/officeDocument/2006/relationships/styles" Target="styles.xml" /><Relationship Id="rId5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AK5"/>
  <sheetViews>
    <sheetView zoomScale="80" workbookViewId="0">
      <pane xSplit="1" ySplit="0" topLeftCell="H2" activePane="topRight"/>
      <selection activeCell="H2" sqref="H2"/>
      <selection pane="topRight" activeCell="H2" sqref="H2"/>
    </sheetView>
  </sheetViews>
  <sheetFormatPr defaultColWidth="9.125" defaultRowHeight="14.25"/>
  <cols>
    <col min="1" max="1" width="9.125" style="7" customWidth="1"/>
    <col min="2" max="2" width="61.5" style="7" customWidth="1"/>
    <col min="3" max="3" width="38.125" style="7" customWidth="1"/>
    <col min="4" max="4" width="15" style="7" customWidth="1"/>
    <col min="5" max="5" width="13.625" style="7" customWidth="1"/>
    <col min="6" max="6" width="47.5" style="7" customWidth="1"/>
    <col min="7" max="7" width="18.625" style="7" customWidth="1"/>
    <col min="8" max="8" width="16.75" style="7" customWidth="1"/>
    <col min="9" max="9" width="27.125" style="7" customWidth="1"/>
    <col min="10" max="10" width="20.75" style="7" customWidth="1"/>
    <col min="11" max="11" width="28.375" style="7" customWidth="1"/>
    <col min="12" max="12" width="34.375" style="7" customWidth="1"/>
    <col min="13" max="13" width="26.625" style="7" customWidth="1"/>
    <col min="14" max="14" width="51.25" style="7" customWidth="1"/>
    <col min="15" max="15" width="57.125" style="7" customWidth="1"/>
    <col min="16" max="16" width="31.625" style="7" customWidth="1"/>
    <col min="17" max="17" width="9.125" style="7" customWidth="1"/>
    <col min="18" max="18" width="14.875" style="7" bestFit="1" customWidth="1"/>
    <col min="19" max="19" width="13" style="7" customWidth="1"/>
    <col min="20" max="20" width="53.625" style="7" customWidth="1"/>
    <col min="21" max="21" width="28.25" style="7" customWidth="1"/>
    <col min="22" max="22" width="39.625" style="7" customWidth="1"/>
    <col min="23" max="23" width="26.625" style="7" customWidth="1"/>
    <col min="24" max="24" width="49.5" style="7" customWidth="1"/>
    <col min="25" max="25" width="55.375" style="7" customWidth="1"/>
    <col min="26" max="26" width="36.75" style="7" customWidth="1"/>
    <col min="27" max="27" width="44" style="7" customWidth="1"/>
    <col min="28" max="28" width="34.75" style="7" customWidth="1"/>
    <col min="29" max="29" width="38.625" style="7" customWidth="1"/>
    <col min="30" max="30" width="26.625" style="7" customWidth="1"/>
    <col min="31" max="31" width="76.5" style="7" customWidth="1"/>
    <col min="32" max="32" width="69.125" style="7" customWidth="1"/>
    <col min="33" max="33" width="44.5" style="7" customWidth="1"/>
    <col min="34" max="34" width="26.625" style="7" customWidth="1"/>
    <col min="35" max="35" width="82.375" style="7" customWidth="1"/>
    <col min="36" max="36" width="75" style="7" customWidth="1"/>
    <col min="37" max="37" width="36.125" style="7" bestFit="1" customWidth="1"/>
    <col min="38" max="16384" width="9.125" style="7" customWidth="1"/>
  </cols>
  <sheetData>
    <row r="1" ht="12.75" customHeight="1" customFormat="1">
      <c r="A1" t="s">
        <v>99</v>
      </c>
      <c r="B1" t="s">
        <v>51</v>
      </c>
      <c r="C1" t="s">
        <v>32</v>
      </c>
      <c r="D1" t="s">
        <v>109</v>
      </c>
      <c r="E1" t="s">
        <v>100</v>
      </c>
      <c r="F1" t="s">
        <v>90</v>
      </c>
      <c r="G1" t="s">
        <v>41</v>
      </c>
      <c r="H1" t="s">
        <v>42</v>
      </c>
      <c r="I1" t="s">
        <v>2</v>
      </c>
      <c r="J1" t="s">
        <v>26</v>
      </c>
      <c r="K1" t="s">
        <v>43</v>
      </c>
      <c r="L1" t="s">
        <v>63</v>
      </c>
      <c r="M1" t="s">
        <v>57</v>
      </c>
      <c r="N1" t="s">
        <v>45</v>
      </c>
      <c r="O1" t="s">
        <v>76</v>
      </c>
      <c r="P1" t="s">
        <v>77</v>
      </c>
      <c r="Q1" t="s">
        <v>103</v>
      </c>
      <c r="R1" t="s">
        <v>13</v>
      </c>
      <c r="S1" t="s">
        <v>44</v>
      </c>
      <c r="T1" t="s">
        <v>65</v>
      </c>
      <c r="U1" t="s">
        <v>104</v>
      </c>
      <c r="V1" t="s">
        <v>110</v>
      </c>
      <c r="W1" t="s">
        <v>86</v>
      </c>
      <c r="X1" t="s">
        <v>66</v>
      </c>
      <c r="Y1" t="s">
        <v>53</v>
      </c>
      <c r="Z1" t="s">
        <v>14</v>
      </c>
      <c r="AA1" t="s">
        <v>54</v>
      </c>
      <c r="AB1" t="s">
        <v>87</v>
      </c>
      <c r="AC1" t="s">
        <v>78</v>
      </c>
      <c r="AD1" t="s">
        <v>3</v>
      </c>
      <c r="AE1" t="s">
        <v>67</v>
      </c>
      <c r="AF1" t="s">
        <v>111</v>
      </c>
      <c r="AG1" t="s">
        <v>94</v>
      </c>
      <c r="AH1" t="s">
        <v>29</v>
      </c>
      <c r="AI1" t="s">
        <v>36</v>
      </c>
      <c r="AJ1" t="s">
        <v>79</v>
      </c>
      <c r="AK1" t="s">
        <v>113</v>
      </c>
    </row>
    <row r="2">
      <c r="A2" s="4">
        <v>2</v>
      </c>
      <c r="B2" s="4" t="s">
        <v>12</v>
      </c>
      <c r="C2" s="2" t="s">
        <v>89</v>
      </c>
      <c r="D2" s="2" t="s">
        <v>25</v>
      </c>
      <c r="E2" s="2" t="s">
        <v>19</v>
      </c>
      <c r="F2" s="2" t="s">
        <v>0</v>
      </c>
      <c r="G2" s="2" t="s">
        <v>75</v>
      </c>
      <c r="H2" s="2" t="s">
        <v>1</v>
      </c>
      <c r="I2" s="5" t="s">
        <v>62</v>
      </c>
      <c r="J2" s="1" t="s">
        <v>91</v>
      </c>
      <c r="K2" s="5" t="s">
        <v>101</v>
      </c>
      <c r="L2" s="12">
        <v>40234075</v>
      </c>
      <c r="M2" s="1" t="s">
        <v>44</v>
      </c>
      <c r="N2" s="1" t="s">
        <v>1</v>
      </c>
      <c r="O2" s="13" t="s">
        <v>93</v>
      </c>
      <c r="P2" s="3" t="e">
        <f t="shared" si="0" ref="P2:P5">RIGHT(O2,LEN(O2)-21)</f>
        <v>#VALUE!</v>
      </c>
      <c r="Q2" s="3" t="e">
        <f t="shared" si="1" ref="Q2:Q5">LEFT(P2,LEN(P2)-25)</f>
        <v>#VALUE!</v>
      </c>
      <c r="R2" s="3" t="str">
        <f t="shared" si="2" ref="R2:R5">MID(O2,16,13)</f>
        <v/>
      </c>
      <c r="S2" s="3" t="str">
        <f t="shared" si="3" ref="S2:S5">MID(O2,42,13)</f>
        <v/>
      </c>
      <c r="T2" s="3" t="str">
        <f t="shared" si="4" ref="T2:T5">"Document Number"&amp;R2&amp;" Workflow ID "&amp;S2</f>
        <v xml:space="preserve">Document Number Workflow ID </v>
      </c>
      <c r="U2" s="5" t="s">
        <v>105</v>
      </c>
      <c r="V2" s="1" t="s">
        <v>52</v>
      </c>
      <c r="W2" s="1" t="s">
        <v>44</v>
      </c>
      <c r="X2" s="1" t="s">
        <v>52</v>
      </c>
      <c r="Y2" s="1" t="s">
        <v>52</v>
      </c>
      <c r="Z2" s="3" t="str">
        <f t="shared" si="5" ref="Z2:Z5">R2</f>
        <v/>
      </c>
      <c r="AA2" s="1" t="s">
        <v>58</v>
      </c>
      <c r="AB2" s="1" t="s">
        <v>46</v>
      </c>
      <c r="AC2" s="5" t="s">
        <v>21</v>
      </c>
      <c r="AD2" s="1" t="s">
        <v>55</v>
      </c>
      <c r="AE2" s="6" t="s">
        <v>27</v>
      </c>
      <c r="AF2" s="6" t="s">
        <v>112</v>
      </c>
      <c r="AG2" s="5" t="s">
        <v>35</v>
      </c>
      <c r="AH2" s="1" t="s">
        <v>55</v>
      </c>
      <c r="AI2" s="6" t="s">
        <v>27</v>
      </c>
      <c r="AJ2" s="6" t="s">
        <v>80</v>
      </c>
      <c r="AK2" s="10"/>
    </row>
    <row r="3">
      <c r="A3" s="4">
        <v>3</v>
      </c>
      <c r="B3" s="4" t="s">
        <v>31</v>
      </c>
      <c r="C3" s="2" t="s">
        <v>89</v>
      </c>
      <c r="D3" s="2" t="s">
        <v>25</v>
      </c>
      <c r="E3" s="2" t="s">
        <v>33</v>
      </c>
      <c r="F3" s="2" t="s">
        <v>20</v>
      </c>
      <c r="G3" s="2" t="s">
        <v>75</v>
      </c>
      <c r="H3" s="2" t="s">
        <v>1</v>
      </c>
      <c r="I3" s="5" t="s">
        <v>62</v>
      </c>
      <c r="J3" s="1" t="s">
        <v>91</v>
      </c>
      <c r="K3" s="5" t="s">
        <v>101</v>
      </c>
      <c r="L3" s="9">
        <v>13723975</v>
      </c>
      <c r="M3" s="1" t="s">
        <v>44</v>
      </c>
      <c r="N3" s="1" t="s">
        <v>1</v>
      </c>
      <c r="O3" s="13" t="s">
        <v>6</v>
      </c>
      <c r="P3" s="3" t="e">
        <f t="shared" si="0"/>
        <v>#VALUE!</v>
      </c>
      <c r="Q3" s="3" t="e">
        <f t="shared" si="1"/>
        <v>#VALUE!</v>
      </c>
      <c r="R3" s="3" t="str">
        <f t="shared" si="2"/>
        <v/>
      </c>
      <c r="S3" s="3" t="str">
        <f t="shared" si="3"/>
        <v/>
      </c>
      <c r="T3" s="3" t="str">
        <f t="shared" si="4"/>
        <v xml:space="preserve">Document Number Workflow ID </v>
      </c>
      <c r="U3" s="5" t="s">
        <v>105</v>
      </c>
      <c r="V3" s="1" t="s">
        <v>52</v>
      </c>
      <c r="W3" s="1" t="s">
        <v>44</v>
      </c>
      <c r="X3" s="1" t="s">
        <v>52</v>
      </c>
      <c r="Y3" s="1" t="s">
        <v>52</v>
      </c>
      <c r="Z3" s="3" t="str">
        <f t="shared" si="5"/>
        <v/>
      </c>
      <c r="AA3" s="1" t="s">
        <v>58</v>
      </c>
      <c r="AB3" s="1" t="s">
        <v>46</v>
      </c>
      <c r="AC3" s="5" t="s">
        <v>21</v>
      </c>
      <c r="AD3" s="1" t="s">
        <v>55</v>
      </c>
      <c r="AE3" s="6" t="s">
        <v>27</v>
      </c>
      <c r="AF3" s="6" t="s">
        <v>112</v>
      </c>
      <c r="AG3" s="5" t="s">
        <v>28</v>
      </c>
      <c r="AH3" s="1" t="s">
        <v>55</v>
      </c>
      <c r="AI3" s="6" t="s">
        <v>27</v>
      </c>
      <c r="AJ3" s="6" t="s">
        <v>80</v>
      </c>
      <c r="AK3" s="10">
        <v>40234075</v>
      </c>
    </row>
    <row r="4">
      <c r="A4" s="4">
        <v>4</v>
      </c>
      <c r="B4" s="4" t="s">
        <v>24</v>
      </c>
      <c r="C4" s="2" t="s">
        <v>89</v>
      </c>
      <c r="D4" s="2" t="s">
        <v>25</v>
      </c>
      <c r="E4" s="2" t="s">
        <v>74</v>
      </c>
      <c r="F4" s="2" t="s">
        <v>61</v>
      </c>
      <c r="G4" s="2" t="s">
        <v>75</v>
      </c>
      <c r="H4" s="2" t="s">
        <v>1</v>
      </c>
      <c r="I4" s="5" t="s">
        <v>62</v>
      </c>
      <c r="J4" s="1" t="s">
        <v>91</v>
      </c>
      <c r="K4" s="5" t="s">
        <v>101</v>
      </c>
      <c r="L4" s="14" t="s">
        <v>102</v>
      </c>
      <c r="M4" s="1" t="s">
        <v>44</v>
      </c>
      <c r="N4" s="1" t="s">
        <v>1</v>
      </c>
      <c r="O4" s="13" t="s">
        <v>34</v>
      </c>
      <c r="P4" s="3" t="e">
        <f t="shared" si="0"/>
        <v>#VALUE!</v>
      </c>
      <c r="Q4" s="3" t="e">
        <f t="shared" si="1"/>
        <v>#VALUE!</v>
      </c>
      <c r="R4" s="3" t="str">
        <f t="shared" si="2"/>
        <v/>
      </c>
      <c r="S4" s="3" t="str">
        <f t="shared" si="3"/>
        <v/>
      </c>
      <c r="T4" s="3" t="str">
        <f t="shared" si="4"/>
        <v xml:space="preserve">Document Number Workflow ID </v>
      </c>
      <c r="U4" s="5" t="s">
        <v>105</v>
      </c>
      <c r="V4" s="1" t="s">
        <v>52</v>
      </c>
      <c r="W4" s="1" t="s">
        <v>44</v>
      </c>
      <c r="X4" s="1" t="s">
        <v>52</v>
      </c>
      <c r="Y4" s="1" t="s">
        <v>52</v>
      </c>
      <c r="Z4" s="3" t="str">
        <f t="shared" si="5"/>
        <v/>
      </c>
      <c r="AA4" s="1" t="s">
        <v>58</v>
      </c>
      <c r="AB4" s="1" t="s">
        <v>46</v>
      </c>
      <c r="AC4" s="5" t="s">
        <v>21</v>
      </c>
      <c r="AD4" s="1" t="s">
        <v>55</v>
      </c>
      <c r="AE4" s="6" t="s">
        <v>27</v>
      </c>
      <c r="AF4" s="6" t="s">
        <v>112</v>
      </c>
      <c r="AG4" s="5" t="s">
        <v>4</v>
      </c>
      <c r="AH4" s="1" t="s">
        <v>55</v>
      </c>
      <c r="AI4" s="6" t="s">
        <v>27</v>
      </c>
      <c r="AJ4" s="6" t="s">
        <v>80</v>
      </c>
      <c r="AK4" s="10"/>
    </row>
    <row r="5">
      <c r="A5" s="8">
        <v>5</v>
      </c>
      <c r="B5" s="4" t="s">
        <v>73</v>
      </c>
      <c r="C5" s="2" t="s">
        <v>89</v>
      </c>
      <c r="D5" s="2" t="s">
        <v>25</v>
      </c>
      <c r="E5" s="2" t="s">
        <v>19</v>
      </c>
      <c r="F5" s="2" t="s">
        <v>0</v>
      </c>
      <c r="G5" s="2" t="s">
        <v>75</v>
      </c>
      <c r="H5" s="2" t="s">
        <v>1</v>
      </c>
      <c r="I5" s="5" t="s">
        <v>62</v>
      </c>
      <c r="J5" s="1" t="s">
        <v>91</v>
      </c>
      <c r="K5" s="5" t="s">
        <v>101</v>
      </c>
      <c r="L5" s="14" t="s">
        <v>92</v>
      </c>
      <c r="M5" s="1" t="s">
        <v>44</v>
      </c>
      <c r="N5" s="1" t="s">
        <v>1</v>
      </c>
      <c r="O5" s="13" t="s">
        <v>64</v>
      </c>
      <c r="P5" s="3" t="e">
        <f t="shared" si="0"/>
        <v>#VALUE!</v>
      </c>
      <c r="Q5" s="3" t="e">
        <f t="shared" si="1"/>
        <v>#VALUE!</v>
      </c>
      <c r="R5" s="3" t="str">
        <f t="shared" si="2"/>
        <v/>
      </c>
      <c r="S5" s="3" t="str">
        <f t="shared" si="3"/>
        <v/>
      </c>
      <c r="T5" s="3" t="str">
        <f t="shared" si="4"/>
        <v xml:space="preserve">Document Number Workflow ID </v>
      </c>
      <c r="U5" s="5" t="s">
        <v>105</v>
      </c>
      <c r="V5" s="1" t="s">
        <v>52</v>
      </c>
      <c r="W5" s="1" t="s">
        <v>44</v>
      </c>
      <c r="X5" s="1" t="s">
        <v>52</v>
      </c>
      <c r="Y5" s="1" t="s">
        <v>52</v>
      </c>
      <c r="Z5" s="3" t="str">
        <f t="shared" si="5"/>
        <v/>
      </c>
      <c r="AA5" s="1" t="s">
        <v>58</v>
      </c>
      <c r="AB5" s="1" t="s">
        <v>46</v>
      </c>
      <c r="AC5" s="5" t="s">
        <v>21</v>
      </c>
      <c r="AD5" s="1" t="s">
        <v>55</v>
      </c>
      <c r="AE5" s="6" t="s">
        <v>27</v>
      </c>
      <c r="AF5" s="6" t="s">
        <v>112</v>
      </c>
      <c r="AG5" s="5" t="s">
        <v>35</v>
      </c>
      <c r="AH5" s="1" t="s">
        <v>55</v>
      </c>
      <c r="AI5" s="6" t="s">
        <v>27</v>
      </c>
      <c r="AJ5" s="6" t="s">
        <v>80</v>
      </c>
      <c r="AK5" s="10"/>
    </row>
  </sheetData>
  <pageMargins left="0.7" right="0.7" top="0.75" bottom="0.75" header="0.3" footer="0.3"/>
  <pageSetup orientation="portrait"/>
</worksheet>
</file>

<file path=xl/worksheets/sheet2.xml><?xml version="1.0" encoding="utf-8"?>
<worksheet xmlns:r="http://schemas.openxmlformats.org/officeDocument/2006/relationships" xmlns="http://schemas.openxmlformats.org/spreadsheetml/2006/main">
  <dimension ref="A1:AY20"/>
  <sheetViews>
    <sheetView tabSelected="1" workbookViewId="0">
      <selection activeCell="A2" sqref="A2"/>
    </sheetView>
  </sheetViews>
  <sheetFormatPr defaultColWidth="9.125" defaultRowHeight="14.25"/>
  <cols>
    <col min="1" max="1" width="9.125" style="7" customWidth="1"/>
    <col min="2" max="2" width="59.5" style="7" bestFit="1" customWidth="1"/>
    <col min="3" max="3" width="67.5" style="7" bestFit="1" customWidth="1"/>
    <col min="4" max="16384" width="9.125" style="7" customWidth="1"/>
  </cols>
  <sheetData>
    <row r="1" ht="12.75" customHeight="1" customFormat="1">
      <c r="A1" t="s">
        <v>99</v>
      </c>
      <c r="B1" t="s">
        <v>51</v>
      </c>
      <c r="C1" t="s">
        <v>68</v>
      </c>
      <c r="D1" t="s">
        <v>59</v>
      </c>
      <c r="E1" t="s">
        <v>91</v>
      </c>
      <c r="F1" t="s">
        <v>7</v>
      </c>
      <c r="G1" t="s">
        <v>37</v>
      </c>
      <c r="H1" t="s">
        <v>69</v>
      </c>
      <c r="I1" t="s">
        <v>95</v>
      </c>
      <c r="J1" t="s">
        <v>8</v>
      </c>
      <c r="K1" t="s">
        <v>38</v>
      </c>
      <c r="L1" t="s">
        <v>70</v>
      </c>
      <c r="M1" t="s">
        <v>96</v>
      </c>
      <c r="N1" t="s">
        <v>15</v>
      </c>
      <c r="O1" t="s">
        <v>47</v>
      </c>
      <c r="P1" t="s">
        <v>77</v>
      </c>
      <c r="Q1" t="s">
        <v>103</v>
      </c>
      <c r="R1" t="s">
        <v>13</v>
      </c>
      <c r="S1" t="s">
        <v>44</v>
      </c>
      <c r="T1" t="s">
        <v>81</v>
      </c>
      <c r="U1" t="s">
        <v>106</v>
      </c>
      <c r="V1" t="s">
        <v>16</v>
      </c>
      <c r="W1" t="s">
        <v>55</v>
      </c>
      <c r="X1" t="s">
        <v>84</v>
      </c>
      <c r="Y1" t="s">
        <v>114</v>
      </c>
      <c r="Z1" t="s">
        <v>22</v>
      </c>
      <c r="AA1" t="s">
        <v>30</v>
      </c>
      <c r="AB1" t="s">
        <v>60</v>
      </c>
      <c r="AC1" t="s">
        <v>88</v>
      </c>
      <c r="AD1" t="s">
        <v>9</v>
      </c>
      <c r="AE1" t="s">
        <v>39</v>
      </c>
      <c r="AF1" t="s">
        <v>71</v>
      </c>
      <c r="AG1" t="s">
        <v>97</v>
      </c>
      <c r="AH1" t="s">
        <v>10</v>
      </c>
      <c r="AI1" t="s">
        <v>40</v>
      </c>
      <c r="AJ1" t="s">
        <v>72</v>
      </c>
      <c r="AK1" t="s">
        <v>98</v>
      </c>
      <c r="AL1" t="s">
        <v>11</v>
      </c>
      <c r="AM1" t="s">
        <v>48</v>
      </c>
      <c r="AN1" t="s">
        <v>82</v>
      </c>
      <c r="AO1" t="s">
        <v>107</v>
      </c>
      <c r="AP1" t="s">
        <v>17</v>
      </c>
      <c r="AQ1" t="s">
        <v>49</v>
      </c>
      <c r="AR1" t="s">
        <v>83</v>
      </c>
      <c r="AS1" t="s">
        <v>108</v>
      </c>
      <c r="AT1" t="s">
        <v>18</v>
      </c>
      <c r="AU1" t="s">
        <v>50</v>
      </c>
      <c r="AV1" t="s">
        <v>85</v>
      </c>
      <c r="AW1" t="s">
        <v>115</v>
      </c>
      <c r="AX1" t="s">
        <v>23</v>
      </c>
      <c r="AY1" t="s">
        <v>56</v>
      </c>
    </row>
    <row r="2">
      <c r="A2" s="4">
        <v>2</v>
      </c>
      <c r="B2" s="4" t="s">
        <v>12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1"/>
    </row>
    <row r="3">
      <c r="A3" s="4">
        <v>3</v>
      </c>
      <c r="B3" s="4" t="s">
        <v>31</v>
      </c>
      <c r="C3" s="1" t="s">
        <v>5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1"/>
    </row>
    <row r="4">
      <c r="A4" s="4">
        <v>4</v>
      </c>
      <c r="B4" s="4" t="s">
        <v>24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1"/>
    </row>
    <row r="5">
      <c r="A5" s="8">
        <v>5</v>
      </c>
      <c r="B5" s="4" t="s">
        <v>73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1"/>
    </row>
    <row r="6">
      <c r="A6" s="4"/>
      <c r="B6" s="4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1"/>
    </row>
    <row r="7">
      <c r="A7" s="4"/>
      <c r="B7" s="4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1"/>
    </row>
    <row r="8">
      <c r="A8" s="4"/>
      <c r="B8" s="4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1"/>
    </row>
    <row r="9">
      <c r="A9" s="4"/>
      <c r="B9" s="4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1"/>
    </row>
    <row r="10">
      <c r="A10" s="4"/>
      <c r="B10" s="4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1"/>
    </row>
    <row r="11">
      <c r="A11" s="4"/>
      <c r="B11" s="4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1"/>
    </row>
    <row r="12">
      <c r="A12" s="4"/>
      <c r="B12" s="4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1"/>
    </row>
    <row r="13">
      <c r="A13" s="4"/>
      <c r="B13" s="4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1"/>
    </row>
    <row r="14">
      <c r="A14" s="4"/>
      <c r="B14" s="4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1"/>
    </row>
    <row r="15">
      <c r="A15" s="4"/>
      <c r="B15" s="4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1"/>
    </row>
    <row r="16">
      <c r="A16" s="4"/>
      <c r="B16" s="4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1"/>
    </row>
    <row r="17">
      <c r="A17" s="4"/>
      <c r="B17" s="4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1"/>
    </row>
    <row r="18">
      <c r="A18" s="4"/>
      <c r="B18" s="4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1"/>
    </row>
    <row r="19">
      <c r="A19" s="4"/>
      <c r="B19" s="4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1"/>
    </row>
    <row r="20">
      <c r="A20" s="4"/>
      <c r="B20" s="4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1"/>
    </row>
  </sheetData>
  <printOptions gridLines="1"/>
  <pageMargins left="0.75" right="0.75" top="1" bottom="1" header="0.5" footer="0.5"/>
  <pageSetup orientation="portrait" horizontalDpi="300" verticalDpi="300"/>
  <headerFooter>
    <oddHeader>&amp;C&amp;A</oddHeader>
    <oddFooter>&amp;CPage &amp;P</oddFooter>
  </headerFooter>
</worksheet>
</file>