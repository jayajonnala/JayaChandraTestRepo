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7"/>
  </bookViews>
  <sheets>
    <sheet name="Global" sheetId="1" r:id="rId1"/>
    <sheet name="TC0_RunTimeResultFolder" sheetId="2" r:id="rId2"/>
    <sheet name="TC2_DT1_DataTransfer_One" sheetId="3" r:id="rId3"/>
    <sheet name="TC4_DT2_DataTransfer_Two" sheetId="4" r:id="rId4"/>
    <sheet name="TC1_Test_MD_01_01_036_P1" sheetId="5" r:id="rId5"/>
    <sheet name="Wait" sheetId="6" r:id="rId6"/>
    <sheet name="TC3_Test_MD_01_01_036_P2" sheetId="7" r:id="rId7"/>
    <sheet name="TC5_Test_MD_01_01_036_P3" sheetId="8" r:id="rId8"/>
  </sheets>
  <externalReferences>
    <externalReference r:id="rId12"/>
  </externalReferences>
  <calcPr calcId="40001"/>
</workbook>
</file>

<file path=xl/sharedStrings.xml><?xml version="1.0" encoding="utf-8"?>
<sst xmlns="http://schemas.openxmlformats.org/spreadsheetml/2006/main" uniqueCount="118">
  <si>
    <t/>
  </si>
  <si>
    <t>DT_SAPTRANSACTIONCODE</t>
  </si>
  <si>
    <t>DT_MM42_0100_ARTICLE</t>
  </si>
  <si>
    <t>ZPT1</t>
  </si>
  <si>
    <t>RS02</t>
  </si>
  <si>
    <t>EXDC</t>
  </si>
  <si>
    <t>DT_MM42_1000_SALES_ORGANIZATION</t>
  </si>
  <si>
    <t>DT_MM42_1000_ALSO_LIST_SUPPLYING_SITE</t>
  </si>
  <si>
    <t>DT_MM42_2002_VALUATION_CLASS</t>
  </si>
  <si>
    <t>DT_MM42_2003_GENITEMCATGROUP</t>
  </si>
  <si>
    <t>NORM</t>
  </si>
  <si>
    <t>DT_MM42_2154_ITEM_SET</t>
  </si>
  <si>
    <t>DT_MM42_1000_OKCD</t>
  </si>
  <si>
    <t>DT_MM42_1000_ARTICLE_OCC2</t>
  </si>
  <si>
    <t>DT_MM42_0120_CHECK_TEXT_OF_Z03020301</t>
  </si>
  <si>
    <t>Verifications Date</t>
  </si>
  <si>
    <t>Data Coming from another test</t>
  </si>
  <si>
    <t>DT_MM42_2164_PACKAGMATTYPE</t>
  </si>
  <si>
    <t>DT_MM42_0081_SALES_ORG</t>
  </si>
  <si>
    <t>DT_MM42_3010_TABLECELL_SINGLE_VALUE_0</t>
  </si>
  <si>
    <t>DT_MM42_0120_CHECK_TEXT_OF_RWD1</t>
  </si>
  <si>
    <t>DT_PRICING_DOC_OUTPUT</t>
  </si>
  <si>
    <t>12,27</t>
  </si>
  <si>
    <t>Scenario</t>
  </si>
  <si>
    <t>Output Data</t>
  </si>
  <si>
    <t>3</t>
  </si>
  <si>
    <t>DT_MM42_0120_CHECK_TEXT_OF_EXDC</t>
  </si>
  <si>
    <t>DT_MM42_0100_VARIANT</t>
  </si>
  <si>
    <t>DT_MM42_0100_GRIDCELL_0_FINAL_PRICE</t>
  </si>
  <si>
    <t>DT_MM42_1000_SELECT_BY_ART_LISTING_DATE</t>
  </si>
  <si>
    <t>DT_MM42_1000_NEW_LISTING</t>
  </si>
  <si>
    <t>OFF</t>
  </si>
  <si>
    <t>200</t>
  </si>
  <si>
    <t>AUTOMI</t>
  </si>
  <si>
    <t>01</t>
  </si>
  <si>
    <t>12</t>
  </si>
  <si>
    <t>DT_MM42_0100_CHECK_TEXT_OF_STATUSBAR</t>
  </si>
  <si>
    <t>DT_MM42_1000_DISTRIBUTION_CHANNEL</t>
  </si>
  <si>
    <t>ON</t>
  </si>
  <si>
    <t>RW21</t>
  </si>
  <si>
    <t>DT_SAPSYSTEM</t>
  </si>
  <si>
    <t>EA</t>
  </si>
  <si>
    <t>DT_MM42_2231_ITEM_CATGROUP</t>
  </si>
  <si>
    <t>DT_MM42_1000_CHECK_TEXT_OF_STATUSBAR_OCC1</t>
  </si>
  <si>
    <t>V01010201</t>
  </si>
  <si>
    <t>DT_MM42_0100_CHECK_GETCELLVALUE_OF_GRIDCELL_0_ENDPR_OUTPUT</t>
  </si>
  <si>
    <t>Input Data</t>
  </si>
  <si>
    <t>DT_SAPLANGUAGE</t>
  </si>
  <si>
    <t>DT_SAPOPTIONS</t>
  </si>
  <si>
    <t>MM42</t>
  </si>
  <si>
    <t>DT_MM42_3010_TABLECELL_SINGLE_VALUE_1</t>
  </si>
  <si>
    <t>/nVKP5</t>
  </si>
  <si>
    <t>MI_MARG</t>
  </si>
  <si>
    <t>ENDPR</t>
  </si>
  <si>
    <t>DT_MM42_0120_CHECK_TEXT_OF_Z03020301_OCC1</t>
  </si>
  <si>
    <t>12,42</t>
  </si>
  <si>
    <t>Row</t>
  </si>
  <si>
    <t>DT_MM42_0120_CHECK_TEXT_OF_X</t>
  </si>
  <si>
    <t>DT_MM42_0120_CHECK_TEXT_OF_X_OCC1</t>
  </si>
  <si>
    <t>DT_MM42_1000_ARTICLE</t>
  </si>
  <si>
    <t>DT_MM42_0120_CHECK_TEXT_OF_RW21</t>
  </si>
  <si>
    <t>DT_MM42_0120_CHECK_TEXT_OF_NO_NAME_OCC1</t>
  </si>
  <si>
    <t>DT_MM42_1000_CHECK_TEXT_OF_STATUSBAR_OUTPUT</t>
  </si>
  <si>
    <t>Formulas Date</t>
  </si>
  <si>
    <t>Verifications</t>
  </si>
  <si>
    <t>Execution Control Data</t>
  </si>
  <si>
    <t>DT_MM42_2003_CHECK_TEXT_OF_SUPPLY_SOURCE</t>
  </si>
  <si>
    <t>DT_MM42_0001_BRAND</t>
  </si>
  <si>
    <t>001</t>
  </si>
  <si>
    <t>DT_MM42_1000_CHECK_TEXT_OF_STATUSBAR</t>
  </si>
  <si>
    <t>/nWSM3</t>
  </si>
  <si>
    <t>02</t>
  </si>
  <si>
    <t>RW04</t>
  </si>
  <si>
    <t>Data saved; pricing document 24416011 created</t>
  </si>
  <si>
    <t>DT_MM42_2004_VALID_FROM</t>
  </si>
  <si>
    <t>RZ24</t>
  </si>
  <si>
    <t>DT_MM42_0100_CREATED_BY</t>
  </si>
  <si>
    <t>DT_MM42_1000_NOTE_ARTICLE_LISTING_PROC</t>
  </si>
  <si>
    <t>DT_MM42_1000_LISTING_PROCEDURES</t>
  </si>
  <si>
    <t>Data saved; pricing document 24416045 created</t>
  </si>
  <si>
    <t>5b8424c626a4cc49f085c5bc</t>
  </si>
  <si>
    <t>EN</t>
  </si>
  <si>
    <t>DT_MM42_2004_XSITE_STATUS</t>
  </si>
  <si>
    <t>DT_MM42_0081_SALES_UNIT</t>
  </si>
  <si>
    <t>DT_MM42_3010_TABLECELL_SINGLE_VALUE_2</t>
  </si>
  <si>
    <t>DT_MM42_1000_DEACTIVATE_CHANGE_DOCUMENTS</t>
  </si>
  <si>
    <t>Formulas General</t>
  </si>
  <si>
    <t>MI00001330</t>
  </si>
  <si>
    <t>DT_MM42_2152_GEN_ITEM_CAT_GRP</t>
  </si>
  <si>
    <t>X</t>
  </si>
  <si>
    <t>DT_MM42_0120_CHECK_TEXT_OF_X_OCC2</t>
  </si>
  <si>
    <t>DT_PRICING_DOC</t>
  </si>
  <si>
    <t>DT_MM42_0120_CHECK_TEXT_OF_RW04</t>
  </si>
  <si>
    <t>Test</t>
  </si>
  <si>
    <t>DT_MM42_2152_ARTICLE_PRICING_GRP</t>
  </si>
  <si>
    <t>DT_MM42_0120_CHECK_TEXT_OF_RZ24</t>
  </si>
  <si>
    <t>Fixed Data</t>
  </si>
  <si>
    <t>R1E - SAP RETAIL Pre-Production EUROPE</t>
  </si>
  <si>
    <t>DT_SAPPASSWORD</t>
  </si>
  <si>
    <t>DT_MM42_2152_ACCT_ASSIGNMENT_GRP</t>
  </si>
  <si>
    <t>DT_MM42_0100_OKCD</t>
  </si>
  <si>
    <t>DT_MM42_1000_ISSUE_LOG</t>
  </si>
  <si>
    <t>DT_MM42_1000_ARTICLE_OCC1</t>
  </si>
  <si>
    <t>DT_MM42_3010_TABLECELL_SINGLE_VALUE_1_OCC1</t>
  </si>
  <si>
    <t>DT_MM42_0120_CHECK_TEXT_OF_NO_NAME</t>
  </si>
  <si>
    <t>Login Information</t>
  </si>
  <si>
    <t>DT_SAPUSER</t>
  </si>
  <si>
    <t>DT_MM42_4008_SALES</t>
  </si>
  <si>
    <t>DT_MM42_0100_CHECK_GETCELLVALUE_OF_GRIDCELL_0_ENDPR</t>
  </si>
  <si>
    <t>DT_MM42_0100_GRIDCELL_0_FINAL_PRICE_OCC1</t>
  </si>
  <si>
    <t>MD_01_01_005-Create Article using DAP ZFRI_P3_SAP_Completion</t>
  </si>
  <si>
    <t>DT_SAPCLIENT</t>
  </si>
  <si>
    <t>DT_MM42_0081_DISTR_CHANNEL</t>
  </si>
  <si>
    <t>00</t>
  </si>
  <si>
    <t>DT_MM42_2152_ITEM_CATEGORY_GROUP</t>
  </si>
  <si>
    <t>RWD1</t>
  </si>
  <si>
    <t>DT_MM42_1000_LIST_LOCAL_ASSORTMENTS_ALSO</t>
  </si>
  <si>
    <t>DT_MM42_3010_TABLECELL_SINGLE_VALUE_0_OCC1</t>
  </si>
</sst>
</file>

<file path=xl/styles.xml><?xml version="1.0" encoding="utf-8"?>
<styleSheet xmlns="http://schemas.openxmlformats.org/spreadsheetml/2006/main">
  <numFmts count="1">
    <numFmt numFmtId="164" formatCode="dd\.mm\.yyyy"/>
  </numFmts>
  <fonts count="21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b/>
      <sz val="11"/>
      <color indexed="53"/>
      <name val="Mic Shell Dlg"/>
      <charset val="1"/>
    </font>
    <font>
      <b/>
      <sz val="11"/>
      <color indexed="8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b/>
      <sz val="13"/>
      <color theme="3"/>
      <name val="Calibri"/>
      <family val="2"/>
      <scheme val="minor"/>
    </font>
    <font>
      <b/>
      <sz val="11"/>
      <color rgb="FF3F3F3F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Protection="1">
      <protection locked="0"/>
    </xf>
    <xf numFmtId="0" fontId="1" fillId="0" borderId="1" xfId="0" applyBorder="1" applyProtection="1">
      <protection locked="0"/>
    </xf>
    <xf numFmtId="0" fontId="1" fillId="2" borderId="1" xfId="0" applyFont="1" applyFill="1" applyBorder="1" applyProtection="1">
      <protection locked="0"/>
    </xf>
    <xf numFmtId="0" fontId="2" fillId="3" borderId="1" xfId="0" applyFont="1" applyFill="1" applyBorder="1" applyProtection="1">
      <protection locked="0"/>
    </xf>
    <xf numFmtId="0" fontId="1" fillId="4" borderId="1" xfId="0" applyNumberFormat="1" applyFont="1" applyFill="1" applyBorder="1" applyProtection="1">
      <protection locked="0"/>
    </xf>
    <xf numFmtId="0" fontId="1" fillId="5" borderId="1" xfId="0" applyFont="1" applyFill="1" applyBorder="1" applyProtection="1">
      <protection locked="0"/>
    </xf>
    <xf numFmtId="0" fontId="0" fillId="0" borderId="0" xfId="0" applyBorder="1" applyProtection="1">
      <protection locked="0"/>
    </xf>
    <xf numFmtId="0" fontId="1" fillId="6" borderId="1" xfId="0" applyFont="1" applyFill="1" applyBorder="1" applyProtection="1">
      <protection locked="0"/>
    </xf>
    <xf numFmtId="0" fontId="3" fillId="2" borderId="1" xfId="0" applyFont="1" applyFill="1" applyBorder="1" applyProtection="1">
      <protection locked="0"/>
    </xf>
    <xf numFmtId="0" fontId="1" fillId="0" borderId="0" xfId="0" applyBorder="1" applyProtection="1">
      <protection locked="0"/>
    </xf>
    <xf numFmtId="0" fontId="1" fillId="0" borderId="2" xfId="0" applyBorder="1" applyProtection="1">
      <protection locked="0"/>
    </xf>
    <xf numFmtId="0" fontId="1" fillId="0" borderId="1" xfId="0" applyNumberFormat="1" applyBorder="1" applyProtection="1">
      <protection locked="0"/>
    </xf>
    <xf numFmtId="0" fontId="1" fillId="7" borderId="1" xfId="0" applyFont="1" applyFill="1" applyBorder="1" applyProtection="1">
      <protection locked="0"/>
    </xf>
    <xf numFmtId="0" fontId="1" fillId="0" borderId="2" xfId="0" applyFont="1" applyBorder="1" applyProtection="1">
      <protection locked="0"/>
    </xf>
    <xf numFmtId="164" fontId="1" fillId="4" borderId="1" xfId="0" applyNumberFormat="1" applyFont="1" applyFill="1" applyBorder="1" applyProtection="1">
      <protection locked="0"/>
    </xf>
    <xf numFmtId="0" fontId="1" fillId="0" borderId="0" xfId="0" applyFont="1" applyBorder="1" applyProtection="1">
      <protection locked="0"/>
    </xf>
    <xf numFmtId="0" fontId="1" fillId="0" borderId="1" xfId="0" applyNumberFormat="1" applyFont="1" applyBorder="1" applyProtection="1">
      <protection locked="0"/>
    </xf>
    <xf numFmtId="164" fontId="2" fillId="3" borderId="1" xfId="0" applyNumberFormat="1" applyFont="1" applyFill="1" applyBorder="1" applyProtection="1">
      <protection locked="0"/>
    </xf>
    <xf numFmtId="0" fontId="4" fillId="0" borderId="1" xfId="0" applyNumberFormat="1" applyFont="1" applyBorder="1" applyProtection="1">
      <protection locked="0"/>
    </xf>
    <xf numFmtId="0" fontId="1" fillId="0" borderId="0" xfId="0" applyNumberFormat="1" applyBorder="1" applyProtection="1">
      <protection locked="0"/>
    </xf>
    <xf numFmtId="0" fontId="1" fillId="8" borderId="1" xfId="0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9" Type="http://schemas.openxmlformats.org/officeDocument/2006/relationships/theme" Target="theme/theme1.xml" /><Relationship Id="rId10" Type="http://schemas.openxmlformats.org/officeDocument/2006/relationships/styles" Target="styles.xml" /><Relationship Id="rId11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12" Type="http://schemas.openxmlformats.org/officeDocument/2006/relationships/externalLink" Target="externalLinks/externalLink1.xml" /></Relationships>
</file>

<file path=xl/externalLinks/_rels/externalLink1.xml.rels>&#65279;<?xml version="1.0" encoding="utf-8"?><Relationships xmlns="http://schemas.openxmlformats.org/package/2006/relationships"><Relationship Id="rId1" Type="http://schemas.openxmlformats.org/officeDocument/2006/relationships/externalLinkPath" Target="file:///S:\TASETestData\MI\RETAIL\TASE_DT_MD_01_01_036-Create%20Article%20using%20DAP%20-%20ZFRI_P3_SAP_Completion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Output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BS18"/>
  <sheetViews>
    <sheetView workbookViewId="0">
      <pane xSplit="1" ySplit="0" topLeftCell="J2" activePane="topRight"/>
      <selection activeCell="J2" sqref="J2"/>
      <selection pane="topRight" activeCell="J2" sqref="J2"/>
    </sheetView>
  </sheetViews>
  <sheetFormatPr defaultColWidth="9.125" defaultRowHeight="14.25"/>
  <cols>
    <col min="1" max="1" width="9.125" style="20" customWidth="1"/>
    <col min="2" max="2" width="58.75" style="20" customWidth="1"/>
    <col min="3" max="3" width="38.125" style="20" customWidth="1"/>
    <col min="4" max="4" width="15" style="20" customWidth="1"/>
    <col min="5" max="5" width="13.625" style="20" customWidth="1"/>
    <col min="6" max="6" width="24.75" style="20" customWidth="1"/>
    <col min="7" max="7" width="18.625" style="20" customWidth="1"/>
    <col min="8" max="8" width="16.75" style="20" customWidth="1"/>
    <col min="9" max="9" width="27.125" style="20" customWidth="1"/>
    <col min="10" max="10" width="23.5" style="20" customWidth="1"/>
    <col min="11" max="11" width="48.5" style="20" customWidth="1"/>
    <col min="12" max="12" width="33.25" style="20" customWidth="1"/>
    <col min="13" max="13" width="32.125" style="20" customWidth="1"/>
    <col min="14" max="14" width="29.625" style="20" customWidth="1"/>
    <col min="15" max="15" width="27.875" style="20" customWidth="1"/>
    <col min="16" max="16" width="34.625" style="20" customWidth="1"/>
    <col min="17" max="17" width="22.375" style="20" customWidth="1"/>
    <col min="18" max="18" width="21.625" style="20" customWidth="1"/>
    <col min="19" max="19" width="27.125" style="20" customWidth="1"/>
    <col min="20" max="20" width="26.75" style="20" customWidth="1"/>
    <col min="21" max="21" width="31.25" style="20" customWidth="1"/>
    <col min="22" max="22" width="31.625" style="20" customWidth="1"/>
    <col min="23" max="23" width="37.125" style="20" customWidth="1"/>
    <col min="24" max="24" width="39.25" style="20" customWidth="1"/>
    <col min="25" max="25" width="34.875" style="20" customWidth="1"/>
    <col min="26" max="26" width="39" style="20" customWidth="1"/>
    <col min="27" max="27" width="24.875" style="20" customWidth="1"/>
    <col min="28" max="28" width="43.75" style="20" customWidth="1"/>
    <col min="29" max="31" width="43" style="20" customWidth="1"/>
    <col min="32" max="32" width="33.375" style="20" customWidth="1"/>
    <col min="33" max="33" width="37.25" style="20" customWidth="1"/>
    <col min="34" max="34" width="39.25" style="20" customWidth="1"/>
    <col min="35" max="35" width="37.75" style="20" customWidth="1"/>
    <col min="36" max="36" width="39.25" style="20" customWidth="1"/>
    <col min="37" max="37" width="36.75" style="20" customWidth="1"/>
    <col min="38" max="38" width="21" style="20" customWidth="1"/>
    <col min="39" max="39" width="24.125" style="20" customWidth="1"/>
    <col min="40" max="40" width="28.125" style="20" customWidth="1"/>
    <col min="41" max="41" width="23.5" style="20" customWidth="1"/>
    <col min="42" max="42" width="36.75" style="20" customWidth="1"/>
    <col min="43" max="43" width="38.875" style="20" customWidth="1"/>
    <col min="44" max="44" width="60.625" style="20" customWidth="1"/>
    <col min="45" max="45" width="39.625" style="20" customWidth="1"/>
    <col min="46" max="46" width="45.5" style="20" customWidth="1"/>
    <col min="47" max="47" width="46.125" style="20" customWidth="1"/>
    <col min="48" max="48" width="42.25" style="20" customWidth="1"/>
    <col min="49" max="49" width="49.625" style="20" customWidth="1"/>
    <col min="50" max="50" width="21" style="20" customWidth="1"/>
    <col min="51" max="51" width="45.625" style="20" customWidth="1"/>
    <col min="52" max="52" width="28.25" style="20" customWidth="1"/>
    <col min="53" max="53" width="44.25" style="20" customWidth="1"/>
    <col min="54" max="54" width="42.375" style="20" customWidth="1"/>
    <col min="55" max="55" width="26" style="20" customWidth="1"/>
    <col min="56" max="56" width="49.375" style="20" customWidth="1"/>
    <col min="57" max="57" width="47.75" style="20" customWidth="1"/>
    <col min="58" max="58" width="29.375" style="20" customWidth="1"/>
    <col min="59" max="59" width="37" style="20" customWidth="1"/>
    <col min="60" max="61" width="48.875" style="20" customWidth="1"/>
    <col min="62" max="62" width="29.375" style="20" customWidth="1"/>
    <col min="63" max="63" width="37.375" style="20" customWidth="1"/>
    <col min="64" max="65" width="41.375" style="20" customWidth="1"/>
    <col min="66" max="66" width="37.375" style="20" customWidth="1"/>
    <col min="67" max="68" width="47.25" style="20" customWidth="1"/>
    <col min="69" max="16384" width="9.125" style="20" customWidth="1"/>
  </cols>
  <sheetData>
    <row r="1" ht="12.75" customHeight="1" customFormat="1">
      <c r="A1" t="s">
        <v>56</v>
      </c>
      <c r="B1" t="s">
        <v>23</v>
      </c>
      <c r="C1" t="s">
        <v>40</v>
      </c>
      <c r="D1" t="s">
        <v>111</v>
      </c>
      <c r="E1" t="s">
        <v>106</v>
      </c>
      <c r="F1" t="s">
        <v>98</v>
      </c>
      <c r="G1" t="s">
        <v>47</v>
      </c>
      <c r="H1" t="s">
        <v>48</v>
      </c>
      <c r="I1" t="s">
        <v>1</v>
      </c>
      <c r="J1" t="s">
        <v>2</v>
      </c>
      <c r="K1" t="s">
        <v>66</v>
      </c>
      <c r="L1" t="s">
        <v>8</v>
      </c>
      <c r="M1" t="s">
        <v>17</v>
      </c>
      <c r="N1" t="s">
        <v>82</v>
      </c>
      <c r="O1" t="s">
        <v>74</v>
      </c>
      <c r="P1" t="s">
        <v>9</v>
      </c>
      <c r="Q1" t="s">
        <v>67</v>
      </c>
      <c r="R1" t="s">
        <v>107</v>
      </c>
      <c r="S1" t="s">
        <v>83</v>
      </c>
      <c r="T1" t="s">
        <v>18</v>
      </c>
      <c r="U1" t="s">
        <v>112</v>
      </c>
      <c r="V1" t="s">
        <v>42</v>
      </c>
      <c r="W1" t="s">
        <v>94</v>
      </c>
      <c r="X1" t="s">
        <v>114</v>
      </c>
      <c r="Y1" t="s">
        <v>88</v>
      </c>
      <c r="Z1" t="s">
        <v>99</v>
      </c>
      <c r="AA1" t="s">
        <v>11</v>
      </c>
      <c r="AB1" t="s">
        <v>36</v>
      </c>
      <c r="AC1" t="s">
        <v>19</v>
      </c>
      <c r="AD1" t="s">
        <v>50</v>
      </c>
      <c r="AE1" t="s">
        <v>84</v>
      </c>
      <c r="AF1" t="s">
        <v>57</v>
      </c>
      <c r="AG1" t="s">
        <v>26</v>
      </c>
      <c r="AH1" t="s">
        <v>58</v>
      </c>
      <c r="AI1" t="s">
        <v>20</v>
      </c>
      <c r="AJ1" t="s">
        <v>90</v>
      </c>
      <c r="AK1" t="s">
        <v>95</v>
      </c>
      <c r="AL1" t="s">
        <v>100</v>
      </c>
      <c r="AM1" t="s">
        <v>27</v>
      </c>
      <c r="AN1" t="s">
        <v>76</v>
      </c>
      <c r="AO1" t="s">
        <v>59</v>
      </c>
      <c r="AP1" t="s">
        <v>6</v>
      </c>
      <c r="AQ1" t="s">
        <v>37</v>
      </c>
      <c r="AR1" t="s">
        <v>108</v>
      </c>
      <c r="AS1" t="s">
        <v>28</v>
      </c>
      <c r="AT1" t="s">
        <v>109</v>
      </c>
      <c r="AU1" t="s">
        <v>69</v>
      </c>
      <c r="AV1" t="s">
        <v>91</v>
      </c>
      <c r="AW1" t="s">
        <v>43</v>
      </c>
      <c r="AX1" t="s">
        <v>12</v>
      </c>
      <c r="AY1" t="s">
        <v>29</v>
      </c>
      <c r="AZ1" t="s">
        <v>30</v>
      </c>
      <c r="BA1" t="s">
        <v>77</v>
      </c>
      <c r="BB1" t="s">
        <v>7</v>
      </c>
      <c r="BC1" t="s">
        <v>101</v>
      </c>
      <c r="BD1" t="s">
        <v>85</v>
      </c>
      <c r="BE1" t="s">
        <v>116</v>
      </c>
      <c r="BF1" t="s">
        <v>102</v>
      </c>
      <c r="BG1" t="s">
        <v>78</v>
      </c>
      <c r="BH1" t="s">
        <v>117</v>
      </c>
      <c r="BI1" t="s">
        <v>103</v>
      </c>
      <c r="BJ1" t="s">
        <v>13</v>
      </c>
      <c r="BK1" t="s">
        <v>92</v>
      </c>
      <c r="BL1" t="s">
        <v>104</v>
      </c>
      <c r="BM1" t="s">
        <v>14</v>
      </c>
      <c r="BN1" t="s">
        <v>60</v>
      </c>
      <c r="BO1" t="s">
        <v>61</v>
      </c>
      <c r="BP1" t="s">
        <v>54</v>
      </c>
      <c r="BQ1" t="s">
        <v>45</v>
      </c>
      <c r="BR1" t="s">
        <v>21</v>
      </c>
      <c r="BS1" t="s">
        <v>62</v>
      </c>
    </row>
    <row r="2" s="16" customFormat="1">
      <c r="A2" s="1">
        <v>1</v>
      </c>
      <c r="B2" s="1" t="s">
        <v>110</v>
      </c>
      <c r="C2" s="6" t="s">
        <v>97</v>
      </c>
      <c r="D2" s="6" t="s">
        <v>32</v>
      </c>
      <c r="E2" s="6" t="s">
        <v>33</v>
      </c>
      <c r="F2" s="6" t="s">
        <v>80</v>
      </c>
      <c r="G2" s="6" t="s">
        <v>81</v>
      </c>
      <c r="H2" s="1" t="s">
        <v>0</v>
      </c>
      <c r="I2" s="1" t="s">
        <v>49</v>
      </c>
      <c r="J2" s="9">
        <v>7742663</v>
      </c>
      <c r="K2" s="4" t="s">
        <v>25</v>
      </c>
      <c r="L2" s="3">
        <v>3100</v>
      </c>
      <c r="M2" s="3" t="s">
        <v>3</v>
      </c>
      <c r="N2" s="3"/>
      <c r="O2" s="3"/>
      <c r="P2" s="3" t="s">
        <v>10</v>
      </c>
      <c r="Q2" s="3" t="s">
        <v>87</v>
      </c>
      <c r="R2" s="4" t="s">
        <v>25</v>
      </c>
      <c r="S2" s="3" t="s">
        <v>41</v>
      </c>
      <c r="T2" s="3" t="s">
        <v>4</v>
      </c>
      <c r="U2" s="3" t="s">
        <v>113</v>
      </c>
      <c r="V2" s="5" t="str">
        <f>P2</f>
        <v>NORM</v>
      </c>
      <c r="W2" s="3" t="s">
        <v>34</v>
      </c>
      <c r="X2" s="5" t="str">
        <f>P2</f>
        <v>NORM</v>
      </c>
      <c r="Y2" s="5" t="str">
        <f>P2</f>
        <v>NORM</v>
      </c>
      <c r="Z2" s="3" t="s">
        <v>35</v>
      </c>
      <c r="AA2" s="3" t="s">
        <v>68</v>
      </c>
      <c r="AB2" s="4" t="str">
        <f>"Article "&amp;J2&amp;" changed"</f>
        <v>Article 7742663 changed</v>
      </c>
      <c r="AC2" s="3" t="s">
        <v>5</v>
      </c>
      <c r="AD2" s="3" t="s">
        <v>115</v>
      </c>
      <c r="AE2" s="3" t="s">
        <v>75</v>
      </c>
      <c r="AF2" s="4" t="s">
        <v>89</v>
      </c>
      <c r="AG2" s="4" t="s">
        <v>5</v>
      </c>
      <c r="AH2" s="4" t="s">
        <v>89</v>
      </c>
      <c r="AI2" s="4" t="s">
        <v>115</v>
      </c>
      <c r="AJ2" s="4" t="s">
        <v>89</v>
      </c>
      <c r="AK2" s="4" t="s">
        <v>75</v>
      </c>
      <c r="AL2" s="1" t="s">
        <v>51</v>
      </c>
      <c r="AM2" s="3" t="s">
        <v>52</v>
      </c>
      <c r="AN2" s="3"/>
      <c r="AO2" s="5">
        <f>J2</f>
        <v>7742663</v>
      </c>
      <c r="AP2" s="5" t="str">
        <f>T2</f>
        <v>RS02</v>
      </c>
      <c r="AQ2" s="3" t="s">
        <v>34</v>
      </c>
      <c r="AR2" s="8" t="e">
        <f>[1]Output!C2</f>
        <v>#REF!</v>
      </c>
      <c r="AS2" s="5" t="e">
        <f>AR2+0.1</f>
        <v>#REF!</v>
      </c>
      <c r="AT2" s="3" t="s">
        <v>53</v>
      </c>
      <c r="AU2" s="8" t="e">
        <f>[1]Output!D2</f>
        <v>#REF!</v>
      </c>
      <c r="AV2" s="8" t="e">
        <f>MID(AU2,30,8)</f>
        <v>#REF!</v>
      </c>
      <c r="AW2" s="4" t="e">
        <f>"Data saved; pricing document "&amp;AV2&amp;" created"</f>
        <v>#REF!</v>
      </c>
      <c r="AX2" s="1" t="s">
        <v>70</v>
      </c>
      <c r="AY2" s="3" t="s">
        <v>38</v>
      </c>
      <c r="AZ2" s="3" t="s">
        <v>38</v>
      </c>
      <c r="BA2" s="3" t="s">
        <v>31</v>
      </c>
      <c r="BB2" s="3" t="s">
        <v>31</v>
      </c>
      <c r="BC2" s="3" t="s">
        <v>38</v>
      </c>
      <c r="BD2" s="3" t="s">
        <v>31</v>
      </c>
      <c r="BE2" s="3" t="s">
        <v>38</v>
      </c>
      <c r="BF2" s="5">
        <f>J2</f>
        <v>7742663</v>
      </c>
      <c r="BG2" s="3" t="s">
        <v>71</v>
      </c>
      <c r="BH2" s="3" t="s">
        <v>72</v>
      </c>
      <c r="BI2" s="3" t="s">
        <v>39</v>
      </c>
      <c r="BJ2" s="5">
        <f>J2</f>
        <v>7742663</v>
      </c>
      <c r="BK2" s="4" t="s">
        <v>72</v>
      </c>
      <c r="BL2" s="4">
        <f>J2</f>
        <v>7742663</v>
      </c>
      <c r="BM2" s="4" t="s">
        <v>44</v>
      </c>
      <c r="BN2" s="4" t="s">
        <v>39</v>
      </c>
      <c r="BO2" s="4">
        <f>J2</f>
        <v>7742663</v>
      </c>
      <c r="BP2" s="4" t="str">
        <f>BM2</f>
        <v>V01010201</v>
      </c>
      <c r="BQ2" s="1" t="s">
        <v>55</v>
      </c>
      <c r="BR2" s="1">
        <v>24416011</v>
      </c>
      <c r="BS2" s="14" t="s">
        <v>73</v>
      </c>
    </row>
    <row r="3" s="16" customFormat="1">
      <c r="A3" s="1">
        <v>2</v>
      </c>
      <c r="B3" s="1" t="s">
        <v>93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4"/>
    </row>
    <row r="4" s="16" customFormat="1">
      <c r="A4" s="17"/>
      <c r="B4" s="1"/>
      <c r="C4" s="1"/>
      <c r="D4" s="1"/>
      <c r="E4" s="1"/>
      <c r="F4" s="1"/>
      <c r="G4" s="1"/>
      <c r="H4" s="1"/>
      <c r="I4" s="1"/>
      <c r="J4" s="1">
        <v>7742663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4"/>
    </row>
    <row r="5" s="16" customFormat="1">
      <c r="A5" s="17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4"/>
    </row>
    <row r="6" s="16" customFormat="1">
      <c r="A6" s="17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4"/>
    </row>
    <row r="7" s="16" customFormat="1">
      <c r="A7" s="17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4"/>
    </row>
    <row r="8" s="10" customFormat="1">
      <c r="A8" s="12"/>
      <c r="B8" s="1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11"/>
    </row>
    <row r="9" s="10" customFormat="1">
      <c r="A9" s="12"/>
      <c r="B9" s="6" t="s">
        <v>105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11"/>
    </row>
    <row r="10" s="10" customFormat="1">
      <c r="A10" s="12"/>
      <c r="B10" s="3" t="s">
        <v>46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11"/>
    </row>
    <row r="11" s="10" customFormat="1">
      <c r="A11" s="12"/>
      <c r="B11" s="21" t="s">
        <v>96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11"/>
    </row>
    <row r="12" s="10" customFormat="1">
      <c r="A12" s="12"/>
      <c r="B12" s="8" t="s">
        <v>24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11"/>
    </row>
    <row r="13" s="10" customFormat="1">
      <c r="A13" s="12"/>
      <c r="B13" s="15" t="s">
        <v>63</v>
      </c>
      <c r="C13" s="2"/>
      <c r="D13" s="2"/>
      <c r="E13" s="19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11"/>
    </row>
    <row r="14" s="10" customFormat="1">
      <c r="A14" s="12"/>
      <c r="B14" s="5" t="s">
        <v>86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11"/>
    </row>
    <row r="15" s="10" customFormat="1">
      <c r="A15" s="12"/>
      <c r="B15" s="4" t="s">
        <v>64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11"/>
    </row>
    <row r="16" s="10" customFormat="1">
      <c r="A16" s="12"/>
      <c r="B16" s="18" t="s">
        <v>15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11"/>
    </row>
    <row r="17" s="10" customFormat="1">
      <c r="A17" s="12"/>
      <c r="B17" s="9" t="s">
        <v>16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11"/>
    </row>
    <row r="18" s="10" customFormat="1">
      <c r="A18" s="12"/>
      <c r="B18" s="13" t="s">
        <v>65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11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:E2"/>
  <sheetViews>
    <sheetView workbookViewId="0">
      <selection activeCell="A2" sqref="A2"/>
    </sheetView>
  </sheetViews>
  <sheetFormatPr defaultColWidth="9.125" defaultRowHeight="14.25"/>
  <cols>
    <col min="1" max="16384" width="9.125" style="10" customWidth="1"/>
  </cols>
  <sheetData>
    <row r="1" ht="12.75" customHeight="1" customFormat="1">
      <c r="A1" t="s">
        <v>56</v>
      </c>
      <c r="B1" t="s">
        <v>23</v>
      </c>
      <c r="C1" t="s">
        <v>45</v>
      </c>
      <c r="D1" t="s">
        <v>62</v>
      </c>
      <c r="E1" t="s">
        <v>21</v>
      </c>
    </row>
    <row r="2">
      <c r="A2" s="1">
        <v>1</v>
      </c>
      <c r="B2" s="1" t="s">
        <v>110</v>
      </c>
      <c r="C2" s="2" t="s">
        <v>22</v>
      </c>
      <c r="D2" s="2" t="s">
        <v>79</v>
      </c>
      <c r="E2" s="11">
        <v>24416045</v>
      </c>
    </row>
  </sheetData>
  <printOptions gridLines="1"/>
  <pageMargins left="0.75" right="0.75" top="1" bottom="1" header="0.5" footer="0.5"/>
  <pageSetup orientation="portrait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7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7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9.078125" style="7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7" customWidth="1"/>
  </cols>
  <sheetData>
    <row r="1" ht="15.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7" customWidth="1"/>
  </cols>
  <sheetData>
    <row r="1" ht="15.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7" customWidth="1"/>
  </cols>
  <sheetData>
    <row r="1" ht="15.1" customFormat="1"/>
  </sheetData>
  <pageMargins left="0.7" right="0.7" top="0.75" bottom="0.75" header="0.3" footer="0.3"/>
</worksheet>
</file>