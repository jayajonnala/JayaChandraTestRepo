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2_DT1_DataTransfer_One" sheetId="3" r:id="rId3"/>
    <sheet name="TC4_DT2_DataTransfer_Two" sheetId="4" r:id="rId4"/>
    <sheet name="TC6_DT3_DataTransfer_three" sheetId="5" r:id="rId5"/>
    <sheet name="TC1_Test_P2P_01_01_053_Modify" sheetId="6" r:id="rId6"/>
    <sheet name="TC3_Test_PRE_Get_Art_MB51" sheetId="7" r:id="rId7"/>
    <sheet name="TC5_Test_P2P_01_01_0114_P2" sheetId="8" r:id="rId8"/>
    <sheet name="TC7_Test_P2P_01_01_0114_P3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<sst xmlns="http://schemas.openxmlformats.org/spreadsheetml/2006/main" uniqueCount="52">
  <si>
    <t/>
  </si>
  <si>
    <t>DT_SAPTRANSACTIONCODE</t>
  </si>
  <si>
    <t>DT_MIGO_0325_CHECK_TEXT_OF_MOVEMENT_TYPE</t>
  </si>
  <si>
    <t>Verifications Date</t>
  </si>
  <si>
    <t>Data Coming from another test</t>
  </si>
  <si>
    <t>DT_MIGO_0010_GODYNPROACTION</t>
  </si>
  <si>
    <t>I01098</t>
  </si>
  <si>
    <t>Scenario</t>
  </si>
  <si>
    <t>AT_P2P_01_01_0114-Number Range for manual Return DN done in SAP_Cancel X+4</t>
  </si>
  <si>
    <t>Output Data</t>
  </si>
  <si>
    <t>DT_MIGO_2010_GODYNPROMAT_DOC</t>
  </si>
  <si>
    <t>DT_MIGO_0110_CHECK_TEXT_OF_DELIVERY_NOTE</t>
  </si>
  <si>
    <t>%blank%</t>
  </si>
  <si>
    <t>200</t>
  </si>
  <si>
    <t>AUTOMI</t>
  </si>
  <si>
    <t>MIGO</t>
  </si>
  <si>
    <t>DT_MIGO_0001_CHECK_TEXT_OF_STATUSBAR</t>
  </si>
  <si>
    <t>DT_MIGO_0010_GODYNPROACTION_OCC1</t>
  </si>
  <si>
    <t>DT_SAPSYSTEM</t>
  </si>
  <si>
    <t>Input Data</t>
  </si>
  <si>
    <t>DT_SAPLANGUAGE</t>
  </si>
  <si>
    <t>DT_SAPOPTIONS</t>
  </si>
  <si>
    <t>DT_MIGO_0110_CHECK_TEXT_OF_DELIVERY_NOTE_OCC1</t>
  </si>
  <si>
    <t>DT_ARTICLE_DOC_NUMBER_OUTPUT</t>
  </si>
  <si>
    <t>Row</t>
  </si>
  <si>
    <t>AT_P2P_01_01_0114-Number Range for manual Return DN done in SAP_Cancel X+1</t>
  </si>
  <si>
    <t>I01099</t>
  </si>
  <si>
    <t>Formulas Date</t>
  </si>
  <si>
    <t>Verifications</t>
  </si>
  <si>
    <t>Execution Control Data</t>
  </si>
  <si>
    <t>DT_ARTICLE_DOC_NUMBER</t>
  </si>
  <si>
    <t>A03</t>
  </si>
  <si>
    <t>EN</t>
  </si>
  <si>
    <t>AT_P2P_01_01_0114-Number Range for manual Return DN done in SAP_Cancel X+2</t>
  </si>
  <si>
    <t>Formulas General</t>
  </si>
  <si>
    <t>DT_MIGO_0001_CHECK_TEXT_OF_STATUSBAR_OCC1</t>
  </si>
  <si>
    <t>I00947</t>
  </si>
  <si>
    <t>Fixed Data</t>
  </si>
  <si>
    <t>R1E - SAP RETAIL Pre-Production EUROPE</t>
  </si>
  <si>
    <t>DT_SAPPASSWORD</t>
  </si>
  <si>
    <t>A04</t>
  </si>
  <si>
    <t>DT_MIGO_2010_GODYNPROMAT_DOC_OCC1</t>
  </si>
  <si>
    <t>162</t>
  </si>
  <si>
    <t>AT_P2P_01_01_0114-Number Range for manual Return DN done in SAP_Cancel X</t>
  </si>
  <si>
    <t>Login Information</t>
  </si>
  <si>
    <t>DT_SAPUSER</t>
  </si>
  <si>
    <t>I01097</t>
  </si>
  <si>
    <t>I00951</t>
  </si>
  <si>
    <t>AT_P2P_01_01_0114-Number Range for manual Return DN done in SAP_Cancel X+3</t>
  </si>
  <si>
    <t>DT_SAPCLIENT</t>
  </si>
  <si>
    <t>5b0eade5ba0f724fcf14122a</t>
  </si>
  <si>
    <t>DT_MIGO_0110_CHECK_TEXT_OF_DELIVERY_NOTE_OUTPUT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</si>
</sst>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3" fillId="5" borderId="2" xfId="0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114-Number%20Range%20for%20manual%20Return%20DN%20done%20in%20SAP_P3_CancelRDN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8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8" customWidth="1"/>
    <col min="2" max="2" width="71.625" style="18" customWidth="1"/>
    <col min="3" max="3" width="38.125" style="18" customWidth="1"/>
    <col min="4" max="4" width="15" style="18" customWidth="1"/>
    <col min="5" max="5" width="13.625" style="18" customWidth="1"/>
    <col min="6" max="6" width="25.125" style="18" customWidth="1"/>
    <col min="7" max="7" width="18.625" style="18" customWidth="1"/>
    <col min="8" max="8" width="16.75" style="18" customWidth="1"/>
    <col min="9" max="9" width="27.125" style="18" customWidth="1"/>
    <col min="10" max="10" width="33.125" style="18" customWidth="1"/>
    <col min="11" max="11" width="35.125" style="18" customWidth="1"/>
    <col min="12" max="12" width="43.5" style="18" customWidth="1"/>
    <col min="13" max="13" width="41.75" style="18" customWidth="1"/>
    <col min="14" max="14" width="49.375" style="18" customWidth="1"/>
    <col min="15" max="15" width="39" style="18" customWidth="1"/>
    <col min="16" max="16" width="41" style="18" customWidth="1"/>
    <col min="17" max="17" width="47.5" style="18" customWidth="1"/>
    <col min="18" max="18" width="53.375" style="18" customWidth="1"/>
    <col min="19" max="19" width="48.75" style="18" customWidth="1"/>
    <col min="20" max="16384" width="9.125" style="18" customWidth="1"/>
  </cols>
  <sheetData>
    <row r="1" ht="12.75" customHeight="1" customFormat="1">
      <c r="A1" t="s">
        <v>24</v>
      </c>
      <c r="B1" t="s">
        <v>7</v>
      </c>
      <c r="C1" t="s">
        <v>18</v>
      </c>
      <c r="D1" t="s">
        <v>49</v>
      </c>
      <c r="E1" t="s">
        <v>45</v>
      </c>
      <c r="F1" t="s">
        <v>39</v>
      </c>
      <c r="G1" t="s">
        <v>20</v>
      </c>
      <c r="H1" t="s">
        <v>21</v>
      </c>
      <c r="I1" t="s">
        <v>1</v>
      </c>
      <c r="J1" t="s">
        <v>5</v>
      </c>
      <c r="K1" t="s">
        <v>10</v>
      </c>
      <c r="L1" t="s">
        <v>16</v>
      </c>
      <c r="M1" t="s">
        <v>30</v>
      </c>
      <c r="N1" t="s">
        <v>35</v>
      </c>
      <c r="O1" t="s">
        <v>17</v>
      </c>
      <c r="P1" t="s">
        <v>41</v>
      </c>
      <c r="Q1" t="s">
        <v>11</v>
      </c>
      <c r="R1" t="s">
        <v>22</v>
      </c>
      <c r="S1" t="s">
        <v>2</v>
      </c>
    </row>
    <row r="2" s="17" customFormat="1">
      <c r="A2" s="4">
        <v>2</v>
      </c>
      <c r="B2" s="4" t="s">
        <v>43</v>
      </c>
      <c r="C2" s="3" t="s">
        <v>38</v>
      </c>
      <c r="D2" s="3" t="s">
        <v>13</v>
      </c>
      <c r="E2" s="3" t="s">
        <v>14</v>
      </c>
      <c r="F2" s="3" t="s">
        <v>50</v>
      </c>
      <c r="G2" s="3" t="s">
        <v>32</v>
      </c>
      <c r="H2" s="4" t="s">
        <v>0</v>
      </c>
      <c r="I2" s="4" t="s">
        <v>15</v>
      </c>
      <c r="J2" s="7" t="s">
        <v>31</v>
      </c>
      <c r="K2" s="6">
        <v>0</v>
      </c>
      <c r="L2" s="5" t="e">
        <f>"Article document "&amp;[1]Output!C2&amp;" posted"</f>
        <v>#REF!</v>
      </c>
      <c r="M2" s="5" t="e">
        <f>[1]Output!C2</f>
        <v>#REF!</v>
      </c>
      <c r="N2" s="8" t="e">
        <f t="shared" si="0" ref="N2:N6">"Article document "&amp;M2&amp;" posted"</f>
        <v>#REF!</v>
      </c>
      <c r="O2" s="7" t="s">
        <v>40</v>
      </c>
      <c r="P2" s="11" t="e">
        <f t="shared" si="1" ref="P2:P6">M2</f>
        <v>#REF!</v>
      </c>
      <c r="Q2" s="5" t="e">
        <f>[1]Output!D2</f>
        <v>#REF!</v>
      </c>
      <c r="R2" s="8" t="s">
        <v>12</v>
      </c>
      <c r="S2" s="16" t="s">
        <v>42</v>
      </c>
    </row>
    <row r="3" s="17" customFormat="1">
      <c r="A3" s="4">
        <v>3</v>
      </c>
      <c r="B3" s="4" t="s">
        <v>25</v>
      </c>
      <c r="C3" s="3" t="s">
        <v>38</v>
      </c>
      <c r="D3" s="3" t="s">
        <v>13</v>
      </c>
      <c r="E3" s="3" t="s">
        <v>14</v>
      </c>
      <c r="F3" s="3" t="s">
        <v>50</v>
      </c>
      <c r="G3" s="3" t="s">
        <v>32</v>
      </c>
      <c r="H3" s="4" t="s">
        <v>0</v>
      </c>
      <c r="I3" s="4" t="s">
        <v>15</v>
      </c>
      <c r="J3" s="7" t="s">
        <v>31</v>
      </c>
      <c r="K3" s="6">
        <v>5079046339</v>
      </c>
      <c r="L3" s="5" t="e">
        <f>"Article document "&amp;[1]Output!C3&amp;" posted"</f>
        <v>#REF!</v>
      </c>
      <c r="M3" s="5" t="e">
        <f>[1]Output!C3</f>
        <v>#REF!</v>
      </c>
      <c r="N3" s="8" t="e">
        <f t="shared" si="0"/>
        <v>#REF!</v>
      </c>
      <c r="O3" s="7" t="s">
        <v>40</v>
      </c>
      <c r="P3" s="11" t="e">
        <f t="shared" si="1"/>
        <v>#REF!</v>
      </c>
      <c r="Q3" s="5" t="e">
        <f>[1]Output!D3</f>
        <v>#REF!</v>
      </c>
      <c r="R3" s="8" t="s">
        <v>12</v>
      </c>
      <c r="S3" s="16" t="s">
        <v>42</v>
      </c>
    </row>
    <row r="4" s="17" customFormat="1">
      <c r="A4" s="4">
        <v>4</v>
      </c>
      <c r="B4" s="4" t="s">
        <v>33</v>
      </c>
      <c r="C4" s="3" t="s">
        <v>38</v>
      </c>
      <c r="D4" s="3" t="s">
        <v>13</v>
      </c>
      <c r="E4" s="3" t="s">
        <v>14</v>
      </c>
      <c r="F4" s="3" t="s">
        <v>50</v>
      </c>
      <c r="G4" s="3" t="s">
        <v>32</v>
      </c>
      <c r="H4" s="4" t="s">
        <v>0</v>
      </c>
      <c r="I4" s="4" t="s">
        <v>15</v>
      </c>
      <c r="J4" s="7" t="s">
        <v>31</v>
      </c>
      <c r="K4" s="6">
        <v>5079046340</v>
      </c>
      <c r="L4" s="5" t="e">
        <f>"Article document "&amp;[1]Output!C4&amp;" posted"</f>
        <v>#REF!</v>
      </c>
      <c r="M4" s="5" t="e">
        <f>[1]Output!C4</f>
        <v>#REF!</v>
      </c>
      <c r="N4" s="8" t="e">
        <f t="shared" si="0"/>
        <v>#REF!</v>
      </c>
      <c r="O4" s="7" t="s">
        <v>40</v>
      </c>
      <c r="P4" s="11" t="e">
        <f t="shared" si="1"/>
        <v>#REF!</v>
      </c>
      <c r="Q4" s="5" t="e">
        <f>[1]Output!D4</f>
        <v>#REF!</v>
      </c>
      <c r="R4" s="8" t="s">
        <v>12</v>
      </c>
      <c r="S4" s="16" t="s">
        <v>42</v>
      </c>
    </row>
    <row r="5" s="17" customFormat="1">
      <c r="A5" s="4">
        <v>5</v>
      </c>
      <c r="B5" s="4" t="s">
        <v>48</v>
      </c>
      <c r="C5" s="3" t="s">
        <v>38</v>
      </c>
      <c r="D5" s="3" t="s">
        <v>13</v>
      </c>
      <c r="E5" s="3" t="s">
        <v>14</v>
      </c>
      <c r="F5" s="3" t="s">
        <v>50</v>
      </c>
      <c r="G5" s="3" t="s">
        <v>32</v>
      </c>
      <c r="H5" s="4" t="s">
        <v>0</v>
      </c>
      <c r="I5" s="4" t="s">
        <v>15</v>
      </c>
      <c r="J5" s="7" t="s">
        <v>31</v>
      </c>
      <c r="K5" s="6">
        <v>5079048891</v>
      </c>
      <c r="L5" s="5" t="e">
        <f>"Article document "&amp;[1]Output!C5&amp;" posted"</f>
        <v>#REF!</v>
      </c>
      <c r="M5" s="5" t="e">
        <f>[1]Output!C5</f>
        <v>#REF!</v>
      </c>
      <c r="N5" s="8" t="e">
        <f t="shared" si="0"/>
        <v>#REF!</v>
      </c>
      <c r="O5" s="7" t="s">
        <v>40</v>
      </c>
      <c r="P5" s="11" t="e">
        <f t="shared" si="1"/>
        <v>#REF!</v>
      </c>
      <c r="Q5" s="5" t="e">
        <f>[1]Output!D5</f>
        <v>#REF!</v>
      </c>
      <c r="R5" s="8" t="s">
        <v>12</v>
      </c>
      <c r="S5" s="16" t="s">
        <v>42</v>
      </c>
    </row>
    <row r="6" s="17" customFormat="1">
      <c r="A6" s="4">
        <v>6</v>
      </c>
      <c r="B6" s="4" t="s">
        <v>8</v>
      </c>
      <c r="C6" s="3" t="s">
        <v>38</v>
      </c>
      <c r="D6" s="3" t="s">
        <v>13</v>
      </c>
      <c r="E6" s="3" t="s">
        <v>14</v>
      </c>
      <c r="F6" s="3" t="s">
        <v>50</v>
      </c>
      <c r="G6" s="3" t="s">
        <v>32</v>
      </c>
      <c r="H6" s="4" t="s">
        <v>0</v>
      </c>
      <c r="I6" s="4" t="s">
        <v>15</v>
      </c>
      <c r="J6" s="7" t="s">
        <v>31</v>
      </c>
      <c r="K6" s="6">
        <v>5079048892</v>
      </c>
      <c r="L6" s="5" t="e">
        <f>"Article document "&amp;[1]Output!C6&amp;" posted"</f>
        <v>#REF!</v>
      </c>
      <c r="M6" s="5" t="e">
        <f>[1]Output!C6</f>
        <v>#REF!</v>
      </c>
      <c r="N6" s="8" t="e">
        <f t="shared" si="0"/>
        <v>#REF!</v>
      </c>
      <c r="O6" s="7" t="s">
        <v>40</v>
      </c>
      <c r="P6" s="11" t="e">
        <f t="shared" si="1"/>
        <v>#REF!</v>
      </c>
      <c r="Q6" s="5" t="e">
        <f>[1]Output!D6</f>
        <v>#REF!</v>
      </c>
      <c r="R6" s="8" t="s">
        <v>12</v>
      </c>
      <c r="S6" s="16">
        <v>501</v>
      </c>
    </row>
    <row r="7" s="9" customFormat="1">
      <c r="A7" s="15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0"/>
    </row>
    <row r="8" s="9" customFormat="1">
      <c r="A8" s="15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0"/>
    </row>
    <row r="9" s="9" customFormat="1">
      <c r="A9" s="15"/>
      <c r="B9" s="3" t="s">
        <v>44</v>
      </c>
      <c r="C9" s="1"/>
      <c r="D9" s="1"/>
      <c r="E9" s="1"/>
      <c r="F9" s="1"/>
      <c r="G9" s="1"/>
      <c r="H9" s="1"/>
      <c r="I9" s="1"/>
      <c r="J9" s="1"/>
      <c r="K9" s="6">
        <v>5025948844</v>
      </c>
      <c r="L9" s="1"/>
      <c r="M9" s="1"/>
      <c r="N9" s="1"/>
      <c r="O9" s="1"/>
      <c r="P9" s="1"/>
      <c r="Q9" s="1"/>
      <c r="R9" s="1"/>
      <c r="S9" s="10"/>
    </row>
    <row r="10" s="9" customFormat="1">
      <c r="A10" s="15"/>
      <c r="B10" s="7" t="s">
        <v>19</v>
      </c>
      <c r="C10" s="1"/>
      <c r="D10" s="1"/>
      <c r="E10" s="1"/>
      <c r="F10" s="1"/>
      <c r="G10" s="1"/>
      <c r="H10" s="1"/>
      <c r="I10" s="1"/>
      <c r="J10" s="1"/>
      <c r="K10" s="6">
        <v>5025948845</v>
      </c>
      <c r="L10" s="1"/>
      <c r="M10" s="1"/>
      <c r="N10" s="1"/>
      <c r="O10" s="1"/>
      <c r="P10" s="1"/>
      <c r="Q10" s="1"/>
      <c r="R10" s="1"/>
      <c r="S10" s="10"/>
    </row>
    <row r="11" s="9" customFormat="1">
      <c r="A11" s="15"/>
      <c r="B11" s="19" t="s">
        <v>37</v>
      </c>
      <c r="C11" s="1"/>
      <c r="D11" s="1"/>
      <c r="E11" s="1"/>
      <c r="F11" s="1"/>
      <c r="G11" s="1"/>
      <c r="H11" s="1"/>
      <c r="I11" s="1"/>
      <c r="J11" s="1"/>
      <c r="K11" s="6">
        <v>5025948846</v>
      </c>
      <c r="L11" s="1"/>
      <c r="M11" s="1"/>
      <c r="N11" s="1"/>
      <c r="O11" s="1"/>
      <c r="P11" s="1"/>
      <c r="Q11" s="1"/>
      <c r="R11" s="1"/>
      <c r="S11" s="10"/>
    </row>
    <row r="12" s="9" customFormat="1">
      <c r="A12" s="15"/>
      <c r="B12" s="5" t="s">
        <v>9</v>
      </c>
      <c r="C12" s="1"/>
      <c r="D12" s="1"/>
      <c r="E12" s="1"/>
      <c r="F12" s="1"/>
      <c r="G12" s="1"/>
      <c r="H12" s="1"/>
      <c r="I12" s="1"/>
      <c r="J12" s="1"/>
      <c r="K12" s="6">
        <v>5025948847</v>
      </c>
      <c r="L12" s="1"/>
      <c r="M12" s="1"/>
      <c r="N12" s="1"/>
      <c r="O12" s="1"/>
      <c r="P12" s="1"/>
      <c r="Q12" s="1"/>
      <c r="R12" s="1"/>
      <c r="S12" s="10"/>
    </row>
    <row r="13" s="9" customFormat="1">
      <c r="A13" s="15"/>
      <c r="B13" s="13" t="s">
        <v>27</v>
      </c>
      <c r="C13" s="1"/>
      <c r="D13" s="1"/>
      <c r="E13" s="1"/>
      <c r="F13" s="1"/>
      <c r="G13" s="1"/>
      <c r="H13" s="1"/>
      <c r="I13" s="1"/>
      <c r="J13" s="1"/>
      <c r="K13" s="6">
        <v>5034344109</v>
      </c>
      <c r="L13" s="1"/>
      <c r="M13" s="1"/>
      <c r="N13" s="1"/>
      <c r="O13" s="1"/>
      <c r="P13" s="1"/>
      <c r="Q13" s="1"/>
      <c r="R13" s="1"/>
      <c r="S13" s="10"/>
    </row>
    <row r="14" s="9" customFormat="1">
      <c r="A14" s="15"/>
      <c r="B14" s="11" t="s">
        <v>34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0"/>
    </row>
    <row r="15" s="9" customFormat="1">
      <c r="A15" s="15"/>
      <c r="B15" s="8" t="s">
        <v>28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0"/>
    </row>
    <row r="16" s="9" customFormat="1">
      <c r="A16" s="15"/>
      <c r="B16" s="14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0"/>
    </row>
    <row r="17" s="9" customFormat="1">
      <c r="A17" s="15"/>
      <c r="B17" s="6" t="s">
        <v>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0"/>
    </row>
    <row r="18" s="9" customFormat="1">
      <c r="A18" s="15"/>
      <c r="B18" s="12" t="s">
        <v>29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6"/>
  <sheetViews>
    <sheetView topLeftCell="C1" workbookViewId="0">
      <selection activeCell="C2" sqref="C2"/>
    </sheetView>
  </sheetViews>
  <sheetFormatPr defaultColWidth="9.125" defaultRowHeight="14.25"/>
  <cols>
    <col min="1" max="1" width="9.125" style="9" customWidth="1"/>
    <col min="2" max="2" width="72" style="9" customWidth="1"/>
    <col min="3" max="3" width="35.875" style="9" customWidth="1"/>
    <col min="4" max="4" width="57.25" style="9" customWidth="1"/>
    <col min="5" max="16384" width="9.125" style="9" customWidth="1"/>
  </cols>
  <sheetData>
    <row r="1" ht="12.75" customHeight="1" customFormat="1">
      <c r="A1" t="s">
        <v>24</v>
      </c>
      <c r="B1" t="s">
        <v>7</v>
      </c>
      <c r="C1" t="s">
        <v>23</v>
      </c>
      <c r="D1" t="s">
        <v>51</v>
      </c>
    </row>
    <row r="2">
      <c r="A2" s="4">
        <v>2</v>
      </c>
      <c r="B2" s="4" t="s">
        <v>43</v>
      </c>
      <c r="C2" s="1">
        <v>5079044034</v>
      </c>
      <c r="D2" s="10" t="s">
        <v>36</v>
      </c>
    </row>
    <row r="3">
      <c r="A3" s="4">
        <v>3</v>
      </c>
      <c r="B3" s="4" t="s">
        <v>25</v>
      </c>
      <c r="C3" s="1">
        <v>5079048893</v>
      </c>
      <c r="D3" s="10" t="s">
        <v>46</v>
      </c>
    </row>
    <row r="4">
      <c r="A4" s="4">
        <v>4</v>
      </c>
      <c r="B4" s="4" t="s">
        <v>33</v>
      </c>
      <c r="C4" s="1">
        <v>5079048894</v>
      </c>
      <c r="D4" s="10" t="s">
        <v>6</v>
      </c>
    </row>
    <row r="5">
      <c r="A5" s="4">
        <v>5</v>
      </c>
      <c r="B5" s="4" t="s">
        <v>48</v>
      </c>
      <c r="C5" s="1">
        <v>5079048895</v>
      </c>
      <c r="D5" s="10" t="s">
        <v>26</v>
      </c>
    </row>
    <row r="6">
      <c r="A6" s="4">
        <v>6</v>
      </c>
      <c r="B6" s="4" t="s">
        <v>8</v>
      </c>
      <c r="C6" s="1">
        <v>5079044043</v>
      </c>
      <c r="D6" s="10" t="s">
        <v>47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