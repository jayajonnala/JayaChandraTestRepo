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23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<sst xmlns="http://schemas.openxmlformats.org/spreadsheetml/2006/main" uniqueCount="87">
  <si>
    <t/>
  </si>
  <si>
    <t>DT_SAPTRANSACTIONCODE</t>
  </si>
  <si>
    <t>DT_MIGO_0325_REASON_FOR_MOVEMENT</t>
  </si>
  <si>
    <t>DT_MIGO_0200_GRIDCELL_0_DOC_NUMBER</t>
  </si>
  <si>
    <t>RO02</t>
  </si>
  <si>
    <t>DT_MIGO_0001_CHECK_MESSAGEPARAMETER_OF_STATUSBAR_OUTPUT1</t>
  </si>
  <si>
    <t>DT_YEAR</t>
  </si>
  <si>
    <t>DT_MIGO_0750_CHECK_GETCELLVALUE_OF_GRIDCELL_1_BSCHL</t>
  </si>
  <si>
    <t>91</t>
  </si>
  <si>
    <t>DT_MIGO_0750_CHECK_GETCELLVALUE_OF_GRIDCELL_2_KTONR</t>
  </si>
  <si>
    <t>Verifications Date</t>
  </si>
  <si>
    <t>Data Coming from another test</t>
  </si>
  <si>
    <t>5b89002da515b8734d4d1843</t>
  </si>
  <si>
    <t>DT_MIGO_0010_GODYNPROACTION</t>
  </si>
  <si>
    <t>Output Data</t>
  </si>
  <si>
    <t>DT_MIGO_2010_GODYNPROMAT_DOC</t>
  </si>
  <si>
    <t>9104</t>
  </si>
  <si>
    <t>DT_MIGO_0200_TABLECELL_REASON_FOR_MVMT_2</t>
  </si>
  <si>
    <t>DT_MIGO_0750_CHECK_GETCELLVALUE_OF_GRIDCELL_3_XNEGP</t>
  </si>
  <si>
    <t>11210031</t>
  </si>
  <si>
    <t>30343073</t>
  </si>
  <si>
    <t>200</t>
  </si>
  <si>
    <t>AUTOMI</t>
  </si>
  <si>
    <t>MIGO</t>
  </si>
  <si>
    <t>DT_MIGO_0001_CHECK_TEXT_OF_STATUSBAR</t>
  </si>
  <si>
    <t>DT_MIGO_0750_CHECK_GETCELLVALUE_OF_GRIDCELL_4_KTONR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</si>
  <si>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</si>
  <si>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</si>
  <si>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</si>
  <si>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</si>
  <si>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Input Data</t>
  </si>
  <si>
    <t>DT_SAPLANGUAGE</t>
  </si>
  <si>
    <t>DT_SAPOPTIONS</t>
  </si>
  <si>
    <t>0</t>
  </si>
  <si>
    <t>89</t>
  </si>
  <si>
    <t>DT_MIGO_0750_CHECK_GETCELLVALUE_OF_GRIDCELL_0_XNEGP</t>
  </si>
  <si>
    <t>DT_MIGO_0750_CHECK_GETCELLVALUE_OF_GRIDCELL_5_XNEGP</t>
  </si>
  <si>
    <t>30343070</t>
  </si>
  <si>
    <t>986</t>
  </si>
  <si>
    <t>SCENARIO</t>
  </si>
  <si>
    <t>DT_MIGO_0300_WHERE</t>
  </si>
  <si>
    <t>DT_MIGO_0750_CHECK_GETCELLVALUE_OF_GRIDCELL_1_KTONR</t>
  </si>
  <si>
    <t>11210032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</si>
  <si>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</si>
  <si>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</si>
  <si>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</si>
  <si>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</si>
  <si>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</si>
  <si>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DT_MIGO_1000_ARTICLE_DOCUMENT</t>
  </si>
  <si>
    <t>A03</t>
  </si>
  <si>
    <t>DT_MIGO_0750_CHECK_GETCELLVALUE_OF_GRIDCELL_2_XNEGP</t>
  </si>
  <si>
    <t>EN</t>
  </si>
  <si>
    <t>/nMB03</t>
  </si>
  <si>
    <t>DT_MIGO_0750_CHECK_GETCELLVALUE_OF_GRIDCELL_3_KTONR</t>
  </si>
  <si>
    <t>Formulas General</t>
  </si>
  <si>
    <t>DT_MIGO_0001_CHECK_MESSAGEPARAMETER_OF_STATUSBAR</t>
  </si>
  <si>
    <t>DT_MIGO_0001_CHECK_TEXT_OF_STATUSBAR_OCC1</t>
  </si>
  <si>
    <t>DT_MIGO_0750_CHECK_GETCELLVALUE_OF_GRIDCELL_2_BSCHL</t>
  </si>
  <si>
    <t>X</t>
  </si>
  <si>
    <t>11210011</t>
  </si>
  <si>
    <t>DT_MIGO_0750_OKCD</t>
  </si>
  <si>
    <t>DT_MIGO_0750_CHECK_TEXT_OF_DOCUMENT_NUMBER_OUTPUT</t>
  </si>
  <si>
    <t>DT_MIGO_0001_OKCD</t>
  </si>
  <si>
    <t>DT_MIGO_0750_CHECK_GETCELLVALUE_OF_GRIDCELL_4_XNEGP</t>
  </si>
  <si>
    <t>DT_MIGO_0750_CHECK_GETCELLVALUE_OF_GRIDCELL_0_BUKRS</t>
  </si>
  <si>
    <t>R1E - SAP RETAIL Pre-Production EUROPE</t>
  </si>
  <si>
    <t>Fixed Data</t>
  </si>
  <si>
    <t>DT_SAPPASSWORD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</si>
  <si>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</si>
  <si>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</si>
  <si>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</si>
  <si>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</si>
  <si>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</si>
  <si>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</si>
  <si>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</si>
  <si>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</si>
  <si>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30343072</t>
  </si>
  <si>
    <t>DT_SAPCLIENT</t>
  </si>
  <si>
    <t>DT_MIGO_0200_TABLECELL_REASON_FOR_MVMT_1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</si>
  <si>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</si>
  <si>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</si>
  <si>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</si>
  <si>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</si>
  <si>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DT_MIGO_0750_CHECK_GETCELLVALUE_OF_GRIDCELL_1_XNEGP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</si>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</sst>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2" fillId="2" borderId="2" xfId="0" applyFont="1" applyFill="1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Fresh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W13"/>
  <sheetViews>
    <sheetView zoomScale="90" workbookViewId="0">
      <pane xSplit="1" ySplit="0" topLeftCell="AR2" activePane="topRight"/>
      <selection activeCell="AR2" sqref="AR2"/>
      <selection pane="topRight" activeCell="AR2" sqref="AR2"/>
    </sheetView>
  </sheetViews>
  <sheetFormatPr defaultColWidth="9.125" defaultRowHeight="14.25"/>
  <cols>
    <col min="1" max="1" width="5.625" style="9" customWidth="1"/>
    <col min="2" max="2" width="10.875" style="9" customWidth="1"/>
    <col min="3" max="3" width="23.625" style="9" customWidth="1"/>
    <col min="4" max="4" width="15.25" style="9" customWidth="1"/>
    <col min="5" max="5" width="13.875" style="9" customWidth="1"/>
    <col min="6" max="6" width="26.25" style="9" customWidth="1"/>
    <col min="7" max="7" width="18.875" style="9" customWidth="1"/>
    <col min="8" max="8" width="17" style="9" customWidth="1"/>
    <col min="9" max="9" width="27.25" style="9" customWidth="1"/>
    <col min="10" max="10" width="34.75" style="9" customWidth="1"/>
    <col min="11" max="12" width="37" style="9" customWidth="1"/>
    <col min="13" max="13" width="38" style="9" customWidth="1"/>
    <col min="14" max="14" width="23.875" style="9" customWidth="1"/>
    <col min="15" max="15" width="42.125" style="9" customWidth="1"/>
    <col min="16" max="17" width="51" style="9" customWidth="1"/>
    <col min="18" max="18" width="45.375" style="9" customWidth="1"/>
    <col min="19" max="19" width="61.875" style="9" customWidth="1"/>
    <col min="20" max="20" width="51.75" style="9" customWidth="1"/>
    <col min="21" max="21" width="22.125" style="9" customWidth="1"/>
    <col min="22" max="22" width="30" style="9" customWidth="1"/>
    <col min="23" max="23" width="31.875" style="9" customWidth="1"/>
    <col min="24" max="24" width="43.75" style="9" customWidth="1"/>
    <col min="25" max="25" width="55" style="9" customWidth="1"/>
    <col min="26" max="26" width="61.25" style="9" customWidth="1"/>
    <col min="27" max="32" width="63.75" style="9" customWidth="1"/>
    <col min="33" max="45" width="64" style="9" customWidth="1"/>
    <col min="46" max="46" width="22.125" style="9" customWidth="1"/>
    <col min="47" max="47" width="32.75" style="9" customWidth="1"/>
    <col min="48" max="48" width="37" style="9" customWidth="1"/>
    <col min="49" max="49" width="64" style="9" customWidth="1"/>
    <col min="50" max="16384" width="9.125" style="9" customWidth="1"/>
  </cols>
  <sheetData>
    <row r="1" ht="12.75" customHeight="1" customFormat="1">
      <c r="A1" t="s">
        <v>69</v>
      </c>
      <c r="B1" t="s">
        <v>39</v>
      </c>
      <c r="C1" t="s">
        <v>27</v>
      </c>
      <c r="D1" t="s">
        <v>77</v>
      </c>
      <c r="E1" t="s">
        <v>71</v>
      </c>
      <c r="F1" t="s">
        <v>67</v>
      </c>
      <c r="G1" t="s">
        <v>31</v>
      </c>
      <c r="H1" t="s">
        <v>32</v>
      </c>
      <c r="I1" t="s">
        <v>1</v>
      </c>
      <c r="J1" t="s">
        <v>13</v>
      </c>
      <c r="K1" t="s">
        <v>15</v>
      </c>
      <c r="L1" t="s">
        <v>6</v>
      </c>
      <c r="M1" t="s">
        <v>72</v>
      </c>
      <c r="N1" t="s">
        <v>40</v>
      </c>
      <c r="O1" t="s">
        <v>2</v>
      </c>
      <c r="P1" t="s">
        <v>78</v>
      </c>
      <c r="Q1" t="s">
        <v>17</v>
      </c>
      <c r="R1" t="s">
        <v>24</v>
      </c>
      <c r="S1" t="s">
        <v>55</v>
      </c>
      <c r="T1" t="s">
        <v>56</v>
      </c>
      <c r="U1" t="s">
        <v>62</v>
      </c>
      <c r="V1" t="s">
        <v>80</v>
      </c>
      <c r="W1" t="s">
        <v>28</v>
      </c>
      <c r="X1" t="s">
        <v>3</v>
      </c>
      <c r="Y1" t="s">
        <v>81</v>
      </c>
      <c r="Z1" t="s">
        <v>82</v>
      </c>
      <c r="AA1" t="s">
        <v>46</v>
      </c>
      <c r="AB1" t="s">
        <v>7</v>
      </c>
      <c r="AC1" t="s">
        <v>57</v>
      </c>
      <c r="AD1" t="s">
        <v>29</v>
      </c>
      <c r="AE1" t="s">
        <v>74</v>
      </c>
      <c r="AF1" t="s">
        <v>47</v>
      </c>
      <c r="AG1" t="s">
        <v>35</v>
      </c>
      <c r="AH1" t="s">
        <v>83</v>
      </c>
      <c r="AI1" t="s">
        <v>50</v>
      </c>
      <c r="AJ1" t="s">
        <v>18</v>
      </c>
      <c r="AK1" t="s">
        <v>63</v>
      </c>
      <c r="AL1" t="s">
        <v>36</v>
      </c>
      <c r="AM1" t="s">
        <v>68</v>
      </c>
      <c r="AN1" t="s">
        <v>41</v>
      </c>
      <c r="AO1" t="s">
        <v>9</v>
      </c>
      <c r="AP1" t="s">
        <v>53</v>
      </c>
      <c r="AQ1" t="s">
        <v>25</v>
      </c>
      <c r="AR1" t="s">
        <v>75</v>
      </c>
      <c r="AS1" t="s">
        <v>64</v>
      </c>
      <c r="AT1" t="s">
        <v>60</v>
      </c>
      <c r="AU1" t="s">
        <v>85</v>
      </c>
      <c r="AV1" t="s">
        <v>48</v>
      </c>
      <c r="AW1" t="s">
        <v>86</v>
      </c>
    </row>
    <row r="2">
      <c r="A2" s="1">
        <v>2</v>
      </c>
      <c r="B2" s="1"/>
      <c r="C2" s="4" t="s">
        <v>65</v>
      </c>
      <c r="D2" s="4" t="s">
        <v>21</v>
      </c>
      <c r="E2" s="4" t="s">
        <v>22</v>
      </c>
      <c r="F2" s="4" t="s">
        <v>12</v>
      </c>
      <c r="G2" s="4" t="s">
        <v>51</v>
      </c>
      <c r="H2" s="4" t="s">
        <v>0</v>
      </c>
      <c r="I2" s="3" t="s">
        <v>23</v>
      </c>
      <c r="J2" s="3" t="s">
        <v>49</v>
      </c>
      <c r="K2" s="6">
        <v>3903526141</v>
      </c>
      <c r="L2" s="1">
        <f ca="1">YEAR(M2)</f>
        <v>2024</v>
      </c>
      <c r="M2" s="15">
        <f ca="1">TODAY()</f>
        <v>45503</v>
      </c>
      <c r="N2" s="3" t="s">
        <v>73</v>
      </c>
      <c r="O2" s="3" t="s">
        <v>16</v>
      </c>
      <c r="P2" s="3" t="s">
        <v>16</v>
      </c>
      <c r="Q2" s="3" t="s">
        <v>16</v>
      </c>
      <c r="R2" s="2" t="s">
        <v>79</v>
      </c>
      <c r="S2" s="5" t="e">
        <f>[1]Output!C2</f>
        <v>#REF!</v>
      </c>
      <c r="T2" s="2" t="e">
        <f>CONCATENATE("Article document ",S2," posted")</f>
        <v>#REF!</v>
      </c>
      <c r="U2" s="3" t="s">
        <v>52</v>
      </c>
      <c r="V2" s="3" t="e">
        <f>S2</f>
        <v>#REF!</v>
      </c>
      <c r="W2" s="11">
        <f ca="1">TODAY()</f>
        <v>45503</v>
      </c>
      <c r="X2" s="3" t="s">
        <v>33</v>
      </c>
      <c r="Y2" s="5" t="e">
        <f>[1]Output!E2</f>
        <v>#REF!</v>
      </c>
      <c r="Z2" s="2" t="e">
        <f>Y2</f>
        <v>#REF!</v>
      </c>
      <c r="AA2" s="2" t="s">
        <v>34</v>
      </c>
      <c r="AB2" s="2" t="s">
        <v>8</v>
      </c>
      <c r="AC2" s="2" t="s">
        <v>34</v>
      </c>
      <c r="AD2" s="2" t="s">
        <v>8</v>
      </c>
      <c r="AE2" s="2" t="s">
        <v>34</v>
      </c>
      <c r="AF2" s="2" t="s">
        <v>8</v>
      </c>
      <c r="AG2" s="2" t="s">
        <v>58</v>
      </c>
      <c r="AH2" s="2" t="s">
        <v>58</v>
      </c>
      <c r="AI2" s="2" t="s">
        <v>58</v>
      </c>
      <c r="AJ2" s="2" t="s">
        <v>58</v>
      </c>
      <c r="AK2" s="2" t="s">
        <v>58</v>
      </c>
      <c r="AL2" s="2" t="s">
        <v>58</v>
      </c>
      <c r="AM2" s="2" t="s">
        <v>19</v>
      </c>
      <c r="AN2" s="2" t="s">
        <v>20</v>
      </c>
      <c r="AO2" s="2" t="s">
        <v>59</v>
      </c>
      <c r="AP2" s="2" t="s">
        <v>37</v>
      </c>
      <c r="AQ2" s="2" t="s">
        <v>42</v>
      </c>
      <c r="AR2" s="2" t="s">
        <v>76</v>
      </c>
      <c r="AS2" s="2" t="s">
        <v>4</v>
      </c>
      <c r="AT2" s="3" t="s">
        <v>84</v>
      </c>
      <c r="AU2" s="3" t="s">
        <v>4</v>
      </c>
      <c r="AV2" s="3" t="e">
        <f>S2</f>
        <v>#REF!</v>
      </c>
      <c r="AW2" s="10" t="s">
        <v>38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8"/>
    </row>
    <row r="4">
      <c r="A4" s="1"/>
      <c r="B4" s="1"/>
      <c r="C4" s="4" t="s">
        <v>70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8"/>
    </row>
    <row r="5">
      <c r="A5" s="1"/>
      <c r="B5" s="1"/>
      <c r="C5" s="3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8"/>
    </row>
    <row r="6">
      <c r="A6" s="1"/>
      <c r="B6" s="1"/>
      <c r="C6" s="12" t="s">
        <v>66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8"/>
    </row>
    <row r="7">
      <c r="A7" s="1"/>
      <c r="B7" s="1"/>
      <c r="C7" s="5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8"/>
    </row>
    <row r="8">
      <c r="A8" s="1"/>
      <c r="B8" s="1"/>
      <c r="C8" s="17" t="s">
        <v>43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8"/>
    </row>
    <row r="9">
      <c r="A9" s="1"/>
      <c r="B9" s="1"/>
      <c r="C9" s="13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8"/>
    </row>
    <row r="10">
      <c r="A10" s="1"/>
      <c r="B10" s="1"/>
      <c r="C10" s="2" t="s">
        <v>44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8"/>
    </row>
    <row r="11">
      <c r="A11" s="1"/>
      <c r="B11" s="1"/>
      <c r="C11" s="16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8"/>
    </row>
    <row r="12">
      <c r="A12" s="1"/>
      <c r="B12" s="1"/>
      <c r="C12" s="6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8"/>
    </row>
    <row r="13">
      <c r="A13" s="1"/>
      <c r="B13" s="1"/>
      <c r="C13" s="14" t="s">
        <v>45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topLeftCell="B1" workbookViewId="0">
      <selection activeCell="B2" sqref="B2"/>
    </sheetView>
  </sheetViews>
  <sheetFormatPr defaultColWidth="9.125" defaultRowHeight="14.25"/>
  <cols>
    <col min="1" max="2" width="9.125" style="9" customWidth="1"/>
    <col min="3" max="3" width="69.75" style="9" customWidth="1"/>
    <col min="4" max="4" width="69.5" style="9" customWidth="1"/>
    <col min="5" max="5" width="70.125" style="9" customWidth="1"/>
    <col min="6" max="16384" width="9.125" style="9" customWidth="1"/>
  </cols>
  <sheetData>
    <row r="1" ht="12.75" customHeight="1" customFormat="1">
      <c r="A1" t="s">
        <v>69</v>
      </c>
      <c r="B1" t="s">
        <v>39</v>
      </c>
      <c r="C1" t="s">
        <v>26</v>
      </c>
      <c r="D1" t="s">
        <v>5</v>
      </c>
      <c r="E1" t="s">
        <v>61</v>
      </c>
    </row>
    <row r="2">
      <c r="A2" s="1">
        <v>2</v>
      </c>
      <c r="B2" s="1"/>
      <c r="C2" s="1">
        <v>3903246452</v>
      </c>
      <c r="D2" s="1"/>
      <c r="E2" s="8">
        <v>4900305203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