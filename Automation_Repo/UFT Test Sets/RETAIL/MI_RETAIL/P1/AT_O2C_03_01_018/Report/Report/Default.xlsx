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TC1_O2C_01_01_001_Txt_TASE" sheetId="3" r:id="rId3"/>
    <sheet name="DataTransfer_1" sheetId="4" r:id="rId4"/>
    <sheet name="TC2_O2C_01_01_001_p2_PO_TASE" sheetId="5" r:id="rId5"/>
    <sheet name="DataTransfer_2" sheetId="6" r:id="rId6"/>
    <sheet name="TC3_O2C_01_01_001_p3_Check_TASE" sheetId="7" r:id="rId7"/>
    <sheet name="DataTransfer_3" sheetId="8" r:id="rId8"/>
    <sheet name="TC4_Test_PRE_Get_Article_TASE" sheetId="9" r:id="rId9"/>
    <sheet name="TC5_PRE_Get_2_ME23N_TASE" sheetId="10" r:id="rId10"/>
    <sheet name="DataTransfer_4" sheetId="11" r:id="rId11"/>
    <sheet name="TC6_O2C_03_01_018_P1_XML_TASE" sheetId="12" r:id="rId12"/>
    <sheet name="DataTransfer_5" sheetId="13" r:id="rId13"/>
    <sheet name="Wait_TASE" sheetId="14" r:id="rId14"/>
    <sheet name="TC7_O2C_03_01_018_P2_XML_TASE" sheetId="15" r:id="rId15"/>
    <sheet name="DataTransfer_6" sheetId="16" r:id="rId16"/>
    <sheet name="TC8_O2C_03_01_018_P3_Posting" sheetId="17" r:id="rId17"/>
  </sheets>
  <externalReferences>
    <externalReference r:id="rId21"/>
  </externalReferences>
  <calcPr calcId="40001"/>
</workbook>
</file>

<file path=xl/sharedStrings.xml><?xml version="1.0" encoding="utf-8"?>
<sst xmlns="http://schemas.openxmlformats.org/spreadsheetml/2006/main" uniqueCount="94">
  <si>
    <t/>
  </si>
  <si>
    <t>DT_SAPTRANSACTIONCODE</t>
  </si>
  <si>
    <t>DT_WE05_0750_CHECK_GETCELLVALUE_OF_GRIDCELL_0_AZBET</t>
  </si>
  <si>
    <t>DT_RECALCULATED_VALUE2</t>
  </si>
  <si>
    <t>DT_WE05_1300_TRANSFER_FILE_REFERENCE</t>
  </si>
  <si>
    <t>DT_WE05_0100_CHECK_TEXT_OF_CURRENT_STATUS_OCC1</t>
  </si>
  <si>
    <t>DT_WE05_0750_CHECK_GETCELLVALUE_OF_GRIDCELL_0_RF05A_UBAZW</t>
  </si>
  <si>
    <t>Verifications Date</t>
  </si>
  <si>
    <t>Data Coming from another test</t>
  </si>
  <si>
    <t>DT_WE05_0200_CHECK_GETCELLVALUE_OF_GRIDCELL_0_PARTNER_OCC1</t>
  </si>
  <si>
    <t>DT_WE05_0750_CHECK_GETCELLVALUE_OF_GRIDCELL_0_BSCHL</t>
  </si>
  <si>
    <t>99</t>
  </si>
  <si>
    <t>DT_WE05_0750_CHECK_GETCELLVALUE_OF_GRIDCELL_1_KTONR</t>
  </si>
  <si>
    <t>DT_WE05_0750_CHECK_GETCELLVALUE_OF_GRIDCELL_1_KOBEZ</t>
  </si>
  <si>
    <t>DT_SUM_RESULT_CHECK</t>
  </si>
  <si>
    <t>DT_WE05_0750_CHECK_GETCELLVALUE_OF_GRIDCELL_1_GSBER</t>
  </si>
  <si>
    <t>DT_WE05_0750_CHECK_GETCELLVALUE_OF_GRIDCELL_1_AUGBL</t>
  </si>
  <si>
    <t>Scenario</t>
  </si>
  <si>
    <t>Output Data</t>
  </si>
  <si>
    <t>5b50528a03992c63e5b3e5bc</t>
  </si>
  <si>
    <t>MII</t>
  </si>
  <si>
    <t>DT_WE05_0200_CHECK_GETCELLVALUE_OF_GRIDCELL_0_PARTNER</t>
  </si>
  <si>
    <t>%blank%</t>
  </si>
  <si>
    <t>DT_VL03N_0100_CHECK_GETCELLVALUE_OF_GRIDCELL_0_DOCNUM_OUTPUT</t>
  </si>
  <si>
    <t>200</t>
  </si>
  <si>
    <t>AUTOMI</t>
  </si>
  <si>
    <t>DT_WE05_1100_MESSAGE_VARIANT</t>
  </si>
  <si>
    <t>DT_WE05_0100_CHECK_TEXT_OF_CURRENT_STATUS</t>
  </si>
  <si>
    <t>DT_WE05_0460_ART_DOC_YEAR</t>
  </si>
  <si>
    <t>DT_WE05_0750_CHECK_GETCELLVALUE_OF_GRIDCELL_1_EBELN</t>
  </si>
  <si>
    <t>DT_SAPSYSTEM</t>
  </si>
  <si>
    <t>Inventor-products</t>
  </si>
  <si>
    <t>B001</t>
  </si>
  <si>
    <t>DT_WE05_0750_CHECK_GETCELLVALUE_OF_GRIDCELL_0_VBUND</t>
  </si>
  <si>
    <t>DT_WE05_0750_CHECK_GETCELLVALUE_OF_GRIDCELL_1_AZBET_OUTPUT</t>
  </si>
  <si>
    <t>Input Data</t>
  </si>
  <si>
    <t>DT_SAPLANGUAGE</t>
  </si>
  <si>
    <t>DT_SAPOPTIONS</t>
  </si>
  <si>
    <t>WE05</t>
  </si>
  <si>
    <t>TF to stck in trans. 3914091693</t>
  </si>
  <si>
    <t>0</t>
  </si>
  <si>
    <t>89</t>
  </si>
  <si>
    <t>DT_WE05_0750_CHECK_GETCELLVALUE_OF_GRIDCELL_1_PRCTR</t>
  </si>
  <si>
    <t>Row</t>
  </si>
  <si>
    <t>O2C_03_01_018</t>
  </si>
  <si>
    <t>DT_WE05_1100_MESSAGE_FUNCTION</t>
  </si>
  <si>
    <t>/nmb03</t>
  </si>
  <si>
    <t>Formulas Date</t>
  </si>
  <si>
    <t>Verifications</t>
  </si>
  <si>
    <t>Execution Control Data</t>
  </si>
  <si>
    <t>DT_WE05_0101_OKCD</t>
  </si>
  <si>
    <t>DT_WE05_4004_OUTBOUND_DELIVERY</t>
  </si>
  <si>
    <t>DT_WE05_0750_CHECK_GETCELLVALUE_OF_GRIDCELL_0_KTONR</t>
  </si>
  <si>
    <t>DT_WE05_0750_CHECK_GETCELLVALUE_OF_GRIDCELL_0_GSBER</t>
  </si>
  <si>
    <t>081</t>
  </si>
  <si>
    <t>DT_WE05_1000_EDI</t>
  </si>
  <si>
    <t>53</t>
  </si>
  <si>
    <t>DT_WE05_0750_CHECK_GETCELLVALUE_OF_GRIDCELL_0_KOBEZ</t>
  </si>
  <si>
    <t>RON</t>
  </si>
  <si>
    <t>DT_WE05_0750_CHECK_GETCELLVALUE_OF_GRIDCELL_1_RF05A_UBAZW</t>
  </si>
  <si>
    <t>DT_WE05_0750_CHECK_GETCELLVALUE_OF_GRIDCELL_0_AUGBL</t>
  </si>
  <si>
    <t>140,06-</t>
  </si>
  <si>
    <t>EN</t>
  </si>
  <si>
    <t>DT_DATE</t>
  </si>
  <si>
    <t>DT_WE05_1300_TRANSFER_FILE_REFERENCE_OCC1</t>
  </si>
  <si>
    <t>DT_WE05_0750_CHECK_GETCELLVALUE_OF_GRIDCELL_1_AZBET</t>
  </si>
  <si>
    <t>Formulas General</t>
  </si>
  <si>
    <t>/nvl03n</t>
  </si>
  <si>
    <t>DT_DELIVERY_NUMBER</t>
  </si>
  <si>
    <t>DT_WE05_0100_OKCD</t>
  </si>
  <si>
    <t>11210011</t>
  </si>
  <si>
    <t>DT_WE05_0750_CHECK_GETCELLVALUE_OF_GRIDCELL_0_EBELN</t>
  </si>
  <si>
    <t>DT_WE05_0750_CHECK_GETCELLVALUE_OF_GRIDCELL_1_BSCHL</t>
  </si>
  <si>
    <t>DT_RECALCULATED_VALUE1</t>
  </si>
  <si>
    <t>DT_WE05_0750_CHECK_GETCELLVALUE_OF_GRIDCELL_0_PRCTR</t>
  </si>
  <si>
    <t>DT_WE05_0750_CHECK_GETCELLVALUE_OF_GRIDCELL_0_AZBET_OUTPUT</t>
  </si>
  <si>
    <t>Fixed Data</t>
  </si>
  <si>
    <t>R1E - SAP RETAIL Pre-Production EUROPE</t>
  </si>
  <si>
    <t>DT_SAPPASSWORD</t>
  </si>
  <si>
    <t>any value</t>
  </si>
  <si>
    <t>RS000118</t>
  </si>
  <si>
    <t>Login Information</t>
  </si>
  <si>
    <t>DT_SAPUSER</t>
  </si>
  <si>
    <t>2</t>
  </si>
  <si>
    <t>DT_WE05_1000_EDI_OCC1</t>
  </si>
  <si>
    <t>DT_WE05_0100_CHECK_TEXT_OF_TREE_SAPTABLETREECONTROL1</t>
  </si>
  <si>
    <t>DT_WE05_0750_CHECK_GETCELLVALUE_OF_GRIDCELL_1_VBUND</t>
  </si>
  <si>
    <t>DT_SAPCLIENT</t>
  </si>
  <si>
    <t>DT_WE05_0100_CHECK_TEXT_OF_TREE_SAPTABLETREECONTROL1_OCC1</t>
  </si>
  <si>
    <t>DT_WE05_0460_ARTICLE_DOC</t>
  </si>
  <si>
    <t>DT_WE05_0200_GRIDCELL_0_DOC_NUMBER</t>
  </si>
  <si>
    <t>G001</t>
  </si>
  <si>
    <t>RW000022</t>
  </si>
  <si>
    <t>140,07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</si>
</sst>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2" xfId="0" applyFont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2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O2C_03_01_018-Distribution%20process%20to%20MI%20stores-RW04%20Dry_Popesti_P3_Chk_Posting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Z16"/>
  <sheetViews>
    <sheetView workbookViewId="0">
      <pane xSplit="1" ySplit="0" topLeftCell="L2" activePane="topRight"/>
      <selection activeCell="L2" sqref="L2"/>
      <selection pane="topRight" activeCell="L2" sqref="L2"/>
    </sheetView>
  </sheetViews>
  <sheetFormatPr defaultColWidth="9.125" defaultRowHeight="14.25"/>
  <cols>
    <col min="1" max="1" width="9.125" style="15" customWidth="1"/>
    <col min="2" max="2" width="30.125" style="15" customWidth="1"/>
    <col min="3" max="3" width="38.125" style="15" customWidth="1"/>
    <col min="4" max="4" width="15" style="15" customWidth="1"/>
    <col min="5" max="5" width="13.625" style="15" customWidth="1"/>
    <col min="6" max="6" width="26" style="15" customWidth="1"/>
    <col min="7" max="7" width="18.625" style="15" customWidth="1"/>
    <col min="8" max="8" width="16.75" style="15" customWidth="1"/>
    <col min="9" max="10" width="27.125" style="15" customWidth="1"/>
    <col min="11" max="11" width="34" style="15" customWidth="1"/>
    <col min="12" max="12" width="35.375" style="15" customWidth="1"/>
    <col min="13" max="13" width="18.75" style="15" customWidth="1"/>
    <col min="14" max="14" width="43.25" style="15" customWidth="1"/>
    <col min="15" max="15" width="50.125" style="15" customWidth="1"/>
    <col min="16" max="16" width="63.125" style="15" customWidth="1"/>
    <col min="17" max="17" width="24.625" style="15" customWidth="1"/>
    <col min="18" max="18" width="49.125" style="15" customWidth="1"/>
    <col min="19" max="19" width="56" style="15" customWidth="1"/>
    <col min="20" max="20" width="69" style="15" customWidth="1"/>
    <col min="21" max="21" width="20.75" style="15" customWidth="1"/>
    <col min="22" max="22" width="36.625" style="15" customWidth="1"/>
    <col min="23" max="23" width="63.25" style="15" customWidth="1"/>
    <col min="24" max="24" width="42.5" style="15" customWidth="1"/>
    <col min="25" max="25" width="69.125" style="15" customWidth="1"/>
    <col min="26" max="26" width="20.75" style="15" customWidth="1"/>
    <col min="27" max="27" width="28.5" style="15" customWidth="1"/>
    <col min="28" max="28" width="30.625" style="15" customWidth="1"/>
    <col min="29" max="29" width="40.875" style="15" customWidth="1"/>
    <col min="30" max="31" width="60.125" style="15" customWidth="1"/>
    <col min="32" max="33" width="60.5" style="15" customWidth="1"/>
    <col min="34" max="37" width="60.125" style="15" customWidth="1"/>
    <col min="38" max="39" width="27.625" style="15" customWidth="1"/>
    <col min="40" max="40" width="24.5" style="15" customWidth="1"/>
    <col min="41" max="41" width="69.5" style="15" customWidth="1"/>
    <col min="42" max="42" width="67.5" style="15" customWidth="1"/>
    <col min="43" max="44" width="60.5" style="15" customWidth="1"/>
    <col min="45" max="46" width="60.125" style="15" customWidth="1"/>
    <col min="47" max="48" width="60.25" style="15" customWidth="1"/>
    <col min="49" max="50" width="60.625" style="15" customWidth="1"/>
    <col min="51" max="52" width="60.5" style="15" customWidth="1"/>
    <col min="53" max="16384" width="9.125" style="15" customWidth="1"/>
  </cols>
  <sheetData>
    <row r="1" ht="12.75" customHeight="1" customFormat="1">
      <c r="A1" t="s">
        <v>43</v>
      </c>
      <c r="B1" t="s">
        <v>17</v>
      </c>
      <c r="C1" t="s">
        <v>30</v>
      </c>
      <c r="D1" t="s">
        <v>87</v>
      </c>
      <c r="E1" t="s">
        <v>82</v>
      </c>
      <c r="F1" t="s">
        <v>78</v>
      </c>
      <c r="G1" t="s">
        <v>36</v>
      </c>
      <c r="H1" t="s">
        <v>37</v>
      </c>
      <c r="I1" t="s">
        <v>1</v>
      </c>
      <c r="J1" t="s">
        <v>63</v>
      </c>
      <c r="K1" t="s">
        <v>26</v>
      </c>
      <c r="L1" t="s">
        <v>45</v>
      </c>
      <c r="M1" t="s">
        <v>55</v>
      </c>
      <c r="N1" t="s">
        <v>4</v>
      </c>
      <c r="O1" t="s">
        <v>27</v>
      </c>
      <c r="P1" t="s">
        <v>21</v>
      </c>
      <c r="Q1" t="s">
        <v>84</v>
      </c>
      <c r="R1" t="s">
        <v>64</v>
      </c>
      <c r="S1" t="s">
        <v>5</v>
      </c>
      <c r="T1" t="s">
        <v>9</v>
      </c>
      <c r="U1" t="s">
        <v>50</v>
      </c>
      <c r="V1" t="s">
        <v>51</v>
      </c>
      <c r="W1" t="s">
        <v>85</v>
      </c>
      <c r="X1" t="s">
        <v>68</v>
      </c>
      <c r="Y1" t="s">
        <v>88</v>
      </c>
      <c r="Z1" t="s">
        <v>69</v>
      </c>
      <c r="AA1" t="s">
        <v>89</v>
      </c>
      <c r="AB1" t="s">
        <v>28</v>
      </c>
      <c r="AC1" t="s">
        <v>90</v>
      </c>
      <c r="AD1" t="s">
        <v>10</v>
      </c>
      <c r="AE1" t="s">
        <v>72</v>
      </c>
      <c r="AF1" t="s">
        <v>52</v>
      </c>
      <c r="AG1" t="s">
        <v>12</v>
      </c>
      <c r="AH1" t="s">
        <v>57</v>
      </c>
      <c r="AI1" t="s">
        <v>13</v>
      </c>
      <c r="AJ1" t="s">
        <v>2</v>
      </c>
      <c r="AK1" t="s">
        <v>65</v>
      </c>
      <c r="AL1" t="s">
        <v>73</v>
      </c>
      <c r="AM1" t="s">
        <v>3</v>
      </c>
      <c r="AN1" t="s">
        <v>14</v>
      </c>
      <c r="AO1" t="s">
        <v>6</v>
      </c>
      <c r="AP1" t="s">
        <v>59</v>
      </c>
      <c r="AQ1" t="s">
        <v>53</v>
      </c>
      <c r="AR1" t="s">
        <v>15</v>
      </c>
      <c r="AS1" t="s">
        <v>71</v>
      </c>
      <c r="AT1" t="s">
        <v>29</v>
      </c>
      <c r="AU1" t="s">
        <v>60</v>
      </c>
      <c r="AV1" t="s">
        <v>16</v>
      </c>
      <c r="AW1" t="s">
        <v>33</v>
      </c>
      <c r="AX1" t="s">
        <v>86</v>
      </c>
      <c r="AY1" t="s">
        <v>74</v>
      </c>
      <c r="AZ1" t="s">
        <v>42</v>
      </c>
    </row>
    <row r="2" s="16" customFormat="1">
      <c r="A2" s="1">
        <v>2</v>
      </c>
      <c r="B2" s="1" t="s">
        <v>44</v>
      </c>
      <c r="C2" s="5" t="s">
        <v>77</v>
      </c>
      <c r="D2" s="5" t="s">
        <v>24</v>
      </c>
      <c r="E2" s="5" t="s">
        <v>25</v>
      </c>
      <c r="F2" s="5" t="s">
        <v>19</v>
      </c>
      <c r="G2" s="5" t="s">
        <v>62</v>
      </c>
      <c r="H2" s="1" t="s">
        <v>0</v>
      </c>
      <c r="I2" s="8" t="s">
        <v>38</v>
      </c>
      <c r="J2" s="21">
        <f ca="1">TODAY()</f>
        <v>45958</v>
      </c>
      <c r="K2" s="8" t="s">
        <v>20</v>
      </c>
      <c r="L2" s="8" t="s">
        <v>54</v>
      </c>
      <c r="M2" s="8" t="s">
        <v>83</v>
      </c>
      <c r="N2" s="7">
        <v>991299</v>
      </c>
      <c r="O2" s="3" t="s">
        <v>56</v>
      </c>
      <c r="P2" s="3">
        <v>9223162900</v>
      </c>
      <c r="Q2" s="8" t="s">
        <v>83</v>
      </c>
      <c r="R2" s="7">
        <v>981307</v>
      </c>
      <c r="S2" s="3" t="s">
        <v>56</v>
      </c>
      <c r="T2" s="3">
        <v>4000071305</v>
      </c>
      <c r="U2" s="1" t="s">
        <v>67</v>
      </c>
      <c r="V2" s="6">
        <f>T2</f>
        <v>4000071305</v>
      </c>
      <c r="W2" s="9" t="s">
        <v>39</v>
      </c>
      <c r="X2" s="9" t="e">
        <f>[1]Output!C2</f>
        <v>#REF!</v>
      </c>
      <c r="Y2" s="3" t="e">
        <f>"TF to stck in trans. "&amp;X2</f>
        <v>#REF!</v>
      </c>
      <c r="Z2" s="1" t="s">
        <v>46</v>
      </c>
      <c r="AA2" s="6" t="e">
        <f>X2</f>
        <v>#REF!</v>
      </c>
      <c r="AB2" s="6" t="str">
        <f ca="1">TEXT(TODAY(),"yyyy")</f>
        <v>2025</v>
      </c>
      <c r="AC2" s="3" t="s">
        <v>40</v>
      </c>
      <c r="AD2" s="3" t="s">
        <v>11</v>
      </c>
      <c r="AE2" s="3" t="s">
        <v>41</v>
      </c>
      <c r="AF2" s="3" t="s">
        <v>70</v>
      </c>
      <c r="AG2" s="3" t="s">
        <v>70</v>
      </c>
      <c r="AH2" s="3" t="s">
        <v>31</v>
      </c>
      <c r="AI2" s="3" t="s">
        <v>31</v>
      </c>
      <c r="AJ2" s="3" t="e">
        <f>[1]Output!C2</f>
        <v>#REF!</v>
      </c>
      <c r="AK2" s="3" t="e">
        <f>[1]Output!C2</f>
        <v>#REF!</v>
      </c>
      <c r="AL2" s="6" t="e">
        <f>IF(RIGHT(#REF!,1)="-",LEFT(#REF!,LEN(AJ2)-1)*-1,AJ2)</f>
        <v>#REF!</v>
      </c>
      <c r="AM2" s="6" t="e">
        <f>IF(RIGHT(AK2,1)="-",LEFT(AK2,LEN(AK2)-1)*-1,AK2)</f>
        <v>#REF!</v>
      </c>
      <c r="AN2" s="3" t="e">
        <f>#REF!+#REF!</f>
        <v>#REF!</v>
      </c>
      <c r="AO2" s="3" t="s">
        <v>58</v>
      </c>
      <c r="AP2" s="3" t="s">
        <v>58</v>
      </c>
      <c r="AQ2" s="3" t="s">
        <v>91</v>
      </c>
      <c r="AR2" s="3" t="s">
        <v>91</v>
      </c>
      <c r="AS2" s="3">
        <v>5567877281</v>
      </c>
      <c r="AT2" s="3">
        <f>AS2</f>
        <v>5567877281</v>
      </c>
      <c r="AU2" s="3" t="s">
        <v>22</v>
      </c>
      <c r="AV2" s="3" t="s">
        <v>22</v>
      </c>
      <c r="AW2" s="3" t="s">
        <v>22</v>
      </c>
      <c r="AX2" s="3" t="s">
        <v>22</v>
      </c>
      <c r="AY2" s="3" t="s">
        <v>92</v>
      </c>
      <c r="AZ2" s="13" t="s">
        <v>80</v>
      </c>
    </row>
    <row r="3" s="16" customFormat="1">
      <c r="A3" s="1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6">
        <f>IF(RIGHT(AJ3,1)="-",LEFT(AJ3,LEN(AJ3)-1)*-1,AJ3)</f>
        <v>0</v>
      </c>
      <c r="AM3" s="1"/>
      <c r="AN3" s="3">
        <f>AM3+AL3</f>
        <v>0</v>
      </c>
      <c r="AO3" s="1"/>
      <c r="AP3" s="1"/>
      <c r="AQ3" s="3" t="s">
        <v>32</v>
      </c>
      <c r="AR3" s="3" t="s">
        <v>32</v>
      </c>
      <c r="AS3" s="1"/>
      <c r="AT3" s="1"/>
      <c r="AU3" s="1"/>
      <c r="AV3" s="1"/>
      <c r="AW3" s="1"/>
      <c r="AX3" s="1"/>
      <c r="AY3" s="1"/>
      <c r="AZ3" s="17"/>
    </row>
    <row r="4" s="16" customFormat="1">
      <c r="A4" s="1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7" t="s">
        <v>8</v>
      </c>
      <c r="Q4" s="1"/>
      <c r="R4" s="1"/>
      <c r="S4" s="1"/>
      <c r="T4" s="7" t="s">
        <v>8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7"/>
      <c r="AT4" s="1"/>
      <c r="AU4" s="1"/>
      <c r="AV4" s="1"/>
      <c r="AW4" s="1"/>
      <c r="AX4" s="1"/>
      <c r="AY4" s="1"/>
      <c r="AZ4" s="17"/>
    </row>
    <row r="5" s="16" customFormat="1">
      <c r="A5" s="10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7"/>
    </row>
    <row r="6" s="16" customFormat="1">
      <c r="A6" s="10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7"/>
    </row>
    <row r="7" s="11" customFormat="1">
      <c r="A7" s="22"/>
      <c r="B7" s="5" t="s">
        <v>81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 t="s">
        <v>79</v>
      </c>
      <c r="AK7" s="2" t="s">
        <v>79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12"/>
    </row>
    <row r="8" s="11" customFormat="1">
      <c r="A8" s="22"/>
      <c r="B8" s="8" t="s">
        <v>35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12"/>
    </row>
    <row r="9" s="11" customFormat="1">
      <c r="A9" s="22"/>
      <c r="B9" s="19" t="s">
        <v>76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12"/>
    </row>
    <row r="10" s="11" customFormat="1">
      <c r="A10" s="22"/>
      <c r="B10" s="9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12"/>
    </row>
    <row r="11" s="11" customFormat="1">
      <c r="A11" s="22"/>
      <c r="B11" s="18" t="s">
        <v>47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12"/>
    </row>
    <row r="12" s="11" customFormat="1">
      <c r="A12" s="22"/>
      <c r="B12" s="6" t="s">
        <v>66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12"/>
    </row>
    <row r="13" s="11" customFormat="1">
      <c r="A13" s="22"/>
      <c r="B13" s="3" t="s">
        <v>48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12"/>
    </row>
    <row r="14" s="11" customFormat="1">
      <c r="A14" s="22"/>
      <c r="B14" s="20" t="s">
        <v>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12"/>
    </row>
    <row r="15" s="11" customFormat="1">
      <c r="A15" s="22"/>
      <c r="B15" s="7" t="s">
        <v>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12"/>
    </row>
    <row r="16" s="11" customFormat="1">
      <c r="A16" s="22"/>
      <c r="B16" s="14" t="s">
        <v>49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12"/>
    </row>
  </sheetData>
  <pageMargins left="0.7" right="0.7" top="0.75" bottom="0.75" header="0.3" footer="0.3"/>
  <pageSetup paperSize="9"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selection activeCell="A2" sqref="A2"/>
    </sheetView>
  </sheetViews>
  <sheetFormatPr defaultColWidth="9.125" defaultRowHeight="14.25"/>
  <cols>
    <col min="1" max="2" width="9.125" style="11" customWidth="1"/>
    <col min="3" max="3" width="31.25" style="11" customWidth="1"/>
    <col min="4" max="4" width="21.875" style="11" customWidth="1"/>
    <col min="5" max="5" width="23.625" style="11" customWidth="1"/>
    <col min="6" max="16384" width="9.125" style="11" customWidth="1"/>
  </cols>
  <sheetData>
    <row r="1" ht="12.75" customHeight="1" customFormat="1">
      <c r="A1" t="s">
        <v>43</v>
      </c>
      <c r="B1" t="s">
        <v>17</v>
      </c>
      <c r="C1" t="s">
        <v>23</v>
      </c>
      <c r="D1" t="s">
        <v>75</v>
      </c>
      <c r="E1" t="s">
        <v>34</v>
      </c>
    </row>
    <row r="2">
      <c r="A2" s="1">
        <v>2</v>
      </c>
      <c r="B2" s="1" t="s">
        <v>44</v>
      </c>
      <c r="C2" s="2"/>
      <c r="D2" s="2" t="s">
        <v>61</v>
      </c>
      <c r="E2" s="12" t="s">
        <v>93</v>
      </c>
    </row>
    <row r="3">
      <c r="A3" s="1">
        <v>3</v>
      </c>
      <c r="B3" s="1"/>
      <c r="C3" s="2"/>
      <c r="D3" s="2"/>
      <c r="E3" s="12"/>
    </row>
    <row r="4">
      <c r="A4" s="10"/>
      <c r="B4" s="1"/>
      <c r="C4" s="2"/>
      <c r="D4" s="2"/>
      <c r="E4" s="12"/>
    </row>
  </sheetData>
  <printOptions gridLines="1"/>
  <pageMargins left="0.75" right="0.75" top="1" bottom="1" header="0.5" footer="0.5"/>
  <pageSetup orientation="portrait" horizontalDpi="65532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