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64_material type_TASE" sheetId="3" r:id="rId3"/>
  </sheets>
  <calcPr calcId="40001"/>
</workbook>
</file>

<file path=xl/sharedStrings.xml><?xml version="1.0" encoding="utf-8"?>
<sst xmlns="http://schemas.openxmlformats.org/spreadsheetml/2006/main" uniqueCount="64">
  <si>
    <t/>
  </si>
  <si>
    <t>DT_SAPTRANSACTIONCODE</t>
  </si>
  <si>
    <t>R10</t>
  </si>
  <si>
    <t>309</t>
  </si>
  <si>
    <t>DT_MIGO_0750_CHECK_GETCELLVALUE_OF_GRIDCELL_1_BSCHL</t>
  </si>
  <si>
    <t>Verifications Date</t>
  </si>
  <si>
    <t>Data Coming from another test</t>
  </si>
  <si>
    <t>DT_MIGO_0010_GODYNPROACTION</t>
  </si>
  <si>
    <t>DT_MIGO_R10</t>
  </si>
  <si>
    <t>99</t>
  </si>
  <si>
    <t>Scenario</t>
  </si>
  <si>
    <t>Output Data</t>
  </si>
  <si>
    <t>DT_MIGO_2010_GODYNPROMAT_DOC</t>
  </si>
  <si>
    <t>200</t>
  </si>
  <si>
    <t>AUTOMI</t>
  </si>
  <si>
    <t>MIGO</t>
  </si>
  <si>
    <t>7381977</t>
  </si>
  <si>
    <t>DT_MIGO_0390_GOITEMUMNAME1</t>
  </si>
  <si>
    <t>DT_MIGO_0001_CHECK_TEXT_OF_STATUSBAR</t>
  </si>
  <si>
    <t>DT_MIGO_0010_GODYNPROACTION_OCC1</t>
  </si>
  <si>
    <t>DT_MIGO_0100_DOC_INFO</t>
  </si>
  <si>
    <t>DT_SAPSYSTEM</t>
  </si>
  <si>
    <t>Input Data</t>
  </si>
  <si>
    <t>DT_SAPLANGUAGE</t>
  </si>
  <si>
    <t>DT_SAPOPTIONS</t>
  </si>
  <si>
    <t>DT_MIGO_0390_ARTICLE</t>
  </si>
  <si>
    <t>DT_MIGO_0390_QTY_IN_UNE_OCC1</t>
  </si>
  <si>
    <t>89</t>
  </si>
  <si>
    <t>Row</t>
  </si>
  <si>
    <t>5bf7c9899824a993c5d1963e</t>
  </si>
  <si>
    <t>R340</t>
  </si>
  <si>
    <t>DT_MIGO_0390_STOR_LOC</t>
  </si>
  <si>
    <t>DT_MIGO_0750_CHECK_GETCELLVALUE_OF_GRIDCELL_1_KTONR</t>
  </si>
  <si>
    <t>Formulas Date</t>
  </si>
  <si>
    <t>Verifications</t>
  </si>
  <si>
    <t>Execution Control Data</t>
  </si>
  <si>
    <t>DT_MIGO_0112_DOCUMENT_DATE</t>
  </si>
  <si>
    <t>DT_MIGO_0750_CHECK_GETCELLVALUE_OF_GRIDCELL_0_BSCHL</t>
  </si>
  <si>
    <t>0001</t>
  </si>
  <si>
    <t>7389940</t>
  </si>
  <si>
    <t>EN</t>
  </si>
  <si>
    <t>Formulas General</t>
  </si>
  <si>
    <t>DT_MIGO_0010_GODEFAULT_TVBWART</t>
  </si>
  <si>
    <t>DT_MIGO_0390_QTY_IN_UNE</t>
  </si>
  <si>
    <t>DT_MIGO_0001_CHECK_MESSAGEPARAMETER_OF_STATUSBAR</t>
  </si>
  <si>
    <t>11210011</t>
  </si>
  <si>
    <t>DT_MIGO_0390_SITE</t>
  </si>
  <si>
    <t>DT_MIGO_0390_GOITEMUMMAKTX</t>
  </si>
  <si>
    <t>100</t>
  </si>
  <si>
    <t>Fixed Data</t>
  </si>
  <si>
    <t>R1E - SAP RETAIL Pre-Production EUROPE</t>
  </si>
  <si>
    <t>DT_SAPPASSWORD</t>
  </si>
  <si>
    <t>A08</t>
  </si>
  <si>
    <t>DT_MIGO_0112_POSTING_DATE</t>
  </si>
  <si>
    <t>A04</t>
  </si>
  <si>
    <t>DT_MIGO_0750_CHECK_GETCELLVALUE_OF_GRIDCELL_0_KTONR</t>
  </si>
  <si>
    <t>S2C_06_01_064</t>
  </si>
  <si>
    <t>Login Information</t>
  </si>
  <si>
    <t>DT_SAPUSER</t>
  </si>
  <si>
    <t>DT_MIGO_0390_GOITEMUMLGOBE</t>
  </si>
  <si>
    <t>ea</t>
  </si>
  <si>
    <t>DT_MIGO_2010_GODYNPRODOC_YEAR</t>
  </si>
  <si>
    <t>2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</si>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</sst>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2" fillId="4" borderId="2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4"/>
  <sheetViews>
    <sheetView workbookViewId="0">
      <pane xSplit="1" ySplit="0" topLeftCell="V2" activePane="topRight"/>
      <selection activeCell="V2" sqref="V2"/>
      <selection pane="topRight" activeCell="V2" sqref="V2"/>
    </sheetView>
  </sheetViews>
  <sheetFormatPr defaultColWidth="9.125" defaultRowHeight="14.25"/>
  <cols>
    <col min="1" max="1" width="4.875" style="7" customWidth="1"/>
    <col min="2" max="2" width="35.375" style="7" customWidth="1"/>
    <col min="3" max="3" width="38.125" style="7" customWidth="1"/>
    <col min="4" max="4" width="18.875" style="7" customWidth="1"/>
    <col min="5" max="5" width="13.625" style="7" customWidth="1"/>
    <col min="6" max="6" width="25.25" style="7" customWidth="1"/>
    <col min="7" max="7" width="18.625" style="7" customWidth="1"/>
    <col min="8" max="8" width="16.75" style="7" customWidth="1"/>
    <col min="9" max="9" width="27.125" style="7" customWidth="1"/>
    <col min="10" max="10" width="33.125" style="7" customWidth="1"/>
    <col min="11" max="11" width="33" style="7" customWidth="1"/>
    <col min="12" max="12" width="37.125" style="7" customWidth="1"/>
    <col min="13" max="13" width="32.25" style="7" customWidth="1"/>
    <col min="14" max="14" width="29.875" style="7" customWidth="1"/>
    <col min="15" max="15" width="23.25" style="7" customWidth="1"/>
    <col min="16" max="16" width="19.625" style="7" customWidth="1"/>
    <col min="17" max="17" width="25.25" style="7" customWidth="1"/>
    <col min="18" max="18" width="32.25" style="7" customWidth="1"/>
    <col min="19" max="19" width="32.375" style="7" customWidth="1"/>
    <col min="20" max="20" width="31.75" style="7" customWidth="1"/>
    <col min="21" max="21" width="27.125" style="7" customWidth="1"/>
    <col min="22" max="22" width="33" style="7" customWidth="1"/>
    <col min="23" max="23" width="59.5" style="7" customWidth="1"/>
    <col min="24" max="24" width="43.5" style="7" customWidth="1"/>
    <col min="25" max="25" width="39" style="7" customWidth="1"/>
    <col min="26" max="26" width="35.125" style="7" customWidth="1"/>
    <col min="27" max="27" width="36.25" style="7" customWidth="1"/>
    <col min="28" max="28" width="25" style="7" customWidth="1"/>
    <col min="29" max="30" width="59.875" style="7" customWidth="1"/>
    <col min="31" max="32" width="60.25" style="7" customWidth="1"/>
    <col min="33" max="16384" width="9.125" style="7" customWidth="1"/>
  </cols>
  <sheetData>
    <row r="1" ht="12.75" customHeight="1" customFormat="1">
      <c r="A1" t="s">
        <v>28</v>
      </c>
      <c r="B1" t="s">
        <v>10</v>
      </c>
      <c r="C1" t="s">
        <v>21</v>
      </c>
      <c r="D1" t="s">
        <v>63</v>
      </c>
      <c r="E1" t="s">
        <v>58</v>
      </c>
      <c r="F1" t="s">
        <v>51</v>
      </c>
      <c r="G1" t="s">
        <v>23</v>
      </c>
      <c r="H1" t="s">
        <v>24</v>
      </c>
      <c r="I1" t="s">
        <v>1</v>
      </c>
      <c r="J1" t="s">
        <v>7</v>
      </c>
      <c r="K1" t="s">
        <v>8</v>
      </c>
      <c r="L1" t="s">
        <v>42</v>
      </c>
      <c r="M1" t="s">
        <v>36</v>
      </c>
      <c r="N1" t="s">
        <v>53</v>
      </c>
      <c r="O1" t="s">
        <v>25</v>
      </c>
      <c r="P1" t="s">
        <v>46</v>
      </c>
      <c r="Q1" t="s">
        <v>31</v>
      </c>
      <c r="R1" t="s">
        <v>47</v>
      </c>
      <c r="S1" t="s">
        <v>17</v>
      </c>
      <c r="T1" t="s">
        <v>59</v>
      </c>
      <c r="U1" t="s">
        <v>43</v>
      </c>
      <c r="V1" t="s">
        <v>26</v>
      </c>
      <c r="W1" t="s">
        <v>44</v>
      </c>
      <c r="X1" t="s">
        <v>18</v>
      </c>
      <c r="Y1" t="s">
        <v>19</v>
      </c>
      <c r="Z1" t="s">
        <v>12</v>
      </c>
      <c r="AA1" t="s">
        <v>61</v>
      </c>
      <c r="AB1" t="s">
        <v>20</v>
      </c>
      <c r="AC1" t="s">
        <v>37</v>
      </c>
      <c r="AD1" t="s">
        <v>4</v>
      </c>
      <c r="AE1" t="s">
        <v>55</v>
      </c>
      <c r="AF1" t="s">
        <v>32</v>
      </c>
    </row>
    <row r="2">
      <c r="A2" s="1">
        <v>2</v>
      </c>
      <c r="B2" s="1" t="s">
        <v>56</v>
      </c>
      <c r="C2" s="3" t="s">
        <v>50</v>
      </c>
      <c r="D2" s="3" t="s">
        <v>13</v>
      </c>
      <c r="E2" s="3" t="s">
        <v>14</v>
      </c>
      <c r="F2" s="3" t="s">
        <v>29</v>
      </c>
      <c r="G2" s="3" t="s">
        <v>40</v>
      </c>
      <c r="H2" s="15" t="s">
        <v>0</v>
      </c>
      <c r="I2" s="2" t="s">
        <v>15</v>
      </c>
      <c r="J2" s="2" t="s">
        <v>52</v>
      </c>
      <c r="K2" s="2" t="s">
        <v>2</v>
      </c>
      <c r="L2" s="2" t="s">
        <v>3</v>
      </c>
      <c r="M2" s="8">
        <f ca="1">TODAY()</f>
        <v>45959</v>
      </c>
      <c r="N2" s="8">
        <f ca="1">M2</f>
        <v>45959</v>
      </c>
      <c r="O2" s="2" t="s">
        <v>16</v>
      </c>
      <c r="P2" s="2" t="s">
        <v>30</v>
      </c>
      <c r="Q2" s="2" t="s">
        <v>38</v>
      </c>
      <c r="R2" s="2" t="s">
        <v>39</v>
      </c>
      <c r="S2" s="2" t="s">
        <v>30</v>
      </c>
      <c r="T2" s="2" t="s">
        <v>38</v>
      </c>
      <c r="U2" s="2" t="s">
        <v>48</v>
      </c>
      <c r="V2" s="2" t="s">
        <v>60</v>
      </c>
      <c r="W2" s="6">
        <v>3906408477</v>
      </c>
      <c r="X2" s="4" t="str">
        <f>"Article document "&amp;W2&amp;" posted"</f>
        <v>Article document 3906408477 posted</v>
      </c>
      <c r="Y2" s="2" t="s">
        <v>54</v>
      </c>
      <c r="Z2" s="5">
        <f>W2</f>
        <v>3906408477</v>
      </c>
      <c r="AA2" s="5">
        <f ca="1">YEAR(TODAY())</f>
        <v>2025</v>
      </c>
      <c r="AB2" s="2" t="s">
        <v>62</v>
      </c>
      <c r="AC2" s="4" t="s">
        <v>9</v>
      </c>
      <c r="AD2" s="4" t="s">
        <v>27</v>
      </c>
      <c r="AE2" s="4" t="s">
        <v>45</v>
      </c>
      <c r="AF2" s="12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9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9"/>
    </row>
    <row r="5">
      <c r="A5" s="1"/>
      <c r="B5" s="3" t="s">
        <v>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9"/>
    </row>
    <row r="6">
      <c r="A6" s="1"/>
      <c r="B6" s="2" t="s">
        <v>22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9"/>
    </row>
    <row r="7">
      <c r="A7" s="1"/>
      <c r="B7" s="14" t="s">
        <v>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9"/>
    </row>
    <row r="8">
      <c r="A8" s="1"/>
      <c r="B8" s="6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9"/>
    </row>
    <row r="9">
      <c r="A9" s="1"/>
      <c r="B9" s="5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9"/>
    </row>
    <row r="10">
      <c r="A10" s="1"/>
      <c r="B10" s="5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9"/>
    </row>
    <row r="11">
      <c r="A11" s="1"/>
      <c r="B11" s="4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9"/>
    </row>
    <row r="12">
      <c r="A12" s="1"/>
      <c r="B12" s="4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9"/>
    </row>
    <row r="13">
      <c r="A13" s="1"/>
      <c r="B13" s="13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9"/>
    </row>
    <row r="14">
      <c r="A14" s="1"/>
      <c r="B14" s="11" t="s">
        <v>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9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7" customWidth="1"/>
  </cols>
  <sheetData>
    <row r="1" ht="12.75" customHeight="1" customFormat="1">
      <c r="A1" t="s">
        <v>44</v>
      </c>
    </row>
    <row r="2">
      <c r="A2" s="9">
        <v>3903448628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