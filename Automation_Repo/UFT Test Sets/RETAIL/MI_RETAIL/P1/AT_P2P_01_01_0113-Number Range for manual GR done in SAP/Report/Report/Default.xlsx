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TC0_RunTimeResultFolder" sheetId="2" r:id="rId2"/>
    <sheet name="TC2_DT1_DataTransfer_One" sheetId="3" r:id="rId3"/>
    <sheet name="TC1_PRE_Create_ZDSD_PO" sheetId="4" r:id="rId4"/>
    <sheet name="TC3_Test_P2P_01_01_0113_P1" sheetId="5" r:id="rId5"/>
    <sheet name="TC4_DT2_DataTransfer_Two" sheetId="6" r:id="rId6"/>
    <sheet name="TC5_Test_P2P_01_01_0113_P2" sheetId="7" r:id="rId7"/>
    <sheet name="TC6_DT3_DataTransfer_three" sheetId="8" r:id="rId8"/>
    <sheet name="TC7_Test_P2P_01_01_0113_P3" sheetId="9" r:id="rId9"/>
    <sheet name="TC8_DT4_DataTransfer_four" sheetId="10" r:id="rId10"/>
    <sheet name="TC9_Test_P2P_01_01_0113_P4" sheetId="11" r:id="rId11"/>
  </sheets>
  <externalReferences>
    <externalReference r:id="rId15"/>
  </externalReferences>
  <calcPr calcId="40001"/>
</workbook>
</file>

<file path=xl/sharedStrings.xml><?xml version="1.0" encoding="utf-8"?>
<sst xmlns="http://schemas.openxmlformats.org/spreadsheetml/2006/main" uniqueCount="55">
  <si>
    <t/>
  </si>
  <si>
    <t>DT_SAPTRANSACTIONCODE</t>
  </si>
  <si>
    <t>DT_MIGO_0112_CHECK_TEXT_OF_ARTICLE_SLIP</t>
  </si>
  <si>
    <t>DT_CXL_GR_NUMBER</t>
  </si>
  <si>
    <t>DT_MIGO_2010_GODYNPROMAT_DOC_OCC2</t>
  </si>
  <si>
    <t>I01047</t>
  </si>
  <si>
    <t>DT_MIGO_0001_CHECK_TEXT_OF_STATUSBAR_OCC2_OUTPUT</t>
  </si>
  <si>
    <t>AT_P2P_01_01_0113-Number Range for manual GR done in SAP</t>
  </si>
  <si>
    <t>Verifications Date</t>
  </si>
  <si>
    <t>Data Coming from another test</t>
  </si>
  <si>
    <t>DT_MIGO_0010_GODYNPROACTION</t>
  </si>
  <si>
    <t>Scenario</t>
  </si>
  <si>
    <t>Output Data</t>
  </si>
  <si>
    <t>5b07ee7215d3a5069f6270f0</t>
  </si>
  <si>
    <t>DT_MIGO_2010_GODYNPROMAT_DOC</t>
  </si>
  <si>
    <t>%blank%</t>
  </si>
  <si>
    <t>DT_MIGO_0001_CHECK_TEXT_OF_STATUSBAR_OCC3</t>
  </si>
  <si>
    <t>200</t>
  </si>
  <si>
    <t>AUTOMI</t>
  </si>
  <si>
    <t>MIGO</t>
  </si>
  <si>
    <t>DT_MIGO_0001_CHECK_TEXT_OF_STATUSBAR</t>
  </si>
  <si>
    <t>DT_MIGO_0010_GODYNPROACTION_OCC1</t>
  </si>
  <si>
    <t>DT_MIGO_0112_CHECK_TEXT_OF_ARTICLE_SLIP_OCC1</t>
  </si>
  <si>
    <t>DT_SAPSYSTEM</t>
  </si>
  <si>
    <t>Input Data</t>
  </si>
  <si>
    <t>DT_SAPLANGUAGE</t>
  </si>
  <si>
    <t>DT_SAPOPTIONS</t>
  </si>
  <si>
    <t>DT_CXL_GR_NUMBER_2</t>
  </si>
  <si>
    <t>DT_MIGO_2010_GODYNPROMAT_DOC_OCC3</t>
  </si>
  <si>
    <t>I01048</t>
  </si>
  <si>
    <t>Row</t>
  </si>
  <si>
    <t>DT_MIGO_0001_CHECK_TEXT_OF_STATUSBAR_OUTPUT</t>
  </si>
  <si>
    <t>Formulas Date</t>
  </si>
  <si>
    <t>Verifications</t>
  </si>
  <si>
    <t>Execution Control Data</t>
  </si>
  <si>
    <t>DT_MIGO_0010_GODYNPROACTION_OCC2</t>
  </si>
  <si>
    <t>DT_MIGO_0112_CHECK_TEXT_OF_ARTICLE_SLIP_OCC2</t>
  </si>
  <si>
    <t>A03</t>
  </si>
  <si>
    <t>DT_MIGO_0112_CHECK_TEXT_OF_ARTICLE_SLIP_OCC2_OUTPUT</t>
  </si>
  <si>
    <t>EN</t>
  </si>
  <si>
    <t>DT_MIGO_0112_CHECK_TEXT_OF_ARTICLE_SLIP_OUTPUT</t>
  </si>
  <si>
    <t>Formulas General</t>
  </si>
  <si>
    <t>DT_MIGO_0001_CHECK_TEXT_OF_STATUSBAR_OCC1</t>
  </si>
  <si>
    <t>Test</t>
  </si>
  <si>
    <t>DT_MIGO_0112_CHECK_TEXT_OF_ARTICLE_SLIP_OCC3</t>
  </si>
  <si>
    <t>Fixed Data</t>
  </si>
  <si>
    <t>R1E - SAP RETAIL Pre-Production EUROPE</t>
  </si>
  <si>
    <t>DT_SAPPASSWORD</t>
  </si>
  <si>
    <t>A04</t>
  </si>
  <si>
    <t>DT_MIGO_2010_GODYNPROMAT_DOC_OCC1</t>
  </si>
  <si>
    <t>DT_MIGO_0010_GODYNPROACTION_OCC3</t>
  </si>
  <si>
    <t>Login Information</t>
  </si>
  <si>
    <t>DT_SAPUSER</t>
  </si>
  <si>
    <t>DT_SAPCLIENT</t>
  </si>
  <si>
    <t>DT_MIGO_0001_CHECK_TEXT_OF_STATUSBAR_OCC2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</si>
</sst>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5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113-Number%20Range%20for%20manual%20GR%20done%20in%20SAP_P4_cncl_all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16"/>
  <sheetViews>
    <sheetView workbookViewId="0">
      <pane xSplit="1" ySplit="0" topLeftCell="C2" activePane="topRight"/>
      <selection activeCell="C2" sqref="C2"/>
      <selection pane="topRight" activeCell="C2" sqref="C2"/>
    </sheetView>
  </sheetViews>
  <sheetFormatPr defaultColWidth="9.125" defaultRowHeight="14.25"/>
  <cols>
    <col min="1" max="1" width="9.125" style="13" customWidth="1"/>
    <col min="2" max="2" width="55.125" style="13" customWidth="1"/>
    <col min="3" max="3" width="38.125" style="13" customWidth="1"/>
    <col min="4" max="4" width="15" style="13" customWidth="1"/>
    <col min="5" max="5" width="13.625" style="13" customWidth="1"/>
    <col min="6" max="6" width="25.625" style="13" customWidth="1"/>
    <col min="7" max="7" width="18.625" style="13" customWidth="1"/>
    <col min="8" max="8" width="16.75" style="13" customWidth="1"/>
    <col min="9" max="9" width="27.125" style="13" customWidth="1"/>
    <col min="10" max="10" width="33.125" style="13" customWidth="1"/>
    <col min="11" max="11" width="35.125" style="13" customWidth="1"/>
    <col min="12" max="12" width="43.5" style="13" customWidth="1"/>
    <col min="13" max="13" width="20.875" style="13" customWidth="1"/>
    <col min="14" max="14" width="49.375" style="13" customWidth="1"/>
    <col min="15" max="15" width="39" style="13" customWidth="1"/>
    <col min="16" max="16" width="41" style="13" customWidth="1"/>
    <col min="17" max="17" width="44.875" style="13" customWidth="1"/>
    <col min="18" max="18" width="50.75" style="13" customWidth="1"/>
    <col min="19" max="19" width="39" style="13" customWidth="1"/>
    <col min="20" max="20" width="41" style="13" customWidth="1"/>
    <col min="21" max="21" width="49.375" style="13" customWidth="1"/>
    <col min="22" max="22" width="47.75" style="13" customWidth="1"/>
    <col min="23" max="23" width="49.375" style="13" customWidth="1"/>
    <col min="24" max="24" width="39" style="13" customWidth="1"/>
    <col min="25" max="25" width="41" style="13" customWidth="1"/>
    <col min="26" max="27" width="50.75" style="13" customWidth="1"/>
    <col min="28" max="16384" width="9.125" style="13" customWidth="1"/>
  </cols>
  <sheetData>
    <row r="1" ht="12.75" customHeight="1" customFormat="1">
      <c r="A1" t="s">
        <v>30</v>
      </c>
      <c r="B1" t="s">
        <v>11</v>
      </c>
      <c r="C1" t="s">
        <v>23</v>
      </c>
      <c r="D1" t="s">
        <v>53</v>
      </c>
      <c r="E1" t="s">
        <v>52</v>
      </c>
      <c r="F1" t="s">
        <v>47</v>
      </c>
      <c r="G1" t="s">
        <v>25</v>
      </c>
      <c r="H1" t="s">
        <v>26</v>
      </c>
      <c r="I1" t="s">
        <v>1</v>
      </c>
      <c r="J1" t="s">
        <v>10</v>
      </c>
      <c r="K1" t="s">
        <v>14</v>
      </c>
      <c r="L1" t="s">
        <v>20</v>
      </c>
      <c r="M1" t="s">
        <v>3</v>
      </c>
      <c r="N1" t="s">
        <v>42</v>
      </c>
      <c r="O1" t="s">
        <v>21</v>
      </c>
      <c r="P1" t="s">
        <v>49</v>
      </c>
      <c r="Q1" t="s">
        <v>2</v>
      </c>
      <c r="R1" t="s">
        <v>22</v>
      </c>
      <c r="S1" t="s">
        <v>35</v>
      </c>
      <c r="T1" t="s">
        <v>4</v>
      </c>
      <c r="U1" t="s">
        <v>54</v>
      </c>
      <c r="V1" t="s">
        <v>27</v>
      </c>
      <c r="W1" t="s">
        <v>16</v>
      </c>
      <c r="X1" t="s">
        <v>50</v>
      </c>
      <c r="Y1" t="s">
        <v>28</v>
      </c>
      <c r="Z1" t="s">
        <v>36</v>
      </c>
      <c r="AA1" t="s">
        <v>44</v>
      </c>
    </row>
    <row r="2" s="16" customFormat="1">
      <c r="A2" s="1">
        <v>1</v>
      </c>
      <c r="B2" s="1" t="s">
        <v>7</v>
      </c>
      <c r="C2" s="5" t="s">
        <v>46</v>
      </c>
      <c r="D2" s="5" t="s">
        <v>17</v>
      </c>
      <c r="E2" s="5" t="s">
        <v>18</v>
      </c>
      <c r="F2" s="5" t="s">
        <v>13</v>
      </c>
      <c r="G2" s="5" t="s">
        <v>39</v>
      </c>
      <c r="H2" s="1" t="s">
        <v>0</v>
      </c>
      <c r="I2" s="6" t="s">
        <v>19</v>
      </c>
      <c r="J2" s="6" t="s">
        <v>37</v>
      </c>
      <c r="K2" s="9">
        <v>3903447993</v>
      </c>
      <c r="L2" s="4" t="e">
        <f xml:space="preserve"> [1]Output!C2</f>
        <v>#REF!</v>
      </c>
      <c r="M2" s="4" t="e">
        <f xml:space="preserve"> L2</f>
        <v>#REF!</v>
      </c>
      <c r="N2" s="7" t="e">
        <f>"Article document "&amp;M2&amp;" posted"</f>
        <v>#REF!</v>
      </c>
      <c r="O2" s="1" t="s">
        <v>48</v>
      </c>
      <c r="P2" s="8">
        <f>K2</f>
        <v>3903447993</v>
      </c>
      <c r="Q2" s="4" t="e">
        <f>[1]Output!D2</f>
        <v>#REF!</v>
      </c>
      <c r="R2" s="7" t="s">
        <v>15</v>
      </c>
      <c r="S2" s="6" t="s">
        <v>37</v>
      </c>
      <c r="T2" s="9">
        <v>3903781883</v>
      </c>
      <c r="U2" s="4" t="e">
        <f xml:space="preserve"> [1]Output!E2</f>
        <v>#REF!</v>
      </c>
      <c r="V2" s="4" t="e">
        <f>[1]Output!E2</f>
        <v>#REF!</v>
      </c>
      <c r="W2" s="7" t="e">
        <f>"Article document "&amp;V2&amp;" posted"</f>
        <v>#REF!</v>
      </c>
      <c r="X2" s="6" t="s">
        <v>48</v>
      </c>
      <c r="Y2" s="8" t="e">
        <f>V2</f>
        <v>#REF!</v>
      </c>
      <c r="Z2" s="4" t="e">
        <f>[1]Output!F2</f>
        <v>#REF!</v>
      </c>
      <c r="AA2" s="12" t="s">
        <v>15</v>
      </c>
    </row>
    <row r="3" s="16" customFormat="1">
      <c r="A3" s="1">
        <v>2</v>
      </c>
      <c r="B3" s="1" t="s">
        <v>43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="16" customFormat="1">
      <c r="A4" s="1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="10" customFormat="1">
      <c r="A5" s="2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1"/>
    </row>
    <row r="6" s="10" customFormat="1">
      <c r="A6" s="2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1"/>
    </row>
    <row r="7" s="10" customFormat="1">
      <c r="A7" s="21"/>
      <c r="B7" s="5" t="s">
        <v>51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1"/>
    </row>
    <row r="8" s="10" customFormat="1">
      <c r="A8" s="21"/>
      <c r="B8" s="6" t="s">
        <v>24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1"/>
    </row>
    <row r="9" s="10" customFormat="1">
      <c r="A9" s="21"/>
      <c r="B9" s="17" t="s">
        <v>45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1"/>
    </row>
    <row r="10" s="10" customFormat="1">
      <c r="A10" s="21"/>
      <c r="B10" s="4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11"/>
    </row>
    <row r="11" s="10" customFormat="1">
      <c r="A11" s="21"/>
      <c r="B11" s="19" t="s">
        <v>32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11"/>
    </row>
    <row r="12" s="10" customFormat="1">
      <c r="A12" s="21"/>
      <c r="B12" s="8" t="s">
        <v>41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11"/>
    </row>
    <row r="13" s="10" customFormat="1">
      <c r="A13" s="21"/>
      <c r="B13" s="7" t="s">
        <v>33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11"/>
    </row>
    <row r="14" s="10" customFormat="1">
      <c r="A14" s="21"/>
      <c r="B14" s="14" t="s">
        <v>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1"/>
    </row>
    <row r="15" s="10" customFormat="1">
      <c r="A15" s="21"/>
      <c r="B15" s="9" t="s">
        <v>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11"/>
    </row>
    <row r="16" s="10" customFormat="1">
      <c r="A16" s="21"/>
      <c r="B16" s="20" t="s">
        <v>34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selection activeCell="A2" sqref="A2"/>
    </sheetView>
  </sheetViews>
  <sheetFormatPr defaultColWidth="9.125" defaultRowHeight="14.25"/>
  <cols>
    <col min="1" max="16384" width="9.125" style="10" customWidth="1"/>
  </cols>
  <sheetData>
    <row r="1" ht="12.75" customHeight="1" customFormat="1">
      <c r="A1" t="s">
        <v>30</v>
      </c>
      <c r="B1" t="s">
        <v>11</v>
      </c>
      <c r="C1" t="s">
        <v>31</v>
      </c>
      <c r="D1" t="s">
        <v>40</v>
      </c>
      <c r="E1" t="s">
        <v>6</v>
      </c>
      <c r="F1" t="s">
        <v>38</v>
      </c>
    </row>
    <row r="2">
      <c r="A2" s="1">
        <v>2</v>
      </c>
      <c r="B2" s="1" t="s">
        <v>7</v>
      </c>
      <c r="C2" s="2">
        <v>3903448620</v>
      </c>
      <c r="D2" s="2" t="s">
        <v>5</v>
      </c>
      <c r="E2" s="2">
        <v>3903448621</v>
      </c>
      <c r="F2" s="11" t="s">
        <v>29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