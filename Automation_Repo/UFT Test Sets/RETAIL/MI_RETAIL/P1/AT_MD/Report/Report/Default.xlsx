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1_Test_MD_01_01_060" sheetId="3" r:id="rId3"/>
    <sheet name="TC3_Test_MD_01_01_078" sheetId="4" r:id="rId4"/>
    <sheet name="TC4_Test_MD_01_01_079" sheetId="5" r:id="rId5"/>
    <sheet name="TC5_Test_MD_01_01_248" sheetId="6" r:id="rId6"/>
    <sheet name="TC6_Test_MD_01_01_088" sheetId="7" r:id="rId7"/>
    <sheet name="TC2_Test_MD_01_01_176" sheetId="8" r:id="rId8"/>
  </sheets>
  <externalReferences>
    <externalReference r:id="rId12"/>
  </externalReferences>
  <calcPr calcId="40001"/>
</workbook>
</file>

<file path=xl/sharedStrings.xml><?xml version="1.0" encoding="utf-8"?>
<sst xmlns="http://schemas.openxmlformats.org/spreadsheetml/2006/main" uniqueCount="76">
  <si>
    <t/>
  </si>
  <si>
    <t>DT_SAPTRANSACTIONCODE</t>
  </si>
  <si>
    <t>DT_MM42_0100_ARTICLE</t>
  </si>
  <si>
    <t>RS02</t>
  </si>
  <si>
    <t>DT_MM42_8022_CHECK_TEXT_OF_TABLECELL_NET_WEIGHT_0</t>
  </si>
  <si>
    <t>DT_MM42_8022_CHECK_TEXT_OF_TABLECELL_GROSS_WEIGHT_0_OCC1</t>
  </si>
  <si>
    <t>5b7976fda9e373b53c4c8e5e</t>
  </si>
  <si>
    <t>DT_MM42_0100_SALES_ORG</t>
  </si>
  <si>
    <t>=J2</t>
  </si>
  <si>
    <t>DT_MM42_8022_CHECK_TEXT_OF_TABLECELL_NET_WEIGHT_0_OCC1</t>
  </si>
  <si>
    <t>DT_MM42_8022_CHECK_TEXT_OF_TABLECELL_LENGTH_0_OCC1</t>
  </si>
  <si>
    <t>DT_MM42_8022_CHECK_TEXT_OF_TABLECELL_HEIGHT_0_OCC1</t>
  </si>
  <si>
    <t>TABLECELL_GROSS_WEIGHT_0</t>
  </si>
  <si>
    <t>TABLECELL_GROSS_WEIGHT_4</t>
  </si>
  <si>
    <t>DT_MM42_8022_CHECK_TEXT_OF_TABLECELL_HEIGHT_0_OUTPUT</t>
  </si>
  <si>
    <t>Verifications Date</t>
  </si>
  <si>
    <t>Data Coming from another test</t>
  </si>
  <si>
    <t>Scenario</t>
  </si>
  <si>
    <t>Output Data</t>
  </si>
  <si>
    <t>DT_MM42_0100_DISTR_CHANNEL</t>
  </si>
  <si>
    <t>DT_MM42_8022_TABLECELL_HEIGHT_0</t>
  </si>
  <si>
    <t>/nMM43</t>
  </si>
  <si>
    <t>GROSS_WEIGHT_01</t>
  </si>
  <si>
    <t>200</t>
  </si>
  <si>
    <t>AUTOMI</t>
  </si>
  <si>
    <t>01</t>
  </si>
  <si>
    <t>DT_MM42_0100_CHECK_TEXT_OF_STATUSBAR</t>
  </si>
  <si>
    <t>MD_01_01_088-Change dimensions-Weight for Base UoM</t>
  </si>
  <si>
    <t>DT_SAPSYSTEM</t>
  </si>
  <si>
    <t>DT_MM42_8022_TABLECELL_GROSS_WEIGHT_0</t>
  </si>
  <si>
    <t>DT_TRANSACTION_CODE</t>
  </si>
  <si>
    <t>TABLECELL_GROSS_WEIGHT_1</t>
  </si>
  <si>
    <t>Input Data</t>
  </si>
  <si>
    <t>DT_SAPLANGUAGE</t>
  </si>
  <si>
    <t>DT_SAPOPTIONS</t>
  </si>
  <si>
    <t>MM42</t>
  </si>
  <si>
    <t>DT_MM42_8022_TABLECELL_NET_WEIGHT_0</t>
  </si>
  <si>
    <t>DT_MM42_8022_CHECK_TEXT_OF_TABLECELL_NET_WEIGHT_0_OUTPUT</t>
  </si>
  <si>
    <t>0,251</t>
  </si>
  <si>
    <t>0,222</t>
  </si>
  <si>
    <t>Row</t>
  </si>
  <si>
    <t>DT_MM42_8022_CHECK_TEXT_OF_TABLECELL_HEIGHT_0</t>
  </si>
  <si>
    <t>GROSS_WEIGHT_02</t>
  </si>
  <si>
    <t>Formulas Date</t>
  </si>
  <si>
    <t>Verifications</t>
  </si>
  <si>
    <t>Execution Control Data</t>
  </si>
  <si>
    <t>DT_CHECK_STATUS</t>
  </si>
  <si>
    <t>DT_MM42_8022_CHECK_TEXT_OF_TABLECELL_WIDTH_0_OUTPUT</t>
  </si>
  <si>
    <t>DT_MM42_8022_TABLECELL_WIDTH_0</t>
  </si>
  <si>
    <t>TABLECELL_GROSS_WEIGHT_2</t>
  </si>
  <si>
    <t>DT_MM42_8022_CHECK_TEXT_OF_TABLECELL_LENGTH_0_OUTPUT</t>
  </si>
  <si>
    <t>EN</t>
  </si>
  <si>
    <t>GROSS_WEIGHT_0</t>
  </si>
  <si>
    <t>0,405</t>
  </si>
  <si>
    <t>0,230</t>
  </si>
  <si>
    <t>Formulas General</t>
  </si>
  <si>
    <t>DT_MM42_8022_CHECK_TEXT_OF_TABLECELL_GROSS_WEIGHT_0</t>
  </si>
  <si>
    <t>DT_MM42_8022_TABLECELL_LENGTH_0</t>
  </si>
  <si>
    <t>DT_MM42_0100_DISTR_CHANNEL1</t>
  </si>
  <si>
    <t>GROSS_WEIGHT_03</t>
  </si>
  <si>
    <t>0,409</t>
  </si>
  <si>
    <t>TE(AM2;".";",")</t>
  </si>
  <si>
    <t>DT_MM42_8022_CHECK_TEXT_OF_TABLECELL_WIDTH_0_OCC1</t>
  </si>
  <si>
    <t>Fixed Data</t>
  </si>
  <si>
    <t>R1E - SAP RETAIL Pre-Production EUROPE</t>
  </si>
  <si>
    <t>DT_SAPPASSWORD</t>
  </si>
  <si>
    <t>TABLECELL_GROSS_WEIGHT_3</t>
  </si>
  <si>
    <t>Login Information</t>
  </si>
  <si>
    <t>DT_SAPUSER</t>
  </si>
  <si>
    <t>DT_MM42_8022_CHECK_TEXT_OF_TABLECELL_WIDTH_0</t>
  </si>
  <si>
    <t>DT_MM42_0100_SALES_ORG1</t>
  </si>
  <si>
    <t>DT_SAPCLIENT</t>
  </si>
  <si>
    <t>DT_MM42_8022_CHECK_TEXT_OF_TABLECELL_LENGTH_0</t>
  </si>
  <si>
    <t>DT_MM42_0100_ARTICLE1</t>
  </si>
  <si>
    <t>GROSS_WEIGHT_04</t>
  </si>
  <si>
    <t>DT_MM42_8022_CHECK_TEXT_OF_TABLECELL_GROSS_WEIGHT_0_OUTPUT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</si>
</sst>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0.000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5" fontId="1" fillId="3" borderId="1" xfId="0" applyNumberFormat="1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165" fontId="1" fillId="0" borderId="2" xfId="0" applyNumberFormat="1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1" fillId="0" borderId="0" xfId="0" applyFont="1" applyBorder="1" applyProtection="1">
      <protection locked="0"/>
    </xf>
    <xf numFmtId="0" fontId="3" fillId="6" borderId="1" xfId="0" applyFont="1" applyFill="1" applyBorder="1" applyProtection="1">
      <protection locked="0"/>
    </xf>
    <xf numFmtId="49" fontId="1" fillId="0" borderId="1" xfId="0" quotePrefix="1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12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MD_01_01_088-Change%20dimensions-Weight%20for%20Base%20UoM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Q17"/>
  <sheetViews>
    <sheetView workbookViewId="0">
      <pane xSplit="1" ySplit="0" topLeftCell="AI2" activePane="topRight"/>
      <selection activeCell="AI2" sqref="AI2"/>
      <selection pane="topRight" activeCell="AI2" sqref="AI2"/>
    </sheetView>
  </sheetViews>
  <sheetFormatPr defaultColWidth="9.125" defaultRowHeight="14.25"/>
  <cols>
    <col min="1" max="1" width="9.125" style="14" customWidth="1"/>
    <col min="2" max="2" width="52.75" style="14" customWidth="1"/>
    <col min="3" max="3" width="38.125" style="14" customWidth="1"/>
    <col min="4" max="4" width="15" style="14" customWidth="1"/>
    <col min="5" max="5" width="13.625" style="14" customWidth="1"/>
    <col min="6" max="6" width="25.875" style="14" customWidth="1"/>
    <col min="7" max="7" width="18.625" style="14" customWidth="1"/>
    <col min="8" max="8" width="16.75" style="14" customWidth="1"/>
    <col min="9" max="9" width="27.125" style="14" customWidth="1"/>
    <col min="10" max="10" width="23.5" style="14" customWidth="1"/>
    <col min="11" max="11" width="26.75" style="14" customWidth="1"/>
    <col min="12" max="12" width="31.25" style="14" customWidth="1"/>
    <col min="13" max="13" width="60.875" style="14" customWidth="1"/>
    <col min="14" max="14" width="58.125" style="14" customWidth="1"/>
    <col min="15" max="15" width="53.375" style="14" customWidth="1"/>
    <col min="16" max="16" width="52" style="14" customWidth="1"/>
    <col min="17" max="19" width="52.875" style="14" customWidth="1"/>
    <col min="20" max="20" width="41.5" style="14" customWidth="1"/>
    <col min="21" max="21" width="36.75" style="14" customWidth="1"/>
    <col min="22" max="22" width="35.375" style="14" customWidth="1"/>
    <col min="23" max="27" width="36.25" style="14" customWidth="1"/>
    <col min="28" max="28" width="43.75" style="14" customWidth="1"/>
    <col min="29" max="29" width="66.75" style="14" customWidth="1"/>
    <col min="30" max="30" width="64" style="14" customWidth="1"/>
    <col min="31" max="31" width="59.25" style="14" customWidth="1"/>
    <col min="32" max="32" width="57.875" style="14" customWidth="1"/>
    <col min="33" max="33" width="58.75" style="14" customWidth="1"/>
    <col min="34" max="34" width="15.25" style="14" customWidth="1"/>
    <col min="35" max="16384" width="9.125" style="14" customWidth="1"/>
  </cols>
  <sheetData>
    <row r="1" ht="12.75" customHeight="1" customFormat="1">
      <c r="A1" t="s">
        <v>40</v>
      </c>
      <c r="B1" t="s">
        <v>17</v>
      </c>
      <c r="C1" t="s">
        <v>28</v>
      </c>
      <c r="D1" t="s">
        <v>71</v>
      </c>
      <c r="E1" t="s">
        <v>68</v>
      </c>
      <c r="F1" t="s">
        <v>65</v>
      </c>
      <c r="G1" t="s">
        <v>33</v>
      </c>
      <c r="H1" t="s">
        <v>34</v>
      </c>
      <c r="I1" t="s">
        <v>1</v>
      </c>
      <c r="J1" t="s">
        <v>2</v>
      </c>
      <c r="K1" t="s">
        <v>7</v>
      </c>
      <c r="L1" t="s">
        <v>19</v>
      </c>
      <c r="M1" t="s">
        <v>56</v>
      </c>
      <c r="N1" t="s">
        <v>4</v>
      </c>
      <c r="O1" t="s">
        <v>72</v>
      </c>
      <c r="P1" t="s">
        <v>69</v>
      </c>
      <c r="Q1" t="s">
        <v>41</v>
      </c>
      <c r="R1" t="s">
        <v>46</v>
      </c>
      <c r="S1" t="s">
        <v>29</v>
      </c>
      <c r="T1" t="s">
        <v>36</v>
      </c>
      <c r="U1" t="s">
        <v>57</v>
      </c>
      <c r="V1" t="s">
        <v>48</v>
      </c>
      <c r="W1" t="s">
        <v>20</v>
      </c>
      <c r="X1" t="s">
        <v>30</v>
      </c>
      <c r="Y1" t="s">
        <v>73</v>
      </c>
      <c r="Z1" t="s">
        <v>70</v>
      </c>
      <c r="AA1" t="s">
        <v>58</v>
      </c>
      <c r="AB1" t="s">
        <v>26</v>
      </c>
      <c r="AC1" t="s">
        <v>5</v>
      </c>
      <c r="AD1" t="s">
        <v>9</v>
      </c>
      <c r="AE1" t="s">
        <v>10</v>
      </c>
      <c r="AF1" t="s">
        <v>62</v>
      </c>
      <c r="AG1" t="s">
        <v>11</v>
      </c>
      <c r="AH1" t="s">
        <v>12</v>
      </c>
      <c r="AI1" t="s">
        <v>52</v>
      </c>
      <c r="AJ1" t="s">
        <v>31</v>
      </c>
      <c r="AK1" t="s">
        <v>22</v>
      </c>
      <c r="AL1" t="s">
        <v>49</v>
      </c>
      <c r="AM1" t="s">
        <v>42</v>
      </c>
      <c r="AN1" t="s">
        <v>66</v>
      </c>
      <c r="AO1" t="s">
        <v>59</v>
      </c>
      <c r="AP1" t="s">
        <v>13</v>
      </c>
      <c r="AQ1" t="s">
        <v>74</v>
      </c>
    </row>
    <row r="2" s="22" customFormat="1">
      <c r="A2" s="1">
        <v>2</v>
      </c>
      <c r="B2" s="1" t="s">
        <v>27</v>
      </c>
      <c r="C2" s="7" t="s">
        <v>64</v>
      </c>
      <c r="D2" s="7" t="s">
        <v>23</v>
      </c>
      <c r="E2" s="7" t="s">
        <v>24</v>
      </c>
      <c r="F2" s="7" t="s">
        <v>6</v>
      </c>
      <c r="G2" s="7" t="s">
        <v>51</v>
      </c>
      <c r="H2" s="1" t="s">
        <v>0</v>
      </c>
      <c r="I2" s="1" t="s">
        <v>35</v>
      </c>
      <c r="J2" s="8">
        <v>7416302</v>
      </c>
      <c r="K2" s="8" t="s">
        <v>3</v>
      </c>
      <c r="L2" s="8" t="s">
        <v>25</v>
      </c>
      <c r="M2" s="3">
        <v>0.40799999999999997</v>
      </c>
      <c r="N2" s="3">
        <v>0.40400000000000003</v>
      </c>
      <c r="O2" s="3" t="e">
        <f>[1]Output!E2</f>
        <v>#REF!</v>
      </c>
      <c r="P2" s="3" t="e">
        <f>[1]Output!F2</f>
        <v>#REF!</v>
      </c>
      <c r="Q2" s="3">
        <v>0.221</v>
      </c>
      <c r="R2" s="15" t="s">
        <v>8</v>
      </c>
      <c r="S2" s="1">
        <f t="shared" si="0" ref="S2:U2">M2+0.001</f>
        <v>0.40899999999999997</v>
      </c>
      <c r="T2" s="1">
        <f t="shared" si="0"/>
        <v>0.40500000000000003</v>
      </c>
      <c r="U2" s="4" t="e">
        <f t="shared" si="0"/>
        <v>#REF!</v>
      </c>
      <c r="V2" s="4" t="e">
        <f>P2</f>
        <v>#REF!</v>
      </c>
      <c r="W2" s="1">
        <f xml:space="preserve"> Q2+0.001</f>
        <v>0.222</v>
      </c>
      <c r="X2" s="11" t="s">
        <v>21</v>
      </c>
      <c r="Y2" s="4">
        <f t="shared" si="1" ref="Y2:AA2">J2</f>
        <v>7416302</v>
      </c>
      <c r="Z2" s="4" t="str">
        <f t="shared" si="1"/>
        <v>RS02</v>
      </c>
      <c r="AA2" s="4" t="str">
        <f t="shared" si="1"/>
        <v>01</v>
      </c>
      <c r="AB2" s="5" t="str">
        <f>"Article "&amp;J2&amp;" changed"</f>
        <v>Article 7416302 changed</v>
      </c>
      <c r="AC2" s="5" t="str">
        <f t="shared" si="2" ref="AC2:AE2">TEXT(S2,"0###,000")</f>
        <v>0,409</v>
      </c>
      <c r="AD2" s="5" t="str">
        <f t="shared" si="2"/>
        <v>0,405</v>
      </c>
      <c r="AE2" s="5" t="e">
        <f t="shared" si="2"/>
        <v>#REF!</v>
      </c>
      <c r="AF2" s="5" t="e">
        <f>TEXT(V2,"###,000")</f>
        <v>#REF!</v>
      </c>
      <c r="AG2" s="5" t="str">
        <f>TEXT(W2,"0###,000")</f>
        <v>0,222</v>
      </c>
      <c r="AH2" s="1" t="str">
        <f>SUBSTITUTE(M2,",",".")</f>
        <v>0.408</v>
      </c>
      <c r="AI2" s="1">
        <f>M2+0.001</f>
        <v>0.40899999999999997</v>
      </c>
      <c r="AJ2" s="1" t="str">
        <f>SUBSTITUTE(N2,",",".")</f>
        <v>0.404</v>
      </c>
      <c r="AK2" s="1">
        <f>N2+0.001</f>
        <v>0.40500000000000003</v>
      </c>
      <c r="AL2" s="1" t="e">
        <f>SUBSTITUTE(O2,",",".")</f>
        <v>#REF!</v>
      </c>
      <c r="AM2" s="1" t="e">
        <f>O2+0.001</f>
        <v>#REF!</v>
      </c>
      <c r="AN2" s="1" t="e">
        <f>SUBSTITUTE(P2,",",".")</f>
        <v>#REF!</v>
      </c>
      <c r="AO2" s="1" t="e">
        <f>AN2</f>
        <v>#REF!</v>
      </c>
      <c r="AP2" s="1" t="str">
        <f>SUBSTITUTE(Q2,",",".")</f>
        <v>0.221</v>
      </c>
      <c r="AQ2" s="16">
        <f>Q2+0.001</f>
        <v>0.222</v>
      </c>
    </row>
    <row r="3" s="22" customFormat="1">
      <c r="A3" s="1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 t="str">
        <f>SUBSTITUTE(AI2,".",",")</f>
        <v>0,409</v>
      </c>
      <c r="T3" s="4" t="str">
        <f>SUBSTITUTE(AK2,".",",")</f>
        <v>0,405</v>
      </c>
      <c r="U3" s="1" t="s">
        <v>61</v>
      </c>
      <c r="V3" s="1"/>
      <c r="W3" s="13" t="str">
        <f>SUBSTITUTE(AQ2,".",",")</f>
        <v>0,222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7"/>
    </row>
    <row r="4" s="22" customFormat="1">
      <c r="A4" s="1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7"/>
    </row>
    <row r="5" s="22" customFormat="1">
      <c r="A5" s="18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3" t="e">
        <f>[1]Output!C5</f>
        <v>#REF!</v>
      </c>
      <c r="N5" s="3" t="e">
        <f>[1]Output!D5</f>
        <v>#REF!</v>
      </c>
      <c r="O5" s="3" t="e">
        <f>[1]Output!E5</f>
        <v>#REF!</v>
      </c>
      <c r="P5" s="1"/>
      <c r="Q5" s="3" t="e">
        <f>[1]Output!G5</f>
        <v>#REF!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7"/>
    </row>
    <row r="6" s="22" customFormat="1">
      <c r="A6" s="18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7"/>
    </row>
    <row r="7" s="22" customFormat="1">
      <c r="A7" s="18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7"/>
    </row>
    <row r="8" s="12" customFormat="1">
      <c r="A8" s="9"/>
      <c r="B8" s="7" t="s">
        <v>67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10"/>
    </row>
    <row r="9" s="12" customFormat="1">
      <c r="A9" s="9"/>
      <c r="B9" s="8" t="s">
        <v>32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10"/>
    </row>
    <row r="10" s="12" customFormat="1">
      <c r="A10" s="9"/>
      <c r="B10" s="11" t="s">
        <v>63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0"/>
    </row>
    <row r="11" s="12" customFormat="1">
      <c r="A11" s="9"/>
      <c r="B11" s="3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9"/>
      <c r="Z11" s="9"/>
      <c r="AA11" s="9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10"/>
    </row>
    <row r="12" s="12" customFormat="1">
      <c r="A12" s="9"/>
      <c r="B12" s="20" t="s">
        <v>43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10"/>
    </row>
    <row r="13" s="12" customFormat="1">
      <c r="A13" s="9"/>
      <c r="B13" s="4" t="s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10"/>
    </row>
    <row r="14" s="12" customFormat="1">
      <c r="A14" s="9"/>
      <c r="B14" s="5" t="s">
        <v>44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10"/>
    </row>
    <row r="15" s="12" customFormat="1">
      <c r="A15" s="9"/>
      <c r="B15" s="21" t="s">
        <v>15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10"/>
    </row>
    <row r="16" s="12" customFormat="1">
      <c r="A16" s="9"/>
      <c r="B16" s="23" t="s">
        <v>16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10"/>
    </row>
    <row r="17" s="12" customFormat="1">
      <c r="A17" s="9"/>
      <c r="B17" s="19" t="s">
        <v>45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1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G3"/>
  <sheetViews>
    <sheetView workbookViewId="0">
      <selection activeCell="A2" sqref="A2"/>
    </sheetView>
  </sheetViews>
  <sheetFormatPr defaultColWidth="9.125" defaultRowHeight="14.25"/>
  <cols>
    <col min="1" max="1" width="9.125" style="12" customWidth="1"/>
    <col min="2" max="3" width="22.5" style="12" customWidth="1"/>
    <col min="4" max="5" width="21" style="12" customWidth="1"/>
    <col min="6" max="6" width="27" style="12" customWidth="1"/>
    <col min="7" max="7" width="25.25" style="12" customWidth="1"/>
    <col min="8" max="16384" width="9.125" style="12" customWidth="1"/>
  </cols>
  <sheetData>
    <row r="1" ht="12.75" customHeight="1" customFormat="1">
      <c r="A1" t="s">
        <v>40</v>
      </c>
      <c r="B1" t="s">
        <v>17</v>
      </c>
      <c r="C1" t="s">
        <v>75</v>
      </c>
      <c r="D1" t="s">
        <v>37</v>
      </c>
      <c r="E1" t="s">
        <v>50</v>
      </c>
      <c r="F1" t="s">
        <v>47</v>
      </c>
      <c r="G1" t="s">
        <v>14</v>
      </c>
    </row>
    <row r="2">
      <c r="A2" s="1">
        <v>2</v>
      </c>
      <c r="B2" s="1" t="s">
        <v>27</v>
      </c>
      <c r="C2" s="1" t="s">
        <v>60</v>
      </c>
      <c r="D2" s="2" t="s">
        <v>53</v>
      </c>
      <c r="E2" s="2" t="s">
        <v>38</v>
      </c>
      <c r="F2" s="24" t="s">
        <v>54</v>
      </c>
      <c r="G2" s="10" t="s">
        <v>39</v>
      </c>
    </row>
    <row r="3">
      <c r="A3" s="2"/>
      <c r="B3" s="2"/>
      <c r="C3" s="1" t="s">
        <v>60</v>
      </c>
      <c r="D3" s="2"/>
      <c r="E3" s="2"/>
      <c r="F3" s="2"/>
      <c r="G3" s="10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6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