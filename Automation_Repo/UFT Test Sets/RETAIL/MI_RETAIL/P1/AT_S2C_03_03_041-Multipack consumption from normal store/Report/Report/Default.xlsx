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Check_Stock_P1_TASE" sheetId="3" r:id="rId3"/>
    <sheet name="TC2_Goods_Receipt_P2_TASE" sheetId="4" r:id="rId4"/>
    <sheet name="TC3_Test_Multipack_MVT_P3_TASE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<sst xmlns="http://schemas.openxmlformats.org/spreadsheetml/2006/main" uniqueCount="101">
  <si>
    <t/>
  </si>
  <si>
    <t>DT_SAPTRANSACTIONCODE</t>
  </si>
  <si>
    <t>false</t>
  </si>
  <si>
    <t>RO02</t>
  </si>
  <si>
    <t>Correction MM Document created 3914170050 /2020</t>
  </si>
  <si>
    <t>DT_ZMDIM_GRIDCELL_5_T_MSG_OUTPUT2</t>
  </si>
  <si>
    <t>DT_ZMDIM_MULTIPACK_MVT_0100_DOC_INFO</t>
  </si>
  <si>
    <t>DT_ZMDIM_GRIDCELL_1_BSCHL</t>
  </si>
  <si>
    <t>DT_ZMDIM_GRIDCELL_7_KTONR</t>
  </si>
  <si>
    <t>DT_ZMDIM_GRIDCELL_0_ST_FLAG</t>
  </si>
  <si>
    <t>91</t>
  </si>
  <si>
    <t>DT_ZMDIM_GRIDCELL_6_BSCHL</t>
  </si>
  <si>
    <t>11210085</t>
  </si>
  <si>
    <t>Verifications Date</t>
  </si>
  <si>
    <t>Data Coming from another test</t>
  </si>
  <si>
    <t>99</t>
  </si>
  <si>
    <t>Output Data</t>
  </si>
  <si>
    <t>ZMDIM_MULTIPACK_MVT</t>
  </si>
  <si>
    <t>DT_ZMDIM_GRIDCELL_2_ST_FLAG</t>
  </si>
  <si>
    <t>DT_MOVEMENT_TYPE_3</t>
  </si>
  <si>
    <t>DT_ZMDIM_GRIDCELL_4_KTONR</t>
  </si>
  <si>
    <t>DT_ZMDIM_GRIDCELL_9_KTONR</t>
  </si>
  <si>
    <t>200</t>
  </si>
  <si>
    <t>AUTOMI</t>
  </si>
  <si>
    <t>DT_ZMDIM_GRIDCELL_3_ST_FLAG</t>
  </si>
  <si>
    <t>DT_ZMDIM_GRIDCELL_5_T_MSG_OUTPUT3</t>
  </si>
  <si>
    <t>DT_ZMDIM_MULTIPACK_MVT_0100_OKCD</t>
  </si>
  <si>
    <t>DT_ZMDIM_MULTIPACK_MVT_0010_GODYNPROACTION</t>
  </si>
  <si>
    <t>DT_ZMDIM_GRIDCELL_3_BSCHL</t>
  </si>
  <si>
    <t>DT_ZMDIM_GRIDCELL_8_BSCHL</t>
  </si>
  <si>
    <t>30310101</t>
  </si>
  <si>
    <t>DT_ZMDIM_GRIDCELL_10_KTONR</t>
  </si>
  <si>
    <t>DT_SAPSYSTEM</t>
  </si>
  <si>
    <t>DT_ZMDIM_GRIDCELL_5_T_MSG_OUTPUT</t>
  </si>
  <si>
    <t>81</t>
  </si>
  <si>
    <t>Input Data</t>
  </si>
  <si>
    <t>DT_SAPLANGUAGE</t>
  </si>
  <si>
    <t>DT_SAPOPTIONS</t>
  </si>
  <si>
    <t>7385880</t>
  </si>
  <si>
    <t>DT_ZMDIM_MULTIPACK_MVT_1000_SITE</t>
  </si>
  <si>
    <t>0</t>
  </si>
  <si>
    <t>DT_ZMDIM_GRIDCELL_0_BSCHL</t>
  </si>
  <si>
    <t>89</t>
  </si>
  <si>
    <t>96</t>
  </si>
  <si>
    <t>DT_ZMDIM_GRIDCELL_1_KTONR</t>
  </si>
  <si>
    <t>DT_ZMDIM_GRIDCELL_6_KTONR</t>
  </si>
  <si>
    <t>SCENARIO</t>
  </si>
  <si>
    <t>DT_ZMDIM_MULTIPACK_MVT_1000_TEST_RUN</t>
  </si>
  <si>
    <t>R340</t>
  </si>
  <si>
    <t>DT_ZMDIM_GRIDCELL_2_T_MSG</t>
  </si>
  <si>
    <t>DT_ZMDIM_MULTIPACK_MVT_2010_GODYNPROMAT_DOC</t>
  </si>
  <si>
    <t>DT_MOVEMENT_TYPE_0</t>
  </si>
  <si>
    <t>DT_MOVEMENT_TYPE_4</t>
  </si>
  <si>
    <t>DT_ZMDIM_GRIDCELL_5_BSCHL</t>
  </si>
  <si>
    <t>Formulas Date</t>
  </si>
  <si>
    <t>Verifications</t>
  </si>
  <si>
    <t>Execution Control Data</t>
  </si>
  <si>
    <t>DT_ZMDIM_MULTIPACK_MVT_1000_POSTING_DATE</t>
  </si>
  <si>
    <t>DT_GET_ARTICLE</t>
  </si>
  <si>
    <t>DT_ZMDIM_MULTIPACK_MVT_1000_COMPONENT</t>
  </si>
  <si>
    <t>0001</t>
  </si>
  <si>
    <t>86</t>
  </si>
  <si>
    <t>DT_ZMDIM_GRIDCELL_3_KTONR</t>
  </si>
  <si>
    <t>DT_ZMDIM_GRIDCELL_8_KTONR</t>
  </si>
  <si>
    <t>EN</t>
  </si>
  <si>
    <t>DT_ZMDIM_GRIDCELL_2_BSCHL</t>
  </si>
  <si>
    <t>DT_ZMDIM_GRIDCELL_7_BSCHL</t>
  </si>
  <si>
    <t>Correction MM Document created 3903455603 /2025</t>
  </si>
  <si>
    <t>Formulas General</t>
  </si>
  <si>
    <t>DT_MOVEMENT_TYPE_1</t>
  </si>
  <si>
    <t>11210011</t>
  </si>
  <si>
    <t>A</t>
  </si>
  <si>
    <t>DT_ZMDIM_GRIDCELL_5_T_MSG_OUTPUT1</t>
  </si>
  <si>
    <t>DT_MOVEMENT_TYPE_5</t>
  </si>
  <si>
    <t>DT_ZMDIM_MULTIPACK_MVT_0200_GRIDCELL_0_DOC_NUMBER</t>
  </si>
  <si>
    <t>DT_ZMDIM_GRIDCELL_0_KTONR</t>
  </si>
  <si>
    <t>DT_ZMDIM_GRIDCELL_5_KTONR</t>
  </si>
  <si>
    <t>R1E - SAP RETAIL Pre-Production EUROPE</t>
  </si>
  <si>
    <t>Fixed Data</t>
  </si>
  <si>
    <t>DT_SAPPASSWORD</t>
  </si>
  <si>
    <t>DT_ZMDIM_MULTIPACK_MVT_1000_COMPANY_CODE</t>
  </si>
  <si>
    <t>DT_ZMDIM_MULTIPACK_MVT_1000_STORAGE_LOCATION</t>
  </si>
  <si>
    <t>DT_ZMDIM_GRIDCELL_1_T_MSG</t>
  </si>
  <si>
    <t>Initially        3  BOMs read</t>
  </si>
  <si>
    <t>/nMIGO</t>
  </si>
  <si>
    <t>A04</t>
  </si>
  <si>
    <t>944</t>
  </si>
  <si>
    <t>DT_ZMDIM_GRIDCELL_4_BSCHL</t>
  </si>
  <si>
    <t>ROW</t>
  </si>
  <si>
    <t>Login Information</t>
  </si>
  <si>
    <t>DT_SAPUSER</t>
  </si>
  <si>
    <t>DT_ZMDIM_MULTIPACK_MVT_1000_SITE_CATEGORY</t>
  </si>
  <si>
    <t>Lines to be posted:           6</t>
  </si>
  <si>
    <t>2</t>
  </si>
  <si>
    <t>DT_ZMDIM_GRIDCELL_9_BSCHL</t>
  </si>
  <si>
    <t>DT_ZMDIM_GRIDCELL_10_BSCHL</t>
  </si>
  <si>
    <t>DT_SAPCLIENT</t>
  </si>
  <si>
    <t>5bfbf28c4e054c6a188aca09</t>
  </si>
  <si>
    <t>@5Y@</t>
  </si>
  <si>
    <t>DT_MOVEMENT_TYPE_2</t>
  </si>
  <si>
    <t>DT_ZMDIM_GRIDCELL_2_KTONR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</si>
</sst>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S2C_03_03_041-Multipack%20consumption%20from%20normal%20store_Multipack_MVT_P3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G13"/>
  <sheetViews>
    <sheetView zoomScale="90" workbookViewId="0">
      <pane xSplit="1" ySplit="0" topLeftCell="P2" activePane="topRight"/>
      <selection activeCell="P2" sqref="P2"/>
      <selection pane="topRight" activeCell="P2" sqref="P2"/>
    </sheetView>
  </sheetViews>
  <sheetFormatPr defaultColWidth="9.125" defaultRowHeight="14.25"/>
  <cols>
    <col min="1" max="1" width="9.125" style="10" customWidth="1"/>
    <col min="2" max="2" width="10.875" style="10" customWidth="1"/>
    <col min="3" max="3" width="38.875" style="10" customWidth="1"/>
    <col min="4" max="4" width="15.25" style="10" customWidth="1"/>
    <col min="5" max="5" width="13.875" style="10" customWidth="1"/>
    <col min="6" max="6" width="24.875" style="10" customWidth="1"/>
    <col min="7" max="7" width="18.875" style="10" customWidth="1"/>
    <col min="8" max="8" width="17" style="10" customWidth="1"/>
    <col min="9" max="9" width="27.25" style="10" customWidth="1"/>
    <col min="10" max="10" width="45.75" style="10" customWidth="1"/>
    <col min="11" max="11" width="47.875" style="10" customWidth="1"/>
    <col min="12" max="12" width="51.375" style="10" customWidth="1"/>
    <col min="13" max="13" width="39.75" style="10" customWidth="1"/>
    <col min="14" max="14" width="55.25" style="10" customWidth="1"/>
    <col min="15" max="15" width="51.125" style="10" customWidth="1"/>
    <col min="16" max="16" width="50.125" style="10" customWidth="1"/>
    <col min="17" max="19" width="84.375" style="10" customWidth="1"/>
    <col min="20" max="22" width="82.75" style="10" customWidth="1"/>
    <col min="23" max="23" width="76.125" style="10" customWidth="1"/>
    <col min="24" max="24" width="89" style="10" customWidth="1"/>
    <col min="25" max="26" width="82.75" style="10" customWidth="1"/>
    <col min="27" max="27" width="40.875" style="10" customWidth="1"/>
    <col min="28" max="28" width="53.375" style="10" customWidth="1"/>
    <col min="29" max="29" width="55.75" style="10" customWidth="1"/>
    <col min="30" max="34" width="81.625" style="10" customWidth="1"/>
    <col min="35" max="35" width="83.25" style="10" customWidth="1"/>
    <col min="36" max="36" width="45.25" style="10" customWidth="1"/>
    <col min="37" max="37" width="62.375" style="10" customWidth="1"/>
    <col min="38" max="47" width="82.375" style="10" customWidth="1"/>
    <col min="48" max="48" width="83.625" style="10" customWidth="1"/>
    <col min="49" max="58" width="82.75" style="10" customWidth="1"/>
    <col min="59" max="59" width="83.875" style="10" customWidth="1"/>
    <col min="60" max="16384" width="9.125" style="10" customWidth="1"/>
  </cols>
  <sheetData>
    <row r="1" ht="12.75" customHeight="1" customFormat="1">
      <c r="A1" t="s">
        <v>88</v>
      </c>
      <c r="B1" t="s">
        <v>46</v>
      </c>
      <c r="C1" t="s">
        <v>32</v>
      </c>
      <c r="D1" t="s">
        <v>96</v>
      </c>
      <c r="E1" t="s">
        <v>90</v>
      </c>
      <c r="F1" t="s">
        <v>79</v>
      </c>
      <c r="G1" t="s">
        <v>36</v>
      </c>
      <c r="H1" t="s">
        <v>37</v>
      </c>
      <c r="I1" t="s">
        <v>1</v>
      </c>
      <c r="J1" t="s">
        <v>47</v>
      </c>
      <c r="K1" t="s">
        <v>59</v>
      </c>
      <c r="L1" t="s">
        <v>80</v>
      </c>
      <c r="M1" t="s">
        <v>39</v>
      </c>
      <c r="N1" t="s">
        <v>81</v>
      </c>
      <c r="O1" t="s">
        <v>91</v>
      </c>
      <c r="P1" t="s">
        <v>57</v>
      </c>
      <c r="Q1" t="s">
        <v>9</v>
      </c>
      <c r="R1" t="s">
        <v>24</v>
      </c>
      <c r="S1" t="s">
        <v>18</v>
      </c>
      <c r="T1" t="s">
        <v>82</v>
      </c>
      <c r="U1" t="s">
        <v>49</v>
      </c>
      <c r="V1" t="s">
        <v>33</v>
      </c>
      <c r="W1" t="s">
        <v>58</v>
      </c>
      <c r="X1" t="s">
        <v>72</v>
      </c>
      <c r="Y1" t="s">
        <v>5</v>
      </c>
      <c r="Z1" t="s">
        <v>25</v>
      </c>
      <c r="AA1" t="s">
        <v>26</v>
      </c>
      <c r="AB1" t="s">
        <v>27</v>
      </c>
      <c r="AC1" t="s">
        <v>50</v>
      </c>
      <c r="AD1" t="s">
        <v>51</v>
      </c>
      <c r="AE1" t="s">
        <v>69</v>
      </c>
      <c r="AF1" t="s">
        <v>99</v>
      </c>
      <c r="AG1" t="s">
        <v>19</v>
      </c>
      <c r="AH1" t="s">
        <v>52</v>
      </c>
      <c r="AI1" t="s">
        <v>73</v>
      </c>
      <c r="AJ1" t="s">
        <v>6</v>
      </c>
      <c r="AK1" t="s">
        <v>74</v>
      </c>
      <c r="AL1" t="s">
        <v>41</v>
      </c>
      <c r="AM1" t="s">
        <v>7</v>
      </c>
      <c r="AN1" t="s">
        <v>65</v>
      </c>
      <c r="AO1" t="s">
        <v>28</v>
      </c>
      <c r="AP1" t="s">
        <v>87</v>
      </c>
      <c r="AQ1" t="s">
        <v>53</v>
      </c>
      <c r="AR1" t="s">
        <v>11</v>
      </c>
      <c r="AS1" t="s">
        <v>66</v>
      </c>
      <c r="AT1" t="s">
        <v>29</v>
      </c>
      <c r="AU1" t="s">
        <v>94</v>
      </c>
      <c r="AV1" t="s">
        <v>95</v>
      </c>
      <c r="AW1" t="s">
        <v>75</v>
      </c>
      <c r="AX1" t="s">
        <v>44</v>
      </c>
      <c r="AY1" t="s">
        <v>100</v>
      </c>
      <c r="AZ1" t="s">
        <v>62</v>
      </c>
      <c r="BA1" t="s">
        <v>20</v>
      </c>
      <c r="BB1" t="s">
        <v>76</v>
      </c>
      <c r="BC1" t="s">
        <v>45</v>
      </c>
      <c r="BD1" t="s">
        <v>8</v>
      </c>
      <c r="BE1" t="s">
        <v>63</v>
      </c>
      <c r="BF1" t="s">
        <v>21</v>
      </c>
      <c r="BG1" t="s">
        <v>31</v>
      </c>
    </row>
    <row r="2">
      <c r="A2" s="1">
        <v>2</v>
      </c>
      <c r="B2" s="1"/>
      <c r="C2" s="4" t="s">
        <v>77</v>
      </c>
      <c r="D2" s="4" t="s">
        <v>22</v>
      </c>
      <c r="E2" s="4" t="s">
        <v>23</v>
      </c>
      <c r="F2" s="4" t="s">
        <v>97</v>
      </c>
      <c r="G2" s="4" t="s">
        <v>64</v>
      </c>
      <c r="H2" s="4" t="s">
        <v>0</v>
      </c>
      <c r="I2" s="3" t="s">
        <v>17</v>
      </c>
      <c r="J2" s="3" t="s">
        <v>2</v>
      </c>
      <c r="K2" s="3" t="s">
        <v>38</v>
      </c>
      <c r="L2" s="3" t="s">
        <v>3</v>
      </c>
      <c r="M2" s="3" t="s">
        <v>48</v>
      </c>
      <c r="N2" s="3" t="s">
        <v>60</v>
      </c>
      <c r="O2" s="3" t="s">
        <v>71</v>
      </c>
      <c r="P2" s="8">
        <f ca="1">TODAY()</f>
        <v>45959</v>
      </c>
      <c r="Q2" s="2" t="s">
        <v>98</v>
      </c>
      <c r="R2" s="2" t="s">
        <v>98</v>
      </c>
      <c r="S2" s="2" t="s">
        <v>98</v>
      </c>
      <c r="T2" s="2" t="s">
        <v>83</v>
      </c>
      <c r="U2" s="2" t="s">
        <v>92</v>
      </c>
      <c r="V2" s="7" t="s">
        <v>4</v>
      </c>
      <c r="W2" s="7" t="e">
        <f>MID(([1]Output!C2),32,10)</f>
        <v>#REF!</v>
      </c>
      <c r="X2" s="2" t="str">
        <f>V2</f>
        <v>Correction MM Document created 3914170050 /2020</v>
      </c>
      <c r="Y2" s="2" t="str">
        <f>V2</f>
        <v>Correction MM Document created 3914170050 /2020</v>
      </c>
      <c r="Z2" s="2" t="str">
        <f>V2</f>
        <v>Correction MM Document created 3914170050 /2020</v>
      </c>
      <c r="AA2" s="3" t="s">
        <v>84</v>
      </c>
      <c r="AB2" s="3" t="s">
        <v>85</v>
      </c>
      <c r="AC2" s="3" t="e">
        <f>W2</f>
        <v>#REF!</v>
      </c>
      <c r="AD2" s="5">
        <v>942</v>
      </c>
      <c r="AE2" s="5" t="s">
        <v>86</v>
      </c>
      <c r="AF2" s="5">
        <v>942</v>
      </c>
      <c r="AG2" s="5" t="s">
        <v>86</v>
      </c>
      <c r="AH2" s="5">
        <v>942</v>
      </c>
      <c r="AI2" s="5" t="s">
        <v>86</v>
      </c>
      <c r="AJ2" s="3" t="s">
        <v>93</v>
      </c>
      <c r="AK2" s="3" t="s">
        <v>40</v>
      </c>
      <c r="AL2" s="2" t="s">
        <v>15</v>
      </c>
      <c r="AM2" s="2" t="s">
        <v>34</v>
      </c>
      <c r="AN2" s="2" t="s">
        <v>42</v>
      </c>
      <c r="AO2" s="2" t="s">
        <v>10</v>
      </c>
      <c r="AP2" s="2" t="s">
        <v>61</v>
      </c>
      <c r="AQ2" s="2" t="s">
        <v>42</v>
      </c>
      <c r="AR2" s="2" t="s">
        <v>10</v>
      </c>
      <c r="AS2" s="2">
        <v>86</v>
      </c>
      <c r="AT2" s="2" t="s">
        <v>42</v>
      </c>
      <c r="AU2" s="2" t="s">
        <v>10</v>
      </c>
      <c r="AV2" s="2" t="s">
        <v>43</v>
      </c>
      <c r="AW2" s="2" t="s">
        <v>70</v>
      </c>
      <c r="AX2" s="2" t="s">
        <v>12</v>
      </c>
      <c r="AY2" s="2" t="s">
        <v>70</v>
      </c>
      <c r="AZ2" s="2" t="s">
        <v>12</v>
      </c>
      <c r="BA2" s="2" t="s">
        <v>30</v>
      </c>
      <c r="BB2" s="2" t="s">
        <v>70</v>
      </c>
      <c r="BC2" s="2" t="s">
        <v>12</v>
      </c>
      <c r="BD2" s="2" t="s">
        <v>30</v>
      </c>
      <c r="BE2" s="2" t="s">
        <v>70</v>
      </c>
      <c r="BF2" s="2" t="s">
        <v>12</v>
      </c>
      <c r="BG2" s="12" t="s">
        <v>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>
        <v>96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9"/>
    </row>
    <row r="4">
      <c r="A4" s="1"/>
      <c r="B4" s="1"/>
      <c r="C4" s="4" t="s">
        <v>89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9"/>
    </row>
    <row r="5">
      <c r="A5" s="1"/>
      <c r="B5" s="1"/>
      <c r="C5" s="3" t="s">
        <v>35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9"/>
    </row>
    <row r="6">
      <c r="A6" s="1"/>
      <c r="B6" s="1"/>
      <c r="C6" s="15" t="s">
        <v>78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9"/>
    </row>
    <row r="7">
      <c r="A7" s="1"/>
      <c r="B7" s="1"/>
      <c r="C7" s="7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9"/>
    </row>
    <row r="8">
      <c r="A8" s="1"/>
      <c r="B8" s="1"/>
      <c r="C8" s="8" t="s">
        <v>54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9"/>
    </row>
    <row r="9">
      <c r="A9" s="1"/>
      <c r="B9" s="1"/>
      <c r="C9" s="16" t="s">
        <v>68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9"/>
    </row>
    <row r="10">
      <c r="A10" s="1"/>
      <c r="B10" s="1"/>
      <c r="C10" s="2" t="s">
        <v>55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9"/>
    </row>
    <row r="11">
      <c r="A11" s="1"/>
      <c r="B11" s="1"/>
      <c r="C11" s="11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9"/>
    </row>
    <row r="12">
      <c r="A12" s="1"/>
      <c r="B12" s="1"/>
      <c r="C12" s="13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9"/>
    </row>
    <row r="13">
      <c r="A13" s="1"/>
      <c r="B13" s="1"/>
      <c r="C13" s="14" t="s">
        <v>56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9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10.625" style="10" customWidth="1"/>
    <col min="3" max="3" width="86.625" style="10" customWidth="1"/>
    <col min="4" max="16384" width="9.125" style="10" customWidth="1"/>
  </cols>
  <sheetData>
    <row r="1" ht="12.75" customHeight="1" customFormat="1">
      <c r="A1" t="s">
        <v>88</v>
      </c>
      <c r="B1" t="s">
        <v>46</v>
      </c>
      <c r="C1" t="s">
        <v>33</v>
      </c>
    </row>
    <row r="2">
      <c r="A2" s="1">
        <v>2</v>
      </c>
      <c r="B2" s="1"/>
      <c r="C2" s="9" t="s">
        <v>67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