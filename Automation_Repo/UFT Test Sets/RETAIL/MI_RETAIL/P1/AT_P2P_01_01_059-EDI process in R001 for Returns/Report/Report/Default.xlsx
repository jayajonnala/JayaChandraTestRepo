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2_DT1_DataTransfer_One" sheetId="3" r:id="rId3"/>
    <sheet name="TC4_DT2_DataTransfer_Two" sheetId="4" r:id="rId4"/>
    <sheet name="TC6_DT3_DataTransfer_three" sheetId="5" r:id="rId5"/>
    <sheet name="TC3_Test_PRE_Get_Art_MB51" sheetId="6" r:id="rId6"/>
    <sheet name="TC1_Test_P2P_01_01_059_Upload" sheetId="7" r:id="rId7"/>
    <sheet name="TC5_Test_P2P_01_01_059_P2" sheetId="8" r:id="rId8"/>
    <sheet name="TC7_Test_P2P_01_01_059_P3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<sst xmlns="http://schemas.openxmlformats.org/spreadsheetml/2006/main" uniqueCount="74">
  <si>
    <t/>
  </si>
  <si>
    <t>DT_SAPTRANSACTIONCODE</t>
  </si>
  <si>
    <t>DT_MIRO_6020_RM08MREFERENZBELEGTYP</t>
  </si>
  <si>
    <t>DT_MIRO_6005_DETAILS</t>
  </si>
  <si>
    <t>DT_MIRO_0010_AMOUNT</t>
  </si>
  <si>
    <t>DT_MIRO_0750_CHECK_GETCELLVALUE_OF_GRIDCELL_1_BSCHL</t>
  </si>
  <si>
    <t>DT_MIRO_6000_CHECK_TEXT_OF_BALANCE_OUTPUT</t>
  </si>
  <si>
    <t>5b7c34606d85251b13f52da0</t>
  </si>
  <si>
    <t>DT_MIRO_6150_FISCAL_YEAR</t>
  </si>
  <si>
    <t>Verifications Date</t>
  </si>
  <si>
    <t>Data Coming from another test</t>
  </si>
  <si>
    <t>DT_MIRO_0010_REFERENCE</t>
  </si>
  <si>
    <t>DT_MIRO_6211_RM08MEBELN</t>
  </si>
  <si>
    <t>DT_MIRO_6000_CHECK_TEXT_OF_BALANCE</t>
  </si>
  <si>
    <t>DT_MIRO_0750_CHECK_GETCELLVALUE_OF_GRIDCELL_4_KTONR</t>
  </si>
  <si>
    <t>Scenario</t>
  </si>
  <si>
    <t>Output Data</t>
  </si>
  <si>
    <t>DT_MIRO_0010_CALCULATE_TAX</t>
  </si>
  <si>
    <t>DT_MIRO_6000_CHECK_TEXT_OF_STATUSBAR</t>
  </si>
  <si>
    <t>DT_MIRO_0750_CHECK_GETCELLVALUE_OF_GRIDCELL_3_BSCHL</t>
  </si>
  <si>
    <t>DT_MIRO_6000_CHECK_TEXT_OF_STATUSBAR_OUTPUT</t>
  </si>
  <si>
    <t>200</t>
  </si>
  <si>
    <t>AUTOMI</t>
  </si>
  <si>
    <t xml:space="preserve">0,00 </t>
  </si>
  <si>
    <t>DT_SAPSYSTEM</t>
  </si>
  <si>
    <t>DT_MIRO_6150_INVOICE_DOCUMENT_NO</t>
  </si>
  <si>
    <t>DT_MIRO_0750_CHECK_GETCELLVALUE_OF_GRIDCELL_1_KTONR</t>
  </si>
  <si>
    <t>DT_MIRO_0750_CHECK_TEXT_OF_DOCUMENT_NUMBER_OUTPUT</t>
  </si>
  <si>
    <t>Input Data</t>
  </si>
  <si>
    <t>DT_SAPLANGUAGE</t>
  </si>
  <si>
    <t>DT_SAPOPTIONS</t>
  </si>
  <si>
    <t>DT_MIRO_6211_RM08MXWARE_BNK</t>
  </si>
  <si>
    <t>0</t>
  </si>
  <si>
    <t>/nmir4</t>
  </si>
  <si>
    <t>DT_MIRO_0750_CHECK_GETCELLVALUE_OF_GRIDCELL_0_BSCHL</t>
  </si>
  <si>
    <t>96</t>
  </si>
  <si>
    <t>10003277</t>
  </si>
  <si>
    <t>22712201</t>
  </si>
  <si>
    <t>Row</t>
  </si>
  <si>
    <t>DT_MIRO_6000_TRANSACTION</t>
  </si>
  <si>
    <t>Formulas Date</t>
  </si>
  <si>
    <t>Verifications</t>
  </si>
  <si>
    <t>Execution Control Data</t>
  </si>
  <si>
    <t>DT_MIRO_6000_CHECK_TEXT_OF_STATUSBAR_OCC1</t>
  </si>
  <si>
    <t>DT_MIRO_0010_INVOICE_DATE</t>
  </si>
  <si>
    <t>DT_MIRO_0750_CHECK_GETCELLVALUE_OF_GRIDCELL_2_BSCHL</t>
  </si>
  <si>
    <t>DT_MIRO_0750_CHECK_GETCELLVALUE_OF_GRIDCELL_3_KTONR</t>
  </si>
  <si>
    <t>EN</t>
  </si>
  <si>
    <t>MIRO</t>
  </si>
  <si>
    <t>1</t>
  </si>
  <si>
    <t>Formulas General</t>
  </si>
  <si>
    <t>DT_MIRO_0750_CHECK_GETCELLVALUE_OF_GRIDCELL_0_KTONR</t>
  </si>
  <si>
    <t>Row1</t>
  </si>
  <si>
    <t>Test</t>
  </si>
  <si>
    <t>RG</t>
  </si>
  <si>
    <t>true</t>
  </si>
  <si>
    <t>DT_MIRO_0750_CHECK_TEXT_OF_DOCUMENT_NUMBER</t>
  </si>
  <si>
    <t>21</t>
  </si>
  <si>
    <t>50</t>
  </si>
  <si>
    <t>P2P_01_01_059-EDI process in R001_P3_Credit_Memo</t>
  </si>
  <si>
    <t>Fixed Data</t>
  </si>
  <si>
    <t>R1E - SAP RETAIL Pre-Production EUROPE</t>
  </si>
  <si>
    <t>DT_SAPPASSWORD</t>
  </si>
  <si>
    <t>DT_MIRO_0750_CHECK_GETCELLVALUE_OF_GRIDCELL_4_BSCHL</t>
  </si>
  <si>
    <t>Login Information</t>
  </si>
  <si>
    <t>DT_SAPUSER</t>
  </si>
  <si>
    <t>2</t>
  </si>
  <si>
    <t>DT_MIRO_6005_BASIC_DATA</t>
  </si>
  <si>
    <t>DT_INVOICE_NUMBER</t>
  </si>
  <si>
    <t>11621102</t>
  </si>
  <si>
    <t>DT_SAPCLIENT</t>
  </si>
  <si>
    <t>DT_MIRO_0150_DOC_TYPE</t>
  </si>
  <si>
    <t>DT_MIRO_6000_OKCD</t>
  </si>
  <si>
    <t>DT_MIRO_0750_CHECK_GETCELLVALUE_OF_GRIDCELL_2_KTONR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</si>
</sst>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59-EDI%20process%20in%20R001_P3_Credit_Memo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M17"/>
  <sheetViews>
    <sheetView topLeftCell="B1"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.25"/>
  <cols>
    <col min="1" max="2" width="9.125" style="21" customWidth="1"/>
    <col min="3" max="3" width="47.625" style="21" customWidth="1"/>
    <col min="4" max="4" width="38.125" style="21" customWidth="1"/>
    <col min="5" max="5" width="15" style="21" customWidth="1"/>
    <col min="6" max="6" width="13.625" style="21" customWidth="1"/>
    <col min="7" max="7" width="24.5" style="21" customWidth="1"/>
    <col min="8" max="8" width="18.625" style="21" customWidth="1"/>
    <col min="9" max="9" width="16.75" style="21" customWidth="1"/>
    <col min="10" max="10" width="27.125" style="21" customWidth="1"/>
    <col min="11" max="11" width="28.875" style="21" customWidth="1"/>
    <col min="12" max="12" width="29" style="21" customWidth="1"/>
    <col min="13" max="13" width="26.875" style="21" customWidth="1"/>
    <col min="14" max="14" width="41.75" style="21" customWidth="1"/>
    <col min="15" max="15" width="27.875" style="21" customWidth="1"/>
    <col min="16" max="16" width="33.25" style="21" customWidth="1"/>
    <col min="17" max="17" width="23.25" style="21" customWidth="1"/>
    <col min="18" max="18" width="25.375" style="21" customWidth="1"/>
    <col min="19" max="19" width="27" style="21" customWidth="1"/>
    <col min="20" max="20" width="30.875" style="21" customWidth="1"/>
    <col min="21" max="21" width="40.625" style="21" customWidth="1"/>
    <col min="22" max="22" width="23.5" style="21" customWidth="1"/>
    <col min="23" max="23" width="43.5" style="21" customWidth="1"/>
    <col min="24" max="24" width="21.25" style="21" customWidth="1"/>
    <col min="25" max="25" width="49.375" style="21" customWidth="1"/>
    <col min="26" max="26" width="20.5" style="21" customWidth="1"/>
    <col min="27" max="27" width="38.375" style="21" customWidth="1"/>
    <col min="28" max="28" width="27.875" style="21" customWidth="1"/>
    <col min="29" max="29" width="51.875" style="21" customWidth="1"/>
    <col min="30" max="34" width="59.875" style="21" customWidth="1"/>
    <col min="35" max="39" width="60.25" style="21" customWidth="1"/>
    <col min="40" max="16384" width="9.125" style="21" customWidth="1"/>
  </cols>
  <sheetData>
    <row r="1" ht="12.75" customHeight="1" customFormat="1">
      <c r="A1" t="s">
        <v>38</v>
      </c>
      <c r="B1" t="s">
        <v>52</v>
      </c>
      <c r="C1" t="s">
        <v>15</v>
      </c>
      <c r="D1" t="s">
        <v>24</v>
      </c>
      <c r="E1" t="s">
        <v>70</v>
      </c>
      <c r="F1" t="s">
        <v>65</v>
      </c>
      <c r="G1" t="s">
        <v>62</v>
      </c>
      <c r="H1" t="s">
        <v>29</v>
      </c>
      <c r="I1" t="s">
        <v>30</v>
      </c>
      <c r="J1" t="s">
        <v>1</v>
      </c>
      <c r="K1" t="s">
        <v>39</v>
      </c>
      <c r="L1" t="s">
        <v>44</v>
      </c>
      <c r="M1" t="s">
        <v>11</v>
      </c>
      <c r="N1" t="s">
        <v>2</v>
      </c>
      <c r="O1" t="s">
        <v>12</v>
      </c>
      <c r="P1" t="s">
        <v>31</v>
      </c>
      <c r="Q1" t="s">
        <v>3</v>
      </c>
      <c r="R1" t="s">
        <v>71</v>
      </c>
      <c r="S1" t="s">
        <v>67</v>
      </c>
      <c r="T1" t="s">
        <v>17</v>
      </c>
      <c r="U1" t="s">
        <v>13</v>
      </c>
      <c r="V1" t="s">
        <v>4</v>
      </c>
      <c r="W1" t="s">
        <v>18</v>
      </c>
      <c r="X1" t="s">
        <v>68</v>
      </c>
      <c r="Y1" t="s">
        <v>43</v>
      </c>
      <c r="Z1" t="s">
        <v>72</v>
      </c>
      <c r="AA1" t="s">
        <v>25</v>
      </c>
      <c r="AB1" t="s">
        <v>8</v>
      </c>
      <c r="AC1" t="s">
        <v>56</v>
      </c>
      <c r="AD1" t="s">
        <v>34</v>
      </c>
      <c r="AE1" t="s">
        <v>5</v>
      </c>
      <c r="AF1" t="s">
        <v>45</v>
      </c>
      <c r="AG1" t="s">
        <v>19</v>
      </c>
      <c r="AH1" t="s">
        <v>63</v>
      </c>
      <c r="AI1" t="s">
        <v>51</v>
      </c>
      <c r="AJ1" t="s">
        <v>26</v>
      </c>
      <c r="AK1" t="s">
        <v>73</v>
      </c>
      <c r="AL1" t="s">
        <v>46</v>
      </c>
      <c r="AM1" t="s">
        <v>14</v>
      </c>
    </row>
    <row r="2" s="16" customFormat="1">
      <c r="A2" s="1">
        <v>1</v>
      </c>
      <c r="B2" s="1">
        <v>2</v>
      </c>
      <c r="C2" s="1" t="s">
        <v>59</v>
      </c>
      <c r="D2" s="6" t="s">
        <v>61</v>
      </c>
      <c r="E2" s="6" t="s">
        <v>21</v>
      </c>
      <c r="F2" s="6" t="s">
        <v>22</v>
      </c>
      <c r="G2" s="6" t="s">
        <v>7</v>
      </c>
      <c r="H2" s="6" t="s">
        <v>47</v>
      </c>
      <c r="I2" s="1" t="s">
        <v>0</v>
      </c>
      <c r="J2" s="1" t="s">
        <v>48</v>
      </c>
      <c r="K2" s="1" t="s">
        <v>66</v>
      </c>
      <c r="L2" s="9">
        <f ca="1">TODAY()</f>
        <v>45961</v>
      </c>
      <c r="M2" s="8" t="str">
        <f>"CNPO"&amp;O2</f>
        <v>CNPO5236300165</v>
      </c>
      <c r="N2" s="5" t="s">
        <v>49</v>
      </c>
      <c r="O2" s="10">
        <v>5236300165</v>
      </c>
      <c r="P2" s="5" t="s">
        <v>49</v>
      </c>
      <c r="Q2" s="5" t="s">
        <v>66</v>
      </c>
      <c r="R2" s="5" t="s">
        <v>54</v>
      </c>
      <c r="S2" s="5" t="s">
        <v>32</v>
      </c>
      <c r="T2" s="5" t="s">
        <v>55</v>
      </c>
      <c r="U2" s="7" t="e">
        <f>[1]Output!C2</f>
        <v>#REF!</v>
      </c>
      <c r="V2" s="3" t="e">
        <f>LEFT(([1]Output!C2),LEN(([1]Output!C2))-1)</f>
        <v>#REF!</v>
      </c>
      <c r="W2" s="7" t="e">
        <f>"Document no. "&amp;[1]Output!D2&amp;" created"</f>
        <v>#REF!</v>
      </c>
      <c r="X2" s="7" t="e">
        <f>[1]Output!D2</f>
        <v>#REF!</v>
      </c>
      <c r="Y2" s="3" t="e">
        <f>"Document no. "&amp;X2&amp;" created"</f>
        <v>#REF!</v>
      </c>
      <c r="Z2" s="1" t="s">
        <v>33</v>
      </c>
      <c r="AA2" s="8" t="e">
        <f>X2</f>
        <v>#REF!</v>
      </c>
      <c r="AB2" s="8" t="str">
        <f ca="1">TEXT(TODAY(),"yyyy")</f>
        <v>2025</v>
      </c>
      <c r="AC2" s="7" t="e">
        <f>[1]Output!E2</f>
        <v>#REF!</v>
      </c>
      <c r="AD2" s="3" t="s">
        <v>57</v>
      </c>
      <c r="AE2" s="3" t="s">
        <v>35</v>
      </c>
      <c r="AF2" s="3" t="s">
        <v>35</v>
      </c>
      <c r="AG2" s="3" t="s">
        <v>58</v>
      </c>
      <c r="AH2" s="3" t="s">
        <v>58</v>
      </c>
      <c r="AI2" s="3" t="s">
        <v>36</v>
      </c>
      <c r="AJ2" s="3" t="s">
        <v>37</v>
      </c>
      <c r="AK2" s="3" t="s">
        <v>37</v>
      </c>
      <c r="AL2" s="3" t="s">
        <v>69</v>
      </c>
      <c r="AM2" s="20" t="s">
        <v>69</v>
      </c>
    </row>
    <row r="3" s="16" customFormat="1">
      <c r="A3" s="1">
        <v>2</v>
      </c>
      <c r="B3" s="1">
        <v>3</v>
      </c>
      <c r="C3" s="1" t="s">
        <v>53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8"/>
    </row>
    <row r="4" s="16" customFormat="1">
      <c r="A4" s="1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8"/>
    </row>
    <row r="5" s="16" customFormat="1">
      <c r="A5" s="1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8"/>
    </row>
    <row r="6" s="16" customFormat="1">
      <c r="A6" s="1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8"/>
    </row>
    <row r="7" s="16" customFormat="1">
      <c r="A7" s="1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8"/>
    </row>
    <row r="8" s="11" customFormat="1">
      <c r="A8" s="15"/>
      <c r="B8" s="2"/>
      <c r="C8" s="6" t="s">
        <v>64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2"/>
    </row>
    <row r="9" s="11" customFormat="1">
      <c r="A9" s="15"/>
      <c r="B9" s="2"/>
      <c r="C9" s="5" t="s">
        <v>28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12"/>
    </row>
    <row r="10" s="11" customFormat="1">
      <c r="A10" s="15"/>
      <c r="B10" s="2"/>
      <c r="C10" s="19" t="s">
        <v>60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12"/>
    </row>
    <row r="11" s="11" customFormat="1">
      <c r="A11" s="15"/>
      <c r="B11" s="2"/>
      <c r="C11" s="7" t="s">
        <v>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2"/>
    </row>
    <row r="12" s="11" customFormat="1">
      <c r="A12" s="15"/>
      <c r="B12" s="2"/>
      <c r="C12" s="9" t="s">
        <v>40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12"/>
    </row>
    <row r="13" s="11" customFormat="1">
      <c r="A13" s="15"/>
      <c r="B13" s="2"/>
      <c r="C13" s="8" t="s">
        <v>50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12"/>
    </row>
    <row r="14" s="11" customFormat="1">
      <c r="A14" s="15"/>
      <c r="B14" s="2"/>
      <c r="C14" s="3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2"/>
    </row>
    <row r="15" s="11" customFormat="1">
      <c r="A15" s="15"/>
      <c r="B15" s="2"/>
      <c r="C15" s="13" t="s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12"/>
    </row>
    <row r="16" s="11" customFormat="1">
      <c r="A16" s="15"/>
      <c r="B16" s="2"/>
      <c r="C16" s="10" t="s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12"/>
    </row>
    <row r="17" s="11" customFormat="1">
      <c r="A17" s="15"/>
      <c r="B17" s="2"/>
      <c r="C17" s="17" t="s">
        <v>42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12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topLeftCell="C1" workbookViewId="0">
      <selection activeCell="C2" sqref="C2"/>
    </sheetView>
  </sheetViews>
  <sheetFormatPr defaultColWidth="9.125" defaultRowHeight="14.25"/>
  <cols>
    <col min="1" max="1" width="9.125" style="11" customWidth="1"/>
    <col min="2" max="2" width="47.375" style="11" customWidth="1"/>
    <col min="3" max="3" width="49.5" style="11" customWidth="1"/>
    <col min="4" max="4" width="51.875" style="11" customWidth="1"/>
    <col min="5" max="5" width="62.5" style="11" customWidth="1"/>
    <col min="6" max="16384" width="9.125" style="11" customWidth="1"/>
  </cols>
  <sheetData>
    <row r="1" ht="12.75" customHeight="1" customFormat="1">
      <c r="A1" t="s">
        <v>52</v>
      </c>
      <c r="B1" t="s">
        <v>15</v>
      </c>
      <c r="C1" t="s">
        <v>6</v>
      </c>
      <c r="D1" t="s">
        <v>20</v>
      </c>
      <c r="E1" t="s">
        <v>27</v>
      </c>
    </row>
    <row r="2">
      <c r="A2" s="1">
        <v>2</v>
      </c>
      <c r="B2" s="1" t="s">
        <v>59</v>
      </c>
      <c r="C2" s="2" t="s">
        <v>23</v>
      </c>
      <c r="D2" s="2"/>
      <c r="E2" s="12">
        <v>5300000539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