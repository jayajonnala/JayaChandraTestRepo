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T1_DataTransfer_One" sheetId="3" r:id="rId3"/>
    <sheet name="TC4_DT2_DataTransfer_two" sheetId="4" r:id="rId4"/>
    <sheet name="TC1_Test_P2P_01_01_0279_P1" sheetId="5" r:id="rId5"/>
    <sheet name="TC3_Test_P2P_01_01_0279_P2" sheetId="6" r:id="rId6"/>
    <sheet name="TC5_Test_P2P_01_01_0279_P3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<sst xmlns="http://schemas.openxmlformats.org/spreadsheetml/2006/main" uniqueCount="55">
  <si>
    <t/>
  </si>
  <si>
    <t>DT_SAPTRANSACTIONCODE</t>
  </si>
  <si>
    <t>DT_MR8M_0010_INVOICE_DATE</t>
  </si>
  <si>
    <t>DT_MR8M_6000_CHECK_MESSAGEPARAMETER_OF_STATUSBAR_OUTPUT</t>
  </si>
  <si>
    <t>DT_MR8M_0300_INVOICE_DOCUMENT_NO_OCC1</t>
  </si>
  <si>
    <t>DT_MR8M_0300_CHECK_MESSAGEPARAMETER_OF_STATUSBAR_OUTPUT</t>
  </si>
  <si>
    <t>DT_MR8M_6000_CHECK_TEXT_OF_BALANCE_OUTPUT</t>
  </si>
  <si>
    <t>Verifications Date</t>
  </si>
  <si>
    <t>Data Coming from another test</t>
  </si>
  <si>
    <t>DT_MR8M_0300_CHECK_TEXT_OF_STATUSBAR</t>
  </si>
  <si>
    <t>DT_MR8M_6211_RM08MXWARE_BNK</t>
  </si>
  <si>
    <t>Output Data</t>
  </si>
  <si>
    <t>DT_MR8M_0300_CHECK_MESSAGEPARAMETER_OF_STATUSBAR_OCC1</t>
  </si>
  <si>
    <t>/nMIRO</t>
  </si>
  <si>
    <t>200</t>
  </si>
  <si>
    <t>AUTOMI</t>
  </si>
  <si>
    <t>ON</t>
  </si>
  <si>
    <t>DT_MR8M_0300_CHECK_MESSAGEPARAMETER_OF_STATUSBAR_OCC1_OUTPUT</t>
  </si>
  <si>
    <t>DT_SAPSYSTEM</t>
  </si>
  <si>
    <t>DT_MR8M_0300_FISCAL_YEAR</t>
  </si>
  <si>
    <t>Input Data</t>
  </si>
  <si>
    <t>DT_SAPLANGUAGE</t>
  </si>
  <si>
    <t>DT_SAPOPTIONS</t>
  </si>
  <si>
    <t>DT_MR8M_6000_CHECK_MESSAGEPARAMETER_OF_STATUSBAR</t>
  </si>
  <si>
    <t>SCENARIO</t>
  </si>
  <si>
    <t>Formulas Date</t>
  </si>
  <si>
    <t>Verifications</t>
  </si>
  <si>
    <t>Execution Control Data</t>
  </si>
  <si>
    <t>DT_MR8M_0300_REVERSAL_REASON</t>
  </si>
  <si>
    <t>DT_MR8M_0010_AMOUNT</t>
  </si>
  <si>
    <t>DT_MR8M_0010_REFERENCE</t>
  </si>
  <si>
    <t>DT_MR8M_6000_CHECK_TEXT_OF_STATUSBAR</t>
  </si>
  <si>
    <t>EN</t>
  </si>
  <si>
    <t>1</t>
  </si>
  <si>
    <t>DT_MR8M_0010_POSTING_DATE</t>
  </si>
  <si>
    <t>Formulas General</t>
  </si>
  <si>
    <t>5b5f0aee3c26d60409800093</t>
  </si>
  <si>
    <t>DT_MR8M_0300_CHECK_TEXT_OF_STATUSBAR_OCC1</t>
  </si>
  <si>
    <t>DT_MR8M_6211_RM08MEBELN</t>
  </si>
  <si>
    <t>DT_MR8M_0300_INVOICE_DOCUMENT_NO</t>
  </si>
  <si>
    <t>03</t>
  </si>
  <si>
    <t>R1E - SAP RETAIL Pre-Production EUROPE</t>
  </si>
  <si>
    <t>Fixed Data</t>
  </si>
  <si>
    <t>DT_SAPPASSWORD</t>
  </si>
  <si>
    <t>DUPLICATE_100</t>
  </si>
  <si>
    <t>ROW</t>
  </si>
  <si>
    <t>Login Information</t>
  </si>
  <si>
    <t>DT_SAPUSER</t>
  </si>
  <si>
    <t>MR8M</t>
  </si>
  <si>
    <t>DT_MR8M_0300_CHECK_MESSAGEPARAMETER_OF_STATUSBAR</t>
  </si>
  <si>
    <t>DT_MR8M_6000_CHECK_TEXT_OF_BALANCE</t>
  </si>
  <si>
    <t>334,53-</t>
  </si>
  <si>
    <t>DT_SAPCLIENT</t>
  </si>
  <si>
    <t>DT_MR8M_0300_OKCD</t>
  </si>
  <si>
    <t>DT_MR8M_0010_CALCULATE_TAX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</si>
</sst>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Alignment="1" applyProtection="1">
      <alignment horizontal="left"/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3" fillId="5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79-Duplicate%20invoice%20check_P3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25" defaultRowHeight="14.25"/>
  <cols>
    <col min="1" max="1" width="9.125" style="9" customWidth="1"/>
    <col min="2" max="2" width="10.625" style="9" customWidth="1"/>
    <col min="3" max="3" width="38.125" style="9" customWidth="1"/>
    <col min="4" max="4" width="15" style="9" customWidth="1"/>
    <col min="5" max="5" width="13.625" style="9" customWidth="1"/>
    <col min="6" max="6" width="25.75" style="9" customWidth="1"/>
    <col min="7" max="7" width="18.625" style="9" customWidth="1"/>
    <col min="8" max="8" width="16.75" style="9" customWidth="1"/>
    <col min="9" max="9" width="27.125" style="9" customWidth="1"/>
    <col min="10" max="10" width="39.375" style="9" customWidth="1"/>
    <col min="11" max="11" width="28.5" style="9" customWidth="1"/>
    <col min="12" max="12" width="34.875" style="9" customWidth="1"/>
    <col min="13" max="13" width="60.125" style="9" customWidth="1"/>
    <col min="14" max="14" width="76.75" style="9" customWidth="1"/>
    <col min="15" max="15" width="45.25" style="9" customWidth="1"/>
    <col min="16" max="16" width="66" style="9" customWidth="1"/>
    <col min="17" max="17" width="71.125" style="9" customWidth="1"/>
    <col min="18" max="18" width="21.125" style="9" customWidth="1"/>
    <col min="19" max="19" width="28.5" style="9" customWidth="1"/>
    <col min="20" max="20" width="34.375" style="9" customWidth="1"/>
    <col min="21" max="21" width="29.625" style="9" customWidth="1"/>
    <col min="22" max="22" width="27.5" style="9" customWidth="1"/>
    <col min="23" max="23" width="30.5" style="9" customWidth="1"/>
    <col min="24" max="24" width="31.5" style="9" customWidth="1"/>
    <col min="25" max="25" width="41.25" style="9" customWidth="1"/>
    <col min="26" max="26" width="24.375" style="9" customWidth="1"/>
    <col min="27" max="27" width="60.125" style="9" customWidth="1"/>
    <col min="28" max="28" width="44.125" style="9" customWidth="1"/>
    <col min="29" max="16384" width="9.25" style="9" customWidth="1"/>
  </cols>
  <sheetData>
    <row r="1" ht="12.75" customHeight="1" customFormat="1">
      <c r="A1" t="s">
        <v>45</v>
      </c>
      <c r="B1" t="s">
        <v>24</v>
      </c>
      <c r="C1" t="s">
        <v>18</v>
      </c>
      <c r="D1" t="s">
        <v>52</v>
      </c>
      <c r="E1" t="s">
        <v>47</v>
      </c>
      <c r="F1" t="s">
        <v>43</v>
      </c>
      <c r="G1" t="s">
        <v>21</v>
      </c>
      <c r="H1" t="s">
        <v>22</v>
      </c>
      <c r="I1" t="s">
        <v>1</v>
      </c>
      <c r="J1" t="s">
        <v>39</v>
      </c>
      <c r="K1" t="s">
        <v>19</v>
      </c>
      <c r="L1" t="s">
        <v>28</v>
      </c>
      <c r="M1" t="s">
        <v>49</v>
      </c>
      <c r="N1" t="s">
        <v>9</v>
      </c>
      <c r="O1" t="s">
        <v>4</v>
      </c>
      <c r="P1" t="s">
        <v>12</v>
      </c>
      <c r="Q1" t="s">
        <v>37</v>
      </c>
      <c r="R1" t="s">
        <v>53</v>
      </c>
      <c r="S1" t="s">
        <v>38</v>
      </c>
      <c r="T1" t="s">
        <v>10</v>
      </c>
      <c r="U1" t="s">
        <v>2</v>
      </c>
      <c r="V1" t="s">
        <v>30</v>
      </c>
      <c r="W1" t="s">
        <v>34</v>
      </c>
      <c r="X1" t="s">
        <v>54</v>
      </c>
      <c r="Y1" t="s">
        <v>50</v>
      </c>
      <c r="Z1" t="s">
        <v>29</v>
      </c>
      <c r="AA1" t="s">
        <v>23</v>
      </c>
      <c r="AB1" t="s">
        <v>31</v>
      </c>
    </row>
    <row r="2">
      <c r="A2" s="1">
        <v>2</v>
      </c>
      <c r="B2" s="1"/>
      <c r="C2" s="2" t="s">
        <v>41</v>
      </c>
      <c r="D2" s="2" t="s">
        <v>14</v>
      </c>
      <c r="E2" s="2" t="s">
        <v>15</v>
      </c>
      <c r="F2" s="2" t="s">
        <v>36</v>
      </c>
      <c r="G2" s="2" t="s">
        <v>32</v>
      </c>
      <c r="H2" s="2" t="s">
        <v>0</v>
      </c>
      <c r="I2" s="3" t="s">
        <v>48</v>
      </c>
      <c r="J2" s="6">
        <v>6056580411</v>
      </c>
      <c r="K2" s="12">
        <f ca="1">YEAR(TODAY())</f>
        <v>2025</v>
      </c>
      <c r="L2" s="3" t="s">
        <v>40</v>
      </c>
      <c r="M2" s="4" t="e">
        <f xml:space="preserve"> [1]Output!C2</f>
        <v>#REF!</v>
      </c>
      <c r="N2" s="7" t="e">
        <f>CONCATENATE("Document reversed with no. ",M2,": Please manually clear FI documents")</f>
        <v>#REF!</v>
      </c>
      <c r="O2" s="6">
        <v>6056580412</v>
      </c>
      <c r="P2" s="4" t="e">
        <f>[1]Output!D2</f>
        <v>#REF!</v>
      </c>
      <c r="Q2" s="7" t="e">
        <f>CONCATENATE("Document reversed with no. ",P2,": Please manually clear FI documents")</f>
        <v>#REF!</v>
      </c>
      <c r="R2" s="3" t="s">
        <v>13</v>
      </c>
      <c r="S2" s="6">
        <v>5236300461</v>
      </c>
      <c r="T2" s="3" t="s">
        <v>33</v>
      </c>
      <c r="U2" s="8">
        <f ca="1">TODAY()</f>
        <v>45961</v>
      </c>
      <c r="V2" s="6" t="s">
        <v>44</v>
      </c>
      <c r="W2" s="8">
        <f ca="1">TODAY()</f>
        <v>45961</v>
      </c>
      <c r="X2" s="3" t="s">
        <v>16</v>
      </c>
      <c r="Y2" s="4" t="e">
        <f xml:space="preserve"> [1]Output!E2</f>
        <v>#REF!</v>
      </c>
      <c r="Z2" s="3" t="e">
        <f>LEFT(Y2,6)</f>
        <v>#REF!</v>
      </c>
      <c r="AA2" s="4" t="e">
        <f xml:space="preserve"> [1]Output!F2</f>
        <v>#REF!</v>
      </c>
      <c r="AB2" s="16" t="e">
        <f>CONCATENATE("Document no. ",AA2," created")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0"/>
    </row>
    <row r="4">
      <c r="A4" s="1"/>
      <c r="B4" s="1"/>
      <c r="C4" s="2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0"/>
    </row>
    <row r="5">
      <c r="A5" s="1"/>
      <c r="B5" s="1"/>
      <c r="C5" s="3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0"/>
    </row>
    <row r="6">
      <c r="A6" s="1"/>
      <c r="B6" s="1"/>
      <c r="C6" s="15" t="s">
        <v>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0"/>
    </row>
    <row r="7">
      <c r="A7" s="1"/>
      <c r="B7" s="1"/>
      <c r="C7" s="4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0"/>
    </row>
    <row r="8">
      <c r="A8" s="1"/>
      <c r="B8" s="1"/>
      <c r="C8" s="8" t="s">
        <v>25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0"/>
    </row>
    <row r="9">
      <c r="A9" s="1"/>
      <c r="B9" s="1"/>
      <c r="C9" s="13" t="s">
        <v>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0"/>
    </row>
    <row r="10">
      <c r="A10" s="1"/>
      <c r="B10" s="1"/>
      <c r="C10" s="7" t="s">
        <v>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0"/>
    </row>
    <row r="11">
      <c r="A11" s="1"/>
      <c r="B11" s="1"/>
      <c r="C11" s="1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0"/>
    </row>
    <row r="12">
      <c r="A12" s="1"/>
      <c r="B12" s="1"/>
      <c r="C12" s="6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0"/>
    </row>
    <row r="13">
      <c r="A13" s="1"/>
      <c r="B13" s="1"/>
      <c r="C13" s="14" t="s">
        <v>27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45</v>
      </c>
      <c r="B1" t="s">
        <v>24</v>
      </c>
      <c r="C1" t="s">
        <v>5</v>
      </c>
      <c r="D1" t="s">
        <v>17</v>
      </c>
      <c r="E1" t="s">
        <v>3</v>
      </c>
      <c r="F1" t="s">
        <v>6</v>
      </c>
    </row>
    <row r="2">
      <c r="A2" s="1"/>
      <c r="B2" s="1"/>
      <c r="C2" s="1">
        <v>6056580238</v>
      </c>
      <c r="D2" s="1">
        <v>6056580239</v>
      </c>
      <c r="E2" s="1">
        <v>6056580240</v>
      </c>
      <c r="F2" s="10" t="s">
        <v>51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