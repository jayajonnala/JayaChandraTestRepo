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1_Test_S2A_PRI_02_028-Check" sheetId="3" r:id="rId3"/>
    <sheet name="TC2_Wait1" sheetId="4" r:id="rId4"/>
    <sheet name="TC3_DT1_DataTransfer_One" sheetId="5" r:id="rId5"/>
    <sheet name="TC4_Test_S2A_PRI_02_028-Artemis" sheetId="6" r:id="rId6"/>
    <sheet name="TC5_DT2_DataTransfer_Two" sheetId="7" r:id="rId7"/>
    <sheet name="TC6_Test_S2A_PRI_02_029-Delete" sheetId="8" r:id="rId8"/>
    <sheet name="TC8_Wait2" sheetId="9" r:id="rId9"/>
  </sheets>
  <calcPr calcId="40001"/>
</workbook>
</file>

<file path=xl/sharedStrings.xml><?xml version="1.0" encoding="utf-8"?>
<sst xmlns="http://schemas.openxmlformats.org/spreadsheetml/2006/main" uniqueCount="85">
  <si>
    <t>DT_P_FIELD_ID_VAL_ALEGE_C2</t>
  </si>
  <si>
    <t>DT_P_SEND_KEY_C3</t>
  </si>
  <si>
    <t>DT_P_FIELD_ID_VAL_YEAR_C6</t>
  </si>
  <si>
    <t>_2025</t>
  </si>
  <si>
    <t>S:\SAPTAORTL\TE Libraries\ARTEMIS Profile\Mega_image_Artemis.ws</t>
  </si>
  <si>
    <t>DT_P_FIELD_NAME_C3</t>
  </si>
  <si>
    <t>672</t>
  </si>
  <si>
    <t>DT_P_SEND_KEY_C7</t>
  </si>
  <si>
    <t>DT_P_FIELD_ID_VAL_TARIF_C9</t>
  </si>
  <si>
    <t>DT_P_FIELD_ID_VERIFY_PRICE_TYPE_C11</t>
  </si>
  <si>
    <t>807</t>
  </si>
  <si>
    <t>DT_USERNAME</t>
  </si>
  <si>
    <t>Verifications Date</t>
  </si>
  <si>
    <t>Data Coming from another test</t>
  </si>
  <si>
    <t>DT_P_FIELD_ID_C2</t>
  </si>
  <si>
    <t>_12</t>
  </si>
  <si>
    <t>_23</t>
  </si>
  <si>
    <t>_491</t>
  </si>
  <si>
    <t>_30</t>
  </si>
  <si>
    <t>Output Data</t>
  </si>
  <si>
    <t>DT_P_FIELD_ID_VAL_ALEGE</t>
  </si>
  <si>
    <t>DT_P_FIELD_ID_VAL_DAY_C4</t>
  </si>
  <si>
    <t>_49</t>
  </si>
  <si>
    <t>AUTOMI</t>
  </si>
  <si>
    <t>Sep2025</t>
  </si>
  <si>
    <t>23</t>
  </si>
  <si>
    <t>DT_P_FIELD_ID_VAL_ALEGE_C3</t>
  </si>
  <si>
    <t>DT_P_SEND_KEY_C4</t>
  </si>
  <si>
    <t>Master item</t>
  </si>
  <si>
    <t>DT_P_FIELD_ID_VAL_MASTER_ITEM_C7</t>
  </si>
  <si>
    <t>_6</t>
  </si>
  <si>
    <t>_92733</t>
  </si>
  <si>
    <t>DT_P_FIELD_NAME</t>
  </si>
  <si>
    <t>662</t>
  </si>
  <si>
    <t>DT_P_FIELD_NAME_C4</t>
  </si>
  <si>
    <t>582</t>
  </si>
  <si>
    <t>Input Data</t>
  </si>
  <si>
    <t>DT_P_FIELD_ID_C3</t>
  </si>
  <si>
    <t>_13</t>
  </si>
  <si>
    <t>SP1</t>
  </si>
  <si>
    <t>Row</t>
  </si>
  <si>
    <t>SCENARIO</t>
  </si>
  <si>
    <t>Tariff</t>
  </si>
  <si>
    <t>@9</t>
  </si>
  <si>
    <t>PASSWORD22</t>
  </si>
  <si>
    <t>Formulas Date</t>
  </si>
  <si>
    <t>Verifications</t>
  </si>
  <si>
    <t>Execution Control Data</t>
  </si>
  <si>
    <t>@E</t>
  </si>
  <si>
    <t>Choice</t>
  </si>
  <si>
    <t>DT_P_FIELD_NAME_C1</t>
  </si>
  <si>
    <t>DT_P_SEND_KEY_C1</t>
  </si>
  <si>
    <t>DT_P_SEND_KEY_C5</t>
  </si>
  <si>
    <t>DT_P_FIELD_ID_VAL_TIP_PRET_C8</t>
  </si>
  <si>
    <t>812</t>
  </si>
  <si>
    <t>S_SAPTAORTL_TE Libraries_ARTEMIS Profile_Mega_image_Artemis.ws</t>
  </si>
  <si>
    <t>S2A_PRI_02_029-Delete tariff per article in Artemis_P2</t>
  </si>
  <si>
    <t>DT_P_SEND_KEY</t>
  </si>
  <si>
    <t>DT_P_FIELD_NAME_C5</t>
  </si>
  <si>
    <t>DT_P_FIELD_ID_VAL_MONTH_C5</t>
  </si>
  <si>
    <t>_10</t>
  </si>
  <si>
    <t>DT_PASSWORD</t>
  </si>
  <si>
    <t>1</t>
  </si>
  <si>
    <t>667</t>
  </si>
  <si>
    <t>DT_P_FIELD_ID_VERIFY_TARIF_C10</t>
  </si>
  <si>
    <t>Formulas General</t>
  </si>
  <si>
    <t>DT_P_FIELD_ID_C4</t>
  </si>
  <si>
    <t>DT_P_FIELD_ID_VAL_ALEGE_C1</t>
  </si>
  <si>
    <t>DT_P_FIELD_NAME_C2</t>
  </si>
  <si>
    <t>DT_P_SEND_KEY_C2</t>
  </si>
  <si>
    <t>DT_P_SEND_KEY_C6</t>
  </si>
  <si>
    <t>Fixed Data</t>
  </si>
  <si>
    <t>DT_ENVIRONMENT</t>
  </si>
  <si>
    <t>SP</t>
  </si>
  <si>
    <t>_11</t>
  </si>
  <si>
    <t>ROW</t>
  </si>
  <si>
    <t>Login Information</t>
  </si>
  <si>
    <t>DT_P_KEY</t>
  </si>
  <si>
    <t>DT_P_FIELD_ID_C1</t>
  </si>
  <si>
    <t>DT_P_KEY_C1</t>
  </si>
  <si>
    <t>S2A_PRI_02_028-Check Tariff creation in Artemis_P2_ARTEMIS</t>
  </si>
  <si>
    <t>6</t>
  </si>
  <si>
    <t>DT_P_FIELD_ID</t>
  </si>
  <si>
    <t>DT_P_FIELD_ID_C5</t>
  </si>
  <si>
    <t>_1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</si>
</sst>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2" borderId="1" xfId="0" quotePrefix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0" fillId="0" borderId="0" xfId="0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164" fontId="1" fillId="3" borderId="2" xfId="0" applyNumberFormat="1" applyFont="1" applyFill="1" applyBorder="1" applyProtection="1">
      <protection locked="0"/>
    </xf>
    <xf numFmtId="0" fontId="1" fillId="0" borderId="1" xfId="0" quotePrefix="1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quotePrefix="1" applyFon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quotePrefix="1" applyFont="1" applyFill="1" applyBorder="1" applyProtection="1">
      <protection locked="0"/>
    </xf>
    <xf numFmtId="164" fontId="3" fillId="6" borderId="1" xfId="0" applyNumberFormat="1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16"/>
  <sheetViews>
    <sheetView topLeftCell="B1" zoomScale="80" workbookViewId="0">
      <pane xSplit="1" ySplit="0" topLeftCell="D2" activePane="topRight"/>
      <selection activeCell="D2" sqref="D2"/>
      <selection pane="topRight" activeCell="D2" sqref="D2"/>
    </sheetView>
  </sheetViews>
  <sheetFormatPr defaultColWidth="9.125" defaultRowHeight="14.25"/>
  <cols>
    <col min="1" max="1" width="5" style="11" customWidth="1"/>
    <col min="2" max="2" width="5.25" style="11" customWidth="1"/>
    <col min="3" max="3" width="51.25" style="11" customWidth="1"/>
    <col min="4" max="4" width="32.5" style="11" customWidth="1"/>
    <col min="5" max="5" width="15.625" style="11" customWidth="1"/>
    <col min="6" max="6" width="63.625" style="11" customWidth="1"/>
    <col min="7" max="7" width="10.75" style="11" customWidth="1"/>
    <col min="8" max="8" width="12.25" style="11" customWidth="1"/>
    <col min="9" max="27" width="13" style="11" customWidth="1"/>
    <col min="28" max="30" width="18.25" style="11" customWidth="1"/>
    <col min="31" max="31" width="14.125" style="11" customWidth="1"/>
    <col min="32" max="32" width="9.875" style="11" customWidth="1"/>
    <col min="33" max="33" width="24.25" style="11" customWidth="1"/>
    <col min="34" max="35" width="30.5" style="11" customWidth="1"/>
    <col min="36" max="36" width="16.5" style="11" customWidth="1"/>
    <col min="37" max="37" width="19.5" style="11" customWidth="1"/>
    <col min="38" max="38" width="17.125" style="11" customWidth="1"/>
    <col min="39" max="39" width="18.625" style="11" customWidth="1"/>
    <col min="40" max="40" width="19.125" style="11" customWidth="1"/>
    <col min="41" max="16384" width="9.125" style="11" customWidth="1"/>
  </cols>
  <sheetData>
    <row r="1" ht="12.75" customHeight="1" customFormat="1">
      <c r="A1" t="s">
        <v>40</v>
      </c>
      <c r="B1" t="s">
        <v>75</v>
      </c>
      <c r="C1" t="s">
        <v>41</v>
      </c>
      <c r="D1" t="s">
        <v>11</v>
      </c>
      <c r="E1" t="s">
        <v>61</v>
      </c>
      <c r="F1" t="s">
        <v>72</v>
      </c>
      <c r="G1" t="s">
        <v>77</v>
      </c>
      <c r="H1" t="s">
        <v>32</v>
      </c>
      <c r="I1" t="s">
        <v>20</v>
      </c>
      <c r="J1" t="s">
        <v>57</v>
      </c>
      <c r="K1" t="s">
        <v>50</v>
      </c>
      <c r="L1" t="s">
        <v>67</v>
      </c>
      <c r="M1" t="s">
        <v>51</v>
      </c>
      <c r="N1" t="s">
        <v>68</v>
      </c>
      <c r="O1" t="s">
        <v>0</v>
      </c>
      <c r="P1" t="s">
        <v>69</v>
      </c>
      <c r="Q1" t="s">
        <v>5</v>
      </c>
      <c r="R1" t="s">
        <v>26</v>
      </c>
      <c r="S1" t="s">
        <v>1</v>
      </c>
      <c r="T1" t="s">
        <v>82</v>
      </c>
      <c r="U1" t="s">
        <v>78</v>
      </c>
      <c r="V1" t="s">
        <v>14</v>
      </c>
      <c r="W1" t="s">
        <v>27</v>
      </c>
      <c r="X1" t="s">
        <v>34</v>
      </c>
      <c r="Y1" t="s">
        <v>52</v>
      </c>
      <c r="Z1" t="s">
        <v>37</v>
      </c>
      <c r="AA1" t="s">
        <v>70</v>
      </c>
      <c r="AB1" t="s">
        <v>29</v>
      </c>
      <c r="AC1" t="s">
        <v>58</v>
      </c>
      <c r="AD1" t="s">
        <v>7</v>
      </c>
      <c r="AE1" t="s">
        <v>79</v>
      </c>
      <c r="AF1" t="s">
        <v>8</v>
      </c>
      <c r="AG1" t="s">
        <v>53</v>
      </c>
      <c r="AH1" t="s">
        <v>64</v>
      </c>
      <c r="AI1" t="s">
        <v>9</v>
      </c>
      <c r="AJ1" t="s">
        <v>21</v>
      </c>
      <c r="AK1" t="s">
        <v>59</v>
      </c>
      <c r="AL1" t="s">
        <v>2</v>
      </c>
      <c r="AM1" t="s">
        <v>66</v>
      </c>
      <c r="AN1" t="s">
        <v>83</v>
      </c>
    </row>
    <row r="2" s="12" customFormat="1">
      <c r="A2" s="4">
        <v>1</v>
      </c>
      <c r="B2" s="4">
        <v>2</v>
      </c>
      <c r="C2" s="4" t="s">
        <v>80</v>
      </c>
      <c r="D2" s="8" t="s">
        <v>23</v>
      </c>
      <c r="E2" s="13" t="s">
        <v>24</v>
      </c>
      <c r="F2" s="8" t="s">
        <v>4</v>
      </c>
      <c r="G2" s="3" t="s">
        <v>48</v>
      </c>
      <c r="H2" s="9" t="s">
        <v>49</v>
      </c>
      <c r="I2" s="3" t="s">
        <v>62</v>
      </c>
      <c r="J2" s="3" t="s">
        <v>48</v>
      </c>
      <c r="K2" s="9" t="s">
        <v>49</v>
      </c>
      <c r="L2" s="3" t="s">
        <v>62</v>
      </c>
      <c r="M2" s="3" t="s">
        <v>48</v>
      </c>
      <c r="N2" s="9" t="s">
        <v>49</v>
      </c>
      <c r="O2" s="3" t="s">
        <v>25</v>
      </c>
      <c r="P2" s="3" t="s">
        <v>48</v>
      </c>
      <c r="Q2" s="9" t="s">
        <v>49</v>
      </c>
      <c r="R2" s="3" t="s">
        <v>81</v>
      </c>
      <c r="S2" s="3" t="s">
        <v>48</v>
      </c>
      <c r="T2" s="3" t="s">
        <v>33</v>
      </c>
      <c r="U2" s="3" t="s">
        <v>63</v>
      </c>
      <c r="V2" s="3" t="s">
        <v>6</v>
      </c>
      <c r="W2" s="3" t="s">
        <v>48</v>
      </c>
      <c r="X2" s="9" t="s">
        <v>28</v>
      </c>
      <c r="Y2" s="3" t="s">
        <v>48</v>
      </c>
      <c r="Z2" s="3" t="s">
        <v>35</v>
      </c>
      <c r="AA2" s="3" t="s">
        <v>48</v>
      </c>
      <c r="AB2" s="7">
        <v>92745</v>
      </c>
      <c r="AC2" s="9" t="s">
        <v>42</v>
      </c>
      <c r="AD2" s="3" t="s">
        <v>48</v>
      </c>
      <c r="AE2" s="20" t="s">
        <v>43</v>
      </c>
      <c r="AF2" s="2">
        <v>49</v>
      </c>
      <c r="AG2" s="2" t="s">
        <v>73</v>
      </c>
      <c r="AH2" s="10">
        <f t="shared" si="0" ref="AH2:AI3">AF2</f>
        <v>49</v>
      </c>
      <c r="AI2" s="10" t="str">
        <f t="shared" si="0"/>
        <v>SP</v>
      </c>
      <c r="AJ2" s="6" t="str">
        <f ca="1" t="shared" si="1" ref="AJ2:AJ3">TEXT(TODAY()+1, "DD")</f>
        <v>30</v>
      </c>
      <c r="AK2" s="6" t="str">
        <f ca="1" t="shared" si="2" ref="AK2:AK3">TEXT(TODAY(), "MM")</f>
        <v>10</v>
      </c>
      <c r="AL2" s="6" t="str">
        <f ca="1" t="shared" si="3" ref="AL2:AL3">TEXT(TODAY(), "YYYY")</f>
        <v>2025</v>
      </c>
      <c r="AM2" s="15" t="s">
        <v>10</v>
      </c>
      <c r="AN2" s="17" t="s">
        <v>54</v>
      </c>
    </row>
    <row r="3" ht="13.5" customHeight="1" s="12" customFormat="1">
      <c r="A3" s="4">
        <v>1</v>
      </c>
      <c r="B3" s="4">
        <v>3</v>
      </c>
      <c r="C3" s="4" t="s">
        <v>56</v>
      </c>
      <c r="D3" s="8" t="s">
        <v>23</v>
      </c>
      <c r="E3" s="13" t="s">
        <v>24</v>
      </c>
      <c r="F3" s="8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7">
        <v>92733</v>
      </c>
      <c r="AC3" s="7"/>
      <c r="AD3" s="7"/>
      <c r="AE3" s="7"/>
      <c r="AF3" s="2">
        <v>49</v>
      </c>
      <c r="AG3" s="2" t="s">
        <v>73</v>
      </c>
      <c r="AH3" s="10">
        <f t="shared" si="0"/>
        <v>49</v>
      </c>
      <c r="AI3" s="10" t="str">
        <f t="shared" si="0"/>
        <v>SP</v>
      </c>
      <c r="AJ3" s="6" t="str">
        <f ca="1" t="shared" si="1"/>
        <v>30</v>
      </c>
      <c r="AK3" s="6" t="str">
        <f ca="1" t="shared" si="2"/>
        <v>10</v>
      </c>
      <c r="AL3" s="6" t="str">
        <f ca="1" t="shared" si="3"/>
        <v>2025</v>
      </c>
      <c r="AM3" s="4"/>
      <c r="AN3" s="22"/>
    </row>
    <row r="4">
      <c r="A4" s="4">
        <v>2</v>
      </c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0" t="str">
        <f>SUBSTITUTE(TEXT(AG2,"#####,0000"),",",".")</f>
        <v>SP</v>
      </c>
      <c r="AJ4" s="1"/>
      <c r="AK4" s="1"/>
      <c r="AL4" s="1"/>
      <c r="AM4" s="1"/>
      <c r="AN4" s="19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9"/>
    </row>
    <row r="7">
      <c r="A7" s="1"/>
      <c r="B7" s="1"/>
      <c r="C7" s="4"/>
      <c r="D7" s="8" t="s">
        <v>76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9"/>
    </row>
    <row r="8">
      <c r="A8" s="1"/>
      <c r="B8" s="1"/>
      <c r="C8" s="4"/>
      <c r="D8" s="2" t="s">
        <v>36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9"/>
    </row>
    <row r="9">
      <c r="A9" s="1"/>
      <c r="B9" s="1"/>
      <c r="C9" s="4"/>
      <c r="D9" s="16" t="s">
        <v>71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9"/>
    </row>
    <row r="10">
      <c r="A10" s="1"/>
      <c r="B10" s="1"/>
      <c r="C10" s="4"/>
      <c r="D10" s="23" t="s">
        <v>19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9"/>
    </row>
    <row r="11">
      <c r="A11" s="1"/>
      <c r="B11" s="1"/>
      <c r="C11" s="4"/>
      <c r="D11" s="6" t="s">
        <v>45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9"/>
    </row>
    <row r="12">
      <c r="A12" s="1"/>
      <c r="B12" s="1"/>
      <c r="C12" s="4"/>
      <c r="D12" s="24" t="s">
        <v>65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9"/>
    </row>
    <row r="13">
      <c r="A13" s="1"/>
      <c r="B13" s="1"/>
      <c r="C13" s="4"/>
      <c r="D13" s="10" t="s">
        <v>46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9"/>
    </row>
    <row r="14">
      <c r="A14" s="1"/>
      <c r="B14" s="1"/>
      <c r="C14" s="4"/>
      <c r="D14" s="21" t="s">
        <v>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9"/>
    </row>
    <row r="15">
      <c r="A15" s="1"/>
      <c r="B15" s="1"/>
      <c r="C15" s="4"/>
      <c r="D15" s="7" t="s">
        <v>13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9"/>
    </row>
    <row r="16">
      <c r="A16" s="1"/>
      <c r="B16" s="1"/>
      <c r="C16" s="4"/>
      <c r="D16" s="18" t="s">
        <v>47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R2"/>
  <sheetViews>
    <sheetView workbookViewId="0">
      <selection activeCell="A2" sqref="A2"/>
    </sheetView>
  </sheetViews>
  <sheetFormatPr defaultColWidth="9.42578125" defaultRowHeight="14.25"/>
  <cols>
    <col min="1" max="16384" width="9.42578125" style="11" customWidth="1"/>
  </cols>
  <sheetData>
    <row r="1" ht="14.85" customFormat="1">
      <c r="A1" t="s">
        <v>84</v>
      </c>
      <c r="B1" t="s">
        <v>74</v>
      </c>
      <c r="C1" t="s">
        <v>80</v>
      </c>
      <c r="D1" t="s">
        <v>23</v>
      </c>
      <c r="E1" t="s">
        <v>44</v>
      </c>
      <c r="F1" t="s">
        <v>55</v>
      </c>
      <c r="G1" t="s">
        <v>15</v>
      </c>
      <c r="H1" t="s">
        <v>38</v>
      </c>
      <c r="I1" t="s">
        <v>16</v>
      </c>
      <c r="J1" t="s">
        <v>30</v>
      </c>
      <c r="K1" t="s">
        <v>31</v>
      </c>
      <c r="L1" t="s">
        <v>22</v>
      </c>
      <c r="M1" t="s">
        <v>73</v>
      </c>
      <c r="N1" t="s">
        <v>17</v>
      </c>
      <c r="O1" t="s">
        <v>39</v>
      </c>
      <c r="P1" t="s">
        <v>18</v>
      </c>
      <c r="Q1" t="s">
        <v>60</v>
      </c>
      <c r="R1" t="s">
        <v>3</v>
      </c>
    </row>
    <row r="2" ht="13.5" customHeight="1" s="12" customFormat="1">
      <c r="A2" s="4">
        <v>1</v>
      </c>
      <c r="B2" s="4">
        <v>2</v>
      </c>
      <c r="C2" s="4" t="s">
        <v>56</v>
      </c>
      <c r="D2" s="8" t="s">
        <v>23</v>
      </c>
      <c r="E2" s="8" t="s">
        <v>44</v>
      </c>
      <c r="F2" s="8" t="s">
        <v>4</v>
      </c>
      <c r="G2" s="2">
        <v>1</v>
      </c>
      <c r="H2" s="2">
        <v>1</v>
      </c>
      <c r="I2" s="2">
        <v>23</v>
      </c>
      <c r="J2" s="2">
        <v>6</v>
      </c>
      <c r="K2" s="7">
        <v>92733</v>
      </c>
      <c r="L2" s="2">
        <v>49</v>
      </c>
      <c r="M2" s="2" t="s">
        <v>73</v>
      </c>
      <c r="N2" s="10">
        <f t="shared" si="0" ref="N2:O2">L2</f>
        <v>49</v>
      </c>
      <c r="O2" s="10" t="str">
        <f t="shared" si="0"/>
        <v>SP</v>
      </c>
      <c r="P2" s="6" t="str">
        <f ca="1">TEXT(TODAY()+1, "DD")</f>
        <v>30</v>
      </c>
      <c r="Q2" s="6" t="str">
        <f ca="1">TEXT(TODAY(), "MM")</f>
        <v>10</v>
      </c>
      <c r="R2" s="14" t="str">
        <f ca="1">TEXT(TODAY(), "YYYY")</f>
        <v>2025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