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RE_MI10_SLOC_TASE" sheetId="3" r:id="rId3"/>
    <sheet name="TC2_P2P_01_01_0269_P1_GI_TASE" sheetId="4" r:id="rId4"/>
    <sheet name="TC3_P2P_01_01_0269_P2_Scrapping" sheetId="5" r:id="rId5"/>
    <sheet name="DataTransfer_1" sheetId="6" r:id="rId6"/>
    <sheet name="TC4_P2P_01_0269_P3_2nd_SO_TASE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<sst xmlns="http://schemas.openxmlformats.org/spreadsheetml/2006/main" uniqueCount="298">
  <si>
    <t>P2P_01_01_0269</t>
  </si>
  <si>
    <t/>
  </si>
  <si>
    <t>DT_SAPTRANSACTIONCODE</t>
  </si>
  <si>
    <t>RS02</t>
  </si>
  <si>
    <t>DT_OUTBOUND_DELIVERY_NUMBER</t>
  </si>
  <si>
    <t>DT_VA01_4001_OKCD_OCC1</t>
  </si>
  <si>
    <t>BA</t>
  </si>
  <si>
    <t>FX</t>
  </si>
  <si>
    <t>GY</t>
  </si>
  <si>
    <t>HV</t>
  </si>
  <si>
    <t>HZ</t>
  </si>
  <si>
    <t>DT_VA01_4001_CHECK_TEXT_OF_STATUSBAR_OCC2_OUTPUT</t>
  </si>
  <si>
    <t>DT_VA01_4004_CHECK_TEXT_OF_STATUSBAR_OCC1</t>
  </si>
  <si>
    <t>DT_VA03_0102_ORDER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</si>
  <si>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</si>
  <si>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</si>
  <si>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</si>
  <si>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</si>
  <si>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</si>
  <si>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</si>
  <si>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</si>
  <si>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</si>
  <si>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</si>
  <si>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</si>
  <si>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DT_ZMDIM_DESTR_STOCK_0500_CHECK_GETCELLVALUE_OF_GRIDCELL_0_MBL_OUTPUT</t>
  </si>
  <si>
    <t>Verifications Date</t>
  </si>
  <si>
    <t>Data Coming from another test</t>
  </si>
  <si>
    <t>DT_VA01_4701_SOLDTO_PARTY</t>
  </si>
  <si>
    <t>DT_VA01_4003_SHIPPING</t>
  </si>
  <si>
    <t>DT_VA01_4001_CHECK_TEXT_OF_STATUSBAR_OCC1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</si>
  <si>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</si>
  <si>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</si>
  <si>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</si>
  <si>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</si>
  <si>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</si>
  <si>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</si>
  <si>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</si>
  <si>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</si>
  <si>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</si>
  <si>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</si>
  <si>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</si>
  <si>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</si>
  <si>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</si>
  <si>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</si>
  <si>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</si>
  <si>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</si>
  <si>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</si>
  <si>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</si>
  <si>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</si>
  <si>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Scenario</t>
  </si>
  <si>
    <t>Output Data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</si>
  <si>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</si>
  <si>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</si>
  <si>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</si>
  <si>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</si>
  <si>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</si>
  <si>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</si>
  <si>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</si>
  <si>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</si>
  <si>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</si>
  <si>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</si>
  <si>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</si>
  <si>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</si>
  <si>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</si>
  <si>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</si>
  <si>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</si>
  <si>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</si>
  <si>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</si>
  <si>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</si>
  <si>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DT_VA01_4001_CHECK_TEXT_OF_STATUSBAR_OCC1_OUTPUT</t>
  </si>
  <si>
    <t>200</t>
  </si>
  <si>
    <t>AUTOMI</t>
  </si>
  <si>
    <t>ZAUT</t>
  </si>
  <si>
    <t>01</t>
  </si>
  <si>
    <t>DT_VA01_4001_SELECTION_DATE</t>
  </si>
  <si>
    <t>BB</t>
  </si>
  <si>
    <t>FY</t>
  </si>
  <si>
    <t>GV</t>
  </si>
  <si>
    <t>GZ</t>
  </si>
  <si>
    <t>HW</t>
  </si>
  <si>
    <t>IT</t>
  </si>
  <si>
    <t>I000200000253</t>
  </si>
  <si>
    <t>DT_SAPSYSTEM</t>
  </si>
  <si>
    <t>066</t>
  </si>
  <si>
    <t>7396797</t>
  </si>
  <si>
    <t>0004</t>
  </si>
  <si>
    <t>DT_VA01_4001_CHECK_TEXT_OF_STATUSBAR</t>
  </si>
  <si>
    <t>Self Consumption 7000025001 has been saved</t>
  </si>
  <si>
    <t>DT_CONSECUTIVE_CALUCLATION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</si>
  <si>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</si>
  <si>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</si>
  <si>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</si>
  <si>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</si>
  <si>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</si>
  <si>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</si>
  <si>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</si>
  <si>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</si>
  <si>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</si>
  <si>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</si>
  <si>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Input Data</t>
  </si>
  <si>
    <t>DT_SAPLANGUAGE</t>
  </si>
  <si>
    <t>DT_SAPOPTIONS</t>
  </si>
  <si>
    <t>DT_VA01_4001_CHECK_TEXT_OF_STATUSBAR_OCC2</t>
  </si>
  <si>
    <t>DT_VA01_4004_CHECK_TEXT_OF_STATUSBAR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</si>
  <si>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</si>
  <si>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</si>
  <si>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</si>
  <si>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</si>
  <si>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</si>
  <si>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</si>
  <si>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</si>
  <si>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</si>
  <si>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</si>
  <si>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</si>
  <si>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</si>
  <si>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</si>
  <si>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</si>
  <si>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</si>
  <si>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</si>
  <si>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</si>
  <si>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</si>
  <si>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</si>
  <si>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</si>
  <si>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Row</t>
  </si>
  <si>
    <t>5b63fdea07fb57479c6fb697</t>
  </si>
  <si>
    <t>VA01</t>
  </si>
  <si>
    <t>8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</si>
  <si>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</si>
  <si>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</si>
  <si>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</si>
  <si>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</si>
  <si>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</si>
  <si>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</si>
  <si>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</si>
  <si>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</si>
  <si>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</si>
  <si>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</si>
  <si>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</si>
  <si>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</si>
  <si>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</si>
  <si>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</si>
  <si>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</si>
  <si>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</si>
  <si>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</si>
  <si>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</si>
  <si>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Formulas Date</t>
  </si>
  <si>
    <t>Verifications</t>
  </si>
  <si>
    <t>Execution Control Data</t>
  </si>
  <si>
    <t>DT_VA01_0101_ORDER_TYPE</t>
  </si>
  <si>
    <t>DT_VA01_4900_SAPMV45ATCTRL_U_ERF_AUFTRAG</t>
  </si>
  <si>
    <t>Self Consumption 42488902 has been saved</t>
  </si>
  <si>
    <t>/nVL02N</t>
  </si>
  <si>
    <t>/nVA03</t>
  </si>
  <si>
    <t>EY</t>
  </si>
  <si>
    <t>FZ</t>
  </si>
  <si>
    <t>GW</t>
  </si>
  <si>
    <t>HX</t>
  </si>
  <si>
    <t>IU</t>
  </si>
  <si>
    <t>DT_VA01_4021_PO_NUMBER</t>
  </si>
  <si>
    <t>11497936</t>
  </si>
  <si>
    <t>DT_VA01_4900_TABLECELL_ARTICLE_0</t>
  </si>
  <si>
    <t>DT_VA01_4900_TABLECELL_ORDER_QUANTITY_0</t>
  </si>
  <si>
    <t>DT_VA01_4001_ORDER</t>
  </si>
  <si>
    <t>DT_VA01_4004_OUTBOUND_DELIVERY</t>
  </si>
  <si>
    <t>DT_VA03_TRANSACTION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</si>
  <si>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</si>
  <si>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</si>
  <si>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</si>
  <si>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</si>
  <si>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</si>
  <si>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</si>
  <si>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</si>
  <si>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</si>
  <si>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</si>
  <si>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</si>
  <si>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</si>
  <si>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DT_VA01_4001_CHECK_TEXT_OF_STATUSBAR_OUTPUT</t>
  </si>
  <si>
    <t>EN</t>
  </si>
  <si>
    <t>DT_INCREMENT</t>
  </si>
  <si>
    <t>DT_SO_NUMBER</t>
  </si>
  <si>
    <t>BO</t>
  </si>
  <si>
    <t>BS</t>
  </si>
  <si>
    <t>CL</t>
  </si>
  <si>
    <t>CP</t>
  </si>
  <si>
    <t>DI</t>
  </si>
  <si>
    <t>DM</t>
  </si>
  <si>
    <t>DQ</t>
  </si>
  <si>
    <t>EJ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</si>
  <si>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</si>
  <si>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</si>
  <si>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</si>
  <si>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</si>
  <si>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</si>
  <si>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</si>
  <si>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</si>
  <si>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</si>
  <si>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</si>
  <si>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</si>
  <si>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Formulas General</t>
  </si>
  <si>
    <t>DT_VA01_4001_CHECK_TEXT_OF_STATUSBAR_OCC3</t>
  </si>
  <si>
    <t>DT_VA03_0100_CHECK_GETCELLVALUE_OF_GRIDCELL_0_DOCNUM_OCC1</t>
  </si>
  <si>
    <t>DT_VA03_0420_CHECK_TEXT_OF_ART_SLIP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</si>
  <si>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</si>
  <si>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</si>
  <si>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</si>
  <si>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</si>
  <si>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</si>
  <si>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</si>
  <si>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</si>
  <si>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</si>
  <si>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</si>
  <si>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</si>
  <si>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</si>
  <si>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</si>
  <si>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</si>
  <si>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</si>
  <si>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</si>
  <si>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</si>
  <si>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</si>
  <si>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</si>
  <si>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DT_VA03_0100_CHECK_GETCELLVALUE_OF_GRIDCELL_0_DOCNUM_OCC1_OUTPUT</t>
  </si>
  <si>
    <t>Test</t>
  </si>
  <si>
    <t>DT_VA01_4440_ORDER_REASON</t>
  </si>
  <si>
    <t>RW05</t>
  </si>
  <si>
    <t>/nVL01N</t>
  </si>
  <si>
    <t>EZ</t>
  </si>
  <si>
    <t>GX</t>
  </si>
  <si>
    <t>HU</t>
  </si>
  <si>
    <t>HY</t>
  </si>
  <si>
    <t>Fixed Data</t>
  </si>
  <si>
    <t>R1E - SAP RETAIL Pre-Production EUROPE</t>
  </si>
  <si>
    <t>DT_SAPPASSWORD</t>
  </si>
  <si>
    <t>DT_VA01_4900_TABLECELL_SITE_0</t>
  </si>
  <si>
    <t>DT_VA01_4452_STOR_LOCATION</t>
  </si>
  <si>
    <t>DT_VA01_4001_OKCD</t>
  </si>
  <si>
    <t>DT_VA03_0100_CHECK_GETCELLVALUE_OF_GRIDCELL_0_DOCNUM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</si>
  <si>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</si>
  <si>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</si>
  <si>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</si>
  <si>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</si>
  <si>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</si>
  <si>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</si>
  <si>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</si>
  <si>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</si>
  <si>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</si>
  <si>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</si>
  <si>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</si>
  <si>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DT_VA03_0100_CHECK_GETCELLVALUE_OF_GRIDCELL_0_DOCNUM_OUTPUT</t>
  </si>
  <si>
    <t>Login Information</t>
  </si>
  <si>
    <t>DT_SAPUSER</t>
  </si>
  <si>
    <t>2</t>
  </si>
  <si>
    <t>DT_IMPORT_SLIP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</si>
  <si>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</si>
  <si>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</si>
  <si>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</si>
  <si>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</si>
  <si>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</si>
  <si>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</si>
  <si>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</si>
  <si>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</si>
  <si>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</si>
  <si>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</si>
  <si>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</si>
  <si>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</si>
  <si>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</si>
  <si>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</si>
  <si>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</si>
  <si>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</si>
  <si>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</si>
  <si>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</si>
  <si>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DT_VA03_0420_CHECK_TEXT_OF_ART_SLIP_OUTPUT</t>
  </si>
  <si>
    <t>DT_SAPCLIENT</t>
  </si>
  <si>
    <t>DT_VA01_0101_SALES_ORGANIZATION</t>
  </si>
  <si>
    <t>DT_VA01_0101_DISTRIBUTION_CHANNEL</t>
  </si>
  <si>
    <t>00</t>
  </si>
  <si>
    <t>DT_VA01_0101_DIVISION</t>
  </si>
  <si>
    <t>True</t>
  </si>
  <si>
    <t>DT_VA01_5003_TEXTS</t>
  </si>
  <si>
    <t>DT_VA01_4001_SHIPPING_POINT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</si>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</sst>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P2P_01_01_0269-Check%20number%20range%20for%20Scrapping%20and%20self-consumption_P3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U17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4.75" style="18" customWidth="1"/>
    <col min="2" max="2" width="30.875" style="18" customWidth="1"/>
    <col min="3" max="3" width="38.875" style="18" customWidth="1"/>
    <col min="4" max="4" width="15" style="18" customWidth="1"/>
    <col min="5" max="5" width="13.625" style="18" customWidth="1"/>
    <col min="6" max="6" width="23.75" style="18" customWidth="1"/>
    <col min="7" max="7" width="18.625" style="18" customWidth="1"/>
    <col min="8" max="8" width="16.75" style="18" customWidth="1"/>
    <col min="9" max="9" width="15.75" style="18" customWidth="1"/>
    <col min="10" max="10" width="27.125" style="18" customWidth="1"/>
    <col min="11" max="11" width="27.875" style="18" customWidth="1"/>
    <col min="12" max="12" width="36.25" style="18" customWidth="1"/>
    <col min="13" max="13" width="38.375" style="18" customWidth="1"/>
    <col min="14" max="14" width="23.25" style="18" customWidth="1"/>
    <col min="15" max="15" width="27.125" style="18" customWidth="1"/>
    <col min="16" max="16" width="30.125" style="18" customWidth="1"/>
    <col min="17" max="17" width="31" style="18" customWidth="1"/>
    <col min="18" max="18" width="36.5" style="18" customWidth="1"/>
    <col min="19" max="19" width="46.125" style="18" customWidth="1"/>
    <col min="20" max="20" width="32.875" style="18" customWidth="1"/>
    <col min="21" max="21" width="48.125" style="18" customWidth="1"/>
    <col min="22" max="22" width="21.25" style="18" customWidth="1"/>
    <col min="23" max="23" width="24" style="18" customWidth="1"/>
    <col min="24" max="24" width="30.875" style="18" customWidth="1"/>
    <col min="25" max="25" width="43.625" style="18" customWidth="1"/>
    <col min="26" max="26" width="16.5" style="18" customWidth="1"/>
    <col min="27" max="27" width="50.125" style="18" customWidth="1"/>
    <col min="28" max="28" width="20.375" style="18" customWidth="1"/>
    <col min="29" max="29" width="30.75" style="18" customWidth="1"/>
    <col min="30" max="30" width="31.75" style="18" customWidth="1"/>
    <col min="31" max="31" width="21.875" style="18" customWidth="1"/>
    <col min="32" max="32" width="50.125" style="18" customWidth="1"/>
    <col min="33" max="33" width="35.125" style="18" customWidth="1"/>
    <col min="34" max="34" width="50.125" style="18" customWidth="1"/>
    <col min="35" max="35" width="26.875" style="18" customWidth="1"/>
    <col min="36" max="36" width="36.125" style="18" customWidth="1"/>
    <col min="37" max="37" width="43.625" style="18" customWidth="1"/>
    <col min="38" max="38" width="50.125" style="18" customWidth="1"/>
    <col min="39" max="39" width="23.625" style="18" customWidth="1"/>
    <col min="40" max="40" width="21.875" style="18" customWidth="1"/>
    <col min="41" max="41" width="63.75" style="18" customWidth="1"/>
    <col min="42" max="42" width="70.125" style="18" customWidth="1"/>
    <col min="43" max="43" width="16.875" style="18" customWidth="1"/>
    <col min="44" max="44" width="32.125" style="18" customWidth="1"/>
    <col min="45" max="45" width="41" style="18" customWidth="1"/>
    <col min="46" max="255" width="9.125" style="18" customWidth="1"/>
    <col min="256" max="16384" width="9.125" style="10" customWidth="1"/>
  </cols>
  <sheetData>
    <row r="1" ht="12.75" customHeight="1" customFormat="1">
      <c r="A1" t="s">
        <v>123</v>
      </c>
      <c r="B1" t="s">
        <v>49</v>
      </c>
      <c r="C1" t="s">
        <v>82</v>
      </c>
      <c r="D1" t="s">
        <v>271</v>
      </c>
      <c r="E1" t="s">
        <v>249</v>
      </c>
      <c r="F1" t="s">
        <v>231</v>
      </c>
      <c r="G1" t="s">
        <v>100</v>
      </c>
      <c r="H1" t="s">
        <v>101</v>
      </c>
      <c r="I1" t="s">
        <v>178</v>
      </c>
      <c r="J1" t="s">
        <v>2</v>
      </c>
      <c r="K1" t="s">
        <v>148</v>
      </c>
      <c r="L1" t="s">
        <v>272</v>
      </c>
      <c r="M1" t="s">
        <v>273</v>
      </c>
      <c r="N1" t="s">
        <v>275</v>
      </c>
      <c r="O1" t="s">
        <v>158</v>
      </c>
      <c r="P1" t="s">
        <v>27</v>
      </c>
      <c r="Q1" t="s">
        <v>222</v>
      </c>
      <c r="R1" t="s">
        <v>160</v>
      </c>
      <c r="S1" t="s">
        <v>161</v>
      </c>
      <c r="T1" t="s">
        <v>232</v>
      </c>
      <c r="U1" t="s">
        <v>149</v>
      </c>
      <c r="V1" t="s">
        <v>277</v>
      </c>
      <c r="W1" t="s">
        <v>28</v>
      </c>
      <c r="X1" t="s">
        <v>233</v>
      </c>
      <c r="Y1" t="s">
        <v>86</v>
      </c>
      <c r="Z1" t="s">
        <v>179</v>
      </c>
      <c r="AA1" t="s">
        <v>29</v>
      </c>
      <c r="AB1" t="s">
        <v>234</v>
      </c>
      <c r="AC1" t="s">
        <v>278</v>
      </c>
      <c r="AD1" t="s">
        <v>74</v>
      </c>
      <c r="AE1" t="s">
        <v>162</v>
      </c>
      <c r="AF1" t="s">
        <v>102</v>
      </c>
      <c r="AG1" t="s">
        <v>4</v>
      </c>
      <c r="AH1" t="s">
        <v>199</v>
      </c>
      <c r="AI1" t="s">
        <v>5</v>
      </c>
      <c r="AJ1" t="s">
        <v>163</v>
      </c>
      <c r="AK1" t="s">
        <v>103</v>
      </c>
      <c r="AL1" t="s">
        <v>12</v>
      </c>
      <c r="AM1" t="s">
        <v>164</v>
      </c>
      <c r="AN1" t="s">
        <v>13</v>
      </c>
      <c r="AO1" t="s">
        <v>235</v>
      </c>
      <c r="AP1" t="s">
        <v>200</v>
      </c>
      <c r="AQ1" t="s">
        <v>251</v>
      </c>
      <c r="AR1" t="s">
        <v>88</v>
      </c>
      <c r="AS1" t="s">
        <v>201</v>
      </c>
      <c r="AT1" t="s">
        <v>30</v>
      </c>
      <c r="AU1" t="s">
        <v>104</v>
      </c>
      <c r="AV1" t="s">
        <v>202</v>
      </c>
      <c r="AW1" t="s">
        <v>279</v>
      </c>
      <c r="AX1" t="s">
        <v>51</v>
      </c>
      <c r="AY1" t="s">
        <v>127</v>
      </c>
      <c r="AZ1" t="s">
        <v>203</v>
      </c>
      <c r="BA1" t="s">
        <v>6</v>
      </c>
      <c r="BB1" t="s">
        <v>75</v>
      </c>
      <c r="BC1" t="s">
        <v>165</v>
      </c>
      <c r="BD1" t="s">
        <v>236</v>
      </c>
      <c r="BE1" t="s">
        <v>14</v>
      </c>
      <c r="BF1" t="s">
        <v>89</v>
      </c>
      <c r="BG1" t="s">
        <v>166</v>
      </c>
      <c r="BH1" t="s">
        <v>237</v>
      </c>
      <c r="BI1" t="s">
        <v>15</v>
      </c>
      <c r="BJ1" t="s">
        <v>90</v>
      </c>
      <c r="BK1" t="s">
        <v>167</v>
      </c>
      <c r="BL1" t="s">
        <v>252</v>
      </c>
      <c r="BM1" t="s">
        <v>31</v>
      </c>
      <c r="BN1" t="s">
        <v>105</v>
      </c>
      <c r="BO1" t="s">
        <v>180</v>
      </c>
      <c r="BP1" t="s">
        <v>253</v>
      </c>
      <c r="BQ1" t="s">
        <v>32</v>
      </c>
      <c r="BR1" t="s">
        <v>106</v>
      </c>
      <c r="BS1" t="s">
        <v>181</v>
      </c>
      <c r="BT1" t="s">
        <v>254</v>
      </c>
      <c r="BU1" t="s">
        <v>52</v>
      </c>
      <c r="BV1" t="s">
        <v>128</v>
      </c>
      <c r="BW1" t="s">
        <v>204</v>
      </c>
      <c r="BX1" t="s">
        <v>280</v>
      </c>
      <c r="BY1" t="s">
        <v>53</v>
      </c>
      <c r="BZ1" t="s">
        <v>129</v>
      </c>
      <c r="CA1" t="s">
        <v>238</v>
      </c>
      <c r="CB1" t="s">
        <v>16</v>
      </c>
      <c r="CC1" t="s">
        <v>91</v>
      </c>
      <c r="CD1" t="s">
        <v>168</v>
      </c>
      <c r="CE1" t="s">
        <v>239</v>
      </c>
      <c r="CF1" t="s">
        <v>17</v>
      </c>
      <c r="CG1" t="s">
        <v>92</v>
      </c>
      <c r="CH1" t="s">
        <v>169</v>
      </c>
      <c r="CI1" t="s">
        <v>240</v>
      </c>
      <c r="CJ1" t="s">
        <v>33</v>
      </c>
      <c r="CK1" t="s">
        <v>107</v>
      </c>
      <c r="CL1" t="s">
        <v>182</v>
      </c>
      <c r="CM1" t="s">
        <v>255</v>
      </c>
      <c r="CN1" t="s">
        <v>34</v>
      </c>
      <c r="CO1" t="s">
        <v>108</v>
      </c>
      <c r="CP1" t="s">
        <v>183</v>
      </c>
      <c r="CQ1" t="s">
        <v>256</v>
      </c>
      <c r="CR1" t="s">
        <v>35</v>
      </c>
      <c r="CS1" t="s">
        <v>130</v>
      </c>
      <c r="CT1" t="s">
        <v>205</v>
      </c>
      <c r="CU1" t="s">
        <v>281</v>
      </c>
      <c r="CV1" t="s">
        <v>54</v>
      </c>
      <c r="CW1" t="s">
        <v>131</v>
      </c>
      <c r="CX1" t="s">
        <v>206</v>
      </c>
      <c r="CY1" t="s">
        <v>282</v>
      </c>
      <c r="CZ1" t="s">
        <v>55</v>
      </c>
      <c r="DA1" t="s">
        <v>170</v>
      </c>
      <c r="DB1" t="s">
        <v>241</v>
      </c>
      <c r="DC1" t="s">
        <v>18</v>
      </c>
      <c r="DD1" t="s">
        <v>93</v>
      </c>
      <c r="DE1" t="s">
        <v>171</v>
      </c>
      <c r="DF1" t="s">
        <v>242</v>
      </c>
      <c r="DG1" t="s">
        <v>19</v>
      </c>
      <c r="DH1" t="s">
        <v>94</v>
      </c>
      <c r="DI1" t="s">
        <v>184</v>
      </c>
      <c r="DJ1" t="s">
        <v>257</v>
      </c>
      <c r="DK1" t="s">
        <v>36</v>
      </c>
      <c r="DL1" t="s">
        <v>109</v>
      </c>
      <c r="DM1" t="s">
        <v>185</v>
      </c>
      <c r="DN1" t="s">
        <v>258</v>
      </c>
      <c r="DO1" t="s">
        <v>37</v>
      </c>
      <c r="DP1" t="s">
        <v>110</v>
      </c>
      <c r="DQ1" t="s">
        <v>186</v>
      </c>
      <c r="DR1" t="s">
        <v>283</v>
      </c>
      <c r="DS1" t="s">
        <v>56</v>
      </c>
      <c r="DT1" t="s">
        <v>132</v>
      </c>
      <c r="DU1" t="s">
        <v>207</v>
      </c>
      <c r="DV1" t="s">
        <v>284</v>
      </c>
      <c r="DW1" t="s">
        <v>57</v>
      </c>
      <c r="DX1" t="s">
        <v>133</v>
      </c>
      <c r="DY1" t="s">
        <v>208</v>
      </c>
      <c r="DZ1" t="s">
        <v>285</v>
      </c>
      <c r="EA1" t="s">
        <v>95</v>
      </c>
      <c r="EB1" t="s">
        <v>172</v>
      </c>
      <c r="EC1" t="s">
        <v>243</v>
      </c>
      <c r="ED1" t="s">
        <v>20</v>
      </c>
      <c r="EE1" t="s">
        <v>96</v>
      </c>
      <c r="EF1" t="s">
        <v>173</v>
      </c>
      <c r="EG1" t="s">
        <v>259</v>
      </c>
      <c r="EH1" t="s">
        <v>38</v>
      </c>
      <c r="EI1" t="s">
        <v>111</v>
      </c>
      <c r="EJ1" t="s">
        <v>187</v>
      </c>
      <c r="EK1" t="s">
        <v>260</v>
      </c>
      <c r="EL1" t="s">
        <v>39</v>
      </c>
      <c r="EM1" t="s">
        <v>112</v>
      </c>
      <c r="EN1" t="s">
        <v>177</v>
      </c>
      <c r="EO1" t="s">
        <v>261</v>
      </c>
      <c r="EP1" t="s">
        <v>58</v>
      </c>
      <c r="EQ1" t="s">
        <v>134</v>
      </c>
      <c r="ER1" t="s">
        <v>209</v>
      </c>
      <c r="ES1" t="s">
        <v>286</v>
      </c>
      <c r="ET1" t="s">
        <v>59</v>
      </c>
      <c r="EU1" t="s">
        <v>135</v>
      </c>
      <c r="EV1" t="s">
        <v>210</v>
      </c>
      <c r="EW1" t="s">
        <v>287</v>
      </c>
      <c r="EX1" t="s">
        <v>60</v>
      </c>
      <c r="EY1" t="s">
        <v>153</v>
      </c>
      <c r="EZ1" t="s">
        <v>225</v>
      </c>
      <c r="FA1" t="s">
        <v>21</v>
      </c>
      <c r="FB1" t="s">
        <v>97</v>
      </c>
      <c r="FC1" t="s">
        <v>174</v>
      </c>
      <c r="FD1" t="s">
        <v>244</v>
      </c>
      <c r="FE1" t="s">
        <v>22</v>
      </c>
      <c r="FF1" t="s">
        <v>113</v>
      </c>
      <c r="FG1" t="s">
        <v>188</v>
      </c>
      <c r="FH1" t="s">
        <v>262</v>
      </c>
      <c r="FI1" t="s">
        <v>40</v>
      </c>
      <c r="FJ1" t="s">
        <v>114</v>
      </c>
      <c r="FK1" t="s">
        <v>189</v>
      </c>
      <c r="FL1" t="s">
        <v>263</v>
      </c>
      <c r="FM1" t="s">
        <v>41</v>
      </c>
      <c r="FN1" t="s">
        <v>115</v>
      </c>
      <c r="FO1" t="s">
        <v>211</v>
      </c>
      <c r="FP1" t="s">
        <v>288</v>
      </c>
      <c r="FQ1" t="s">
        <v>61</v>
      </c>
      <c r="FR1" t="s">
        <v>136</v>
      </c>
      <c r="FS1" t="s">
        <v>212</v>
      </c>
      <c r="FT1" t="s">
        <v>289</v>
      </c>
      <c r="FU1" t="s">
        <v>62</v>
      </c>
      <c r="FV1" t="s">
        <v>137</v>
      </c>
      <c r="FW1" t="s">
        <v>213</v>
      </c>
      <c r="FX1" t="s">
        <v>7</v>
      </c>
      <c r="FY1" t="s">
        <v>76</v>
      </c>
      <c r="FZ1" t="s">
        <v>154</v>
      </c>
      <c r="GA1" t="s">
        <v>245</v>
      </c>
      <c r="GB1" t="s">
        <v>23</v>
      </c>
      <c r="GC1" t="s">
        <v>98</v>
      </c>
      <c r="GD1" t="s">
        <v>190</v>
      </c>
      <c r="GE1" t="s">
        <v>264</v>
      </c>
      <c r="GF1" t="s">
        <v>42</v>
      </c>
      <c r="GG1" t="s">
        <v>116</v>
      </c>
      <c r="GH1" t="s">
        <v>191</v>
      </c>
      <c r="GI1" t="s">
        <v>265</v>
      </c>
      <c r="GJ1" t="s">
        <v>43</v>
      </c>
      <c r="GK1" t="s">
        <v>117</v>
      </c>
      <c r="GL1" t="s">
        <v>192</v>
      </c>
      <c r="GM1" t="s">
        <v>290</v>
      </c>
      <c r="GN1" t="s">
        <v>63</v>
      </c>
      <c r="GO1" t="s">
        <v>138</v>
      </c>
      <c r="GP1" t="s">
        <v>214</v>
      </c>
      <c r="GQ1" t="s">
        <v>291</v>
      </c>
      <c r="GR1" t="s">
        <v>64</v>
      </c>
      <c r="GS1" t="s">
        <v>139</v>
      </c>
      <c r="GT1" t="s">
        <v>215</v>
      </c>
      <c r="GU1" t="s">
        <v>292</v>
      </c>
      <c r="GV1" t="s">
        <v>77</v>
      </c>
      <c r="GW1" t="s">
        <v>155</v>
      </c>
      <c r="GX1" t="s">
        <v>226</v>
      </c>
      <c r="GY1" t="s">
        <v>8</v>
      </c>
      <c r="GZ1" t="s">
        <v>78</v>
      </c>
      <c r="HA1" t="s">
        <v>175</v>
      </c>
      <c r="HB1" t="s">
        <v>246</v>
      </c>
      <c r="HC1" t="s">
        <v>44</v>
      </c>
      <c r="HD1" t="s">
        <v>118</v>
      </c>
      <c r="HE1" t="s">
        <v>193</v>
      </c>
      <c r="HF1" t="s">
        <v>266</v>
      </c>
      <c r="HG1" t="s">
        <v>45</v>
      </c>
      <c r="HH1" t="s">
        <v>119</v>
      </c>
      <c r="HI1" t="s">
        <v>194</v>
      </c>
      <c r="HJ1" t="s">
        <v>267</v>
      </c>
      <c r="HK1" t="s">
        <v>46</v>
      </c>
      <c r="HL1" t="s">
        <v>140</v>
      </c>
      <c r="HM1" t="s">
        <v>216</v>
      </c>
      <c r="HN1" t="s">
        <v>293</v>
      </c>
      <c r="HO1" t="s">
        <v>65</v>
      </c>
      <c r="HP1" t="s">
        <v>141</v>
      </c>
      <c r="HQ1" t="s">
        <v>217</v>
      </c>
      <c r="HR1" t="s">
        <v>294</v>
      </c>
      <c r="HS1" t="s">
        <v>66</v>
      </c>
      <c r="HT1" t="s">
        <v>142</v>
      </c>
      <c r="HU1" t="s">
        <v>227</v>
      </c>
      <c r="HV1" t="s">
        <v>9</v>
      </c>
      <c r="HW1" t="s">
        <v>79</v>
      </c>
      <c r="HX1" t="s">
        <v>156</v>
      </c>
      <c r="HY1" t="s">
        <v>228</v>
      </c>
      <c r="HZ1" t="s">
        <v>10</v>
      </c>
      <c r="IA1" t="s">
        <v>120</v>
      </c>
      <c r="IB1" t="s">
        <v>195</v>
      </c>
      <c r="IC1" t="s">
        <v>268</v>
      </c>
      <c r="ID1" t="s">
        <v>47</v>
      </c>
      <c r="IE1" t="s">
        <v>121</v>
      </c>
      <c r="IF1" t="s">
        <v>196</v>
      </c>
      <c r="IG1" t="s">
        <v>269</v>
      </c>
      <c r="IH1" t="s">
        <v>48</v>
      </c>
      <c r="II1" t="s">
        <v>122</v>
      </c>
      <c r="IJ1" t="s">
        <v>197</v>
      </c>
      <c r="IK1" t="s">
        <v>295</v>
      </c>
      <c r="IL1" t="s">
        <v>67</v>
      </c>
      <c r="IM1" t="s">
        <v>143</v>
      </c>
      <c r="IN1" t="s">
        <v>218</v>
      </c>
      <c r="IO1" t="s">
        <v>296</v>
      </c>
      <c r="IP1" t="s">
        <v>68</v>
      </c>
      <c r="IQ1" t="s">
        <v>144</v>
      </c>
      <c r="IR1" t="s">
        <v>219</v>
      </c>
      <c r="IS1" t="s">
        <v>297</v>
      </c>
      <c r="IT1" t="s">
        <v>80</v>
      </c>
      <c r="IU1" t="s">
        <v>157</v>
      </c>
    </row>
    <row r="2" s="17" customFormat="1">
      <c r="A2" s="2">
        <v>2</v>
      </c>
      <c r="B2" s="2" t="s">
        <v>0</v>
      </c>
      <c r="C2" s="7" t="s">
        <v>230</v>
      </c>
      <c r="D2" s="7" t="s">
        <v>70</v>
      </c>
      <c r="E2" s="7" t="s">
        <v>71</v>
      </c>
      <c r="F2" s="7" t="s">
        <v>124</v>
      </c>
      <c r="G2" s="7" t="s">
        <v>177</v>
      </c>
      <c r="H2" s="2" t="s">
        <v>1</v>
      </c>
      <c r="I2" s="4">
        <v>49</v>
      </c>
      <c r="J2" s="2" t="s">
        <v>125</v>
      </c>
      <c r="K2" s="4" t="s">
        <v>72</v>
      </c>
      <c r="L2" s="4" t="s">
        <v>3</v>
      </c>
      <c r="M2" s="4" t="s">
        <v>274</v>
      </c>
      <c r="N2" s="4" t="s">
        <v>73</v>
      </c>
      <c r="O2" s="6">
        <f>1234567+I2</f>
        <v>1234616</v>
      </c>
      <c r="P2" s="4" t="s">
        <v>159</v>
      </c>
      <c r="Q2" s="4" t="s">
        <v>83</v>
      </c>
      <c r="R2" s="4" t="s">
        <v>84</v>
      </c>
      <c r="S2" s="4">
        <v>2</v>
      </c>
      <c r="T2" s="4" t="s">
        <v>223</v>
      </c>
      <c r="U2" s="4" t="s">
        <v>276</v>
      </c>
      <c r="V2" s="4" t="s">
        <v>126</v>
      </c>
      <c r="W2" s="4" t="s">
        <v>250</v>
      </c>
      <c r="X2" s="4" t="s">
        <v>85</v>
      </c>
      <c r="Y2" s="5" t="s">
        <v>150</v>
      </c>
      <c r="Z2" s="5" t="e">
        <f>[1]Output!C2</f>
        <v>#REF!</v>
      </c>
      <c r="AA2" s="8" t="e">
        <f>"Self Consumption "&amp;Z2&amp;" has been saved"</f>
        <v>#REF!</v>
      </c>
      <c r="AB2" s="2" t="s">
        <v>224</v>
      </c>
      <c r="AC2" s="6" t="str">
        <f>T2</f>
        <v>RW05</v>
      </c>
      <c r="AD2" s="12">
        <f ca="1">TODAY()+2</f>
        <v>45931</v>
      </c>
      <c r="AE2" s="6" t="e">
        <f>Z2</f>
        <v>#REF!</v>
      </c>
      <c r="AF2" s="5" t="s">
        <v>87</v>
      </c>
      <c r="AG2" s="5" t="e">
        <f>[1]Output!D2</f>
        <v>#REF!</v>
      </c>
      <c r="AH2" s="8" t="e">
        <f>"Self Consumption "&amp;AG2&amp;" has been saved"</f>
        <v>#REF!</v>
      </c>
      <c r="AI2" s="2" t="s">
        <v>151</v>
      </c>
      <c r="AJ2" s="6" t="e">
        <f>AG2</f>
        <v>#REF!</v>
      </c>
      <c r="AK2" s="5" t="s">
        <v>87</v>
      </c>
      <c r="AL2" s="8" t="e">
        <f>"Self Consumption "&amp;AG2&amp;" has been saved"</f>
        <v>#REF!</v>
      </c>
      <c r="AM2" s="11" t="s">
        <v>152</v>
      </c>
      <c r="AN2" s="6" t="e">
        <f>Z2</f>
        <v>#REF!</v>
      </c>
      <c r="AO2" s="5" t="e">
        <f>[1]Output!F2</f>
        <v>#REF!</v>
      </c>
      <c r="AP2" s="5" t="e">
        <f>[1]Output!G2</f>
        <v>#REF!</v>
      </c>
      <c r="AQ2" s="14">
        <v>0</v>
      </c>
      <c r="AR2" s="6">
        <f>VALUE(RIGHT(AQ2,12))+1</f>
        <v>1</v>
      </c>
      <c r="AS2" s="8" t="str">
        <f>"D"&amp;TEXT(AR2,"000000000000")</f>
        <v>D000000000001</v>
      </c>
      <c r="AT2" s="11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19"/>
    </row>
    <row r="3" s="17" customFormat="1">
      <c r="A3" s="2">
        <v>3</v>
      </c>
      <c r="B3" s="2" t="s">
        <v>221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19"/>
    </row>
    <row r="4" s="17" customForma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19"/>
    </row>
    <row r="5" s="17" customForma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19"/>
    </row>
    <row r="6" s="10" customFormat="1">
      <c r="A6" s="1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3"/>
    </row>
    <row r="7" s="10" customFormat="1">
      <c r="A7" s="1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3"/>
    </row>
    <row r="8" s="10" customFormat="1">
      <c r="A8" s="11"/>
      <c r="B8" s="7" t="s">
        <v>248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3"/>
    </row>
    <row r="9" s="10" customFormat="1">
      <c r="A9" s="11"/>
      <c r="B9" s="4" t="s">
        <v>99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3"/>
    </row>
    <row r="10" s="10" customFormat="1">
      <c r="A10" s="11"/>
      <c r="B10" s="20" t="s">
        <v>229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3"/>
    </row>
    <row r="11" s="10" customFormat="1">
      <c r="A11" s="11"/>
      <c r="B11" s="5" t="s">
        <v>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3"/>
    </row>
    <row r="12" s="10" customFormat="1">
      <c r="A12" s="11"/>
      <c r="B12" s="12" t="s">
        <v>145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3"/>
    </row>
    <row r="13" s="10" customFormat="1">
      <c r="A13" s="11"/>
      <c r="B13" s="6" t="s">
        <v>198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3"/>
    </row>
    <row r="14" s="10" customFormat="1">
      <c r="A14" s="11"/>
      <c r="B14" s="8" t="s">
        <v>146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3"/>
    </row>
    <row r="15" s="10" customFormat="1">
      <c r="A15" s="11"/>
      <c r="B15" s="16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3"/>
    </row>
    <row r="16" s="10" customFormat="1">
      <c r="A16" s="11"/>
      <c r="B16" s="14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3"/>
    </row>
    <row r="17" s="10" customFormat="1">
      <c r="A17" s="11"/>
      <c r="B17" s="15" t="s">
        <v>147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3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selection activeCell="A2" sqref="A2"/>
    </sheetView>
  </sheetViews>
  <sheetFormatPr defaultColWidth="9.125" defaultRowHeight="14.25"/>
  <cols>
    <col min="1" max="2" width="9.125" style="10" customWidth="1"/>
    <col min="3" max="3" width="21.125" style="10" customWidth="1"/>
    <col min="4" max="5" width="28.875" style="10" customWidth="1"/>
    <col min="6" max="6" width="30.625" style="10" customWidth="1"/>
    <col min="7" max="16384" width="9.125" style="10" customWidth="1"/>
  </cols>
  <sheetData>
    <row r="1" ht="12.75" customHeight="1" customFormat="1">
      <c r="A1" t="s">
        <v>123</v>
      </c>
      <c r="B1" t="s">
        <v>49</v>
      </c>
      <c r="C1" t="s">
        <v>176</v>
      </c>
      <c r="D1" t="s">
        <v>69</v>
      </c>
      <c r="E1" t="s">
        <v>11</v>
      </c>
      <c r="F1" t="s">
        <v>247</v>
      </c>
      <c r="G1" t="s">
        <v>220</v>
      </c>
      <c r="H1" t="s">
        <v>270</v>
      </c>
      <c r="I1" t="s">
        <v>24</v>
      </c>
    </row>
    <row r="2">
      <c r="A2" s="2">
        <v>2</v>
      </c>
      <c r="B2" s="2" t="s">
        <v>0</v>
      </c>
      <c r="C2" s="1">
        <v>227063204</v>
      </c>
      <c r="D2" s="1">
        <v>7000604600</v>
      </c>
      <c r="E2" s="1">
        <v>7000604600</v>
      </c>
      <c r="F2" s="1">
        <v>7000604600</v>
      </c>
      <c r="G2" s="1">
        <v>3903433991</v>
      </c>
      <c r="H2" s="1" t="s">
        <v>81</v>
      </c>
      <c r="I2" s="13">
        <v>3903433991</v>
      </c>
    </row>
    <row r="3">
      <c r="A3" s="2">
        <v>3</v>
      </c>
      <c r="B3" s="2" t="s">
        <v>221</v>
      </c>
      <c r="C3" s="1"/>
      <c r="D3" s="1"/>
      <c r="E3" s="1"/>
      <c r="F3" s="1"/>
      <c r="G3" s="1"/>
      <c r="H3" s="1"/>
      <c r="I3" s="13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