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TC0_RunTimeResultFolder" sheetId="2" r:id="rId2"/>
    <sheet name="TC1_Test_PRE_Add_Stock_MIGO" sheetId="3" r:id="rId3"/>
    <sheet name="TC2_Test_P2P_01_01_057-Cancel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<sst xmlns="http://schemas.openxmlformats.org/spreadsheetml/2006/main" uniqueCount="98">
  <si>
    <t/>
  </si>
  <si>
    <t>DT_SAPTRANSACTIONCODE</t>
  </si>
  <si>
    <t>DT_MB01_0200_SITE</t>
  </si>
  <si>
    <t>DT_RDN_DOC_NUMBER</t>
  </si>
  <si>
    <t>S_TL_G</t>
  </si>
  <si>
    <t>DT_MB01_0120_CHECK_TEXT_OF_IDOC_0000000555562336_SENT_TO_SAP_SYSTEM_OCC1</t>
  </si>
  <si>
    <t>DT_MB01_0120_CHECK_TEXT_OF_IDOC_0000000555562337_SENT_TO_SAP_SYSTEM</t>
  </si>
  <si>
    <t>DT_MB01_0200_OKCD</t>
  </si>
  <si>
    <t>Output</t>
  </si>
  <si>
    <t>DT_RDN_DOC_NUMBER_OUTPUT</t>
  </si>
  <si>
    <t>Verifications Date</t>
  </si>
  <si>
    <t>Data Coming from another test</t>
  </si>
  <si>
    <t>DT_MB01_0100_CHECK_TEXT_OF_CURRENT_STATUS</t>
  </si>
  <si>
    <t>DT_MB01_0001_CHECK_TEXT_OF_STATUSBAR_OCC1</t>
  </si>
  <si>
    <t>DT_MB01_0120_CHECK_TEXT_OF_IDOC_0000000555562337_SENT_TO_SAP_SYSTEM_OUTPUT</t>
  </si>
  <si>
    <t>IDoc '0000001390226926' sent to SAP system</t>
  </si>
  <si>
    <t>EDI_ROW_OUTPUT1</t>
  </si>
  <si>
    <t>Scenario</t>
  </si>
  <si>
    <t>Output Data</t>
  </si>
  <si>
    <t>DT_MB01_0210_STOR_LOCATION_OCC1</t>
  </si>
  <si>
    <t>ZR03</t>
  </si>
  <si>
    <t>we05</t>
  </si>
  <si>
    <t>DT_MB01_0010_GODYNPROACTION_OCC1</t>
  </si>
  <si>
    <t>DT_MB01_0300_OUTPUT</t>
  </si>
  <si>
    <t>IDoc '0000001382475563' sent to SAP system</t>
  </si>
  <si>
    <t>200</t>
  </si>
  <si>
    <t>AUTOMI</t>
  </si>
  <si>
    <t>DT_MB01_0100_SAPDV70ATC_NAST3</t>
  </si>
  <si>
    <t>DT_IDOC_NUMBER</t>
  </si>
  <si>
    <t>DT_MB01_0100_OKCD</t>
  </si>
  <si>
    <t>DT_MB01_0001_CHECK_TEXT_OF_STATUSBAR</t>
  </si>
  <si>
    <t>DT_CANCELLATION_DOC_NO</t>
  </si>
  <si>
    <t>DT_MB01_0100_CHECK_TOOLTIP_OF_TABLECELL_STATUS_0</t>
  </si>
  <si>
    <t>DT_MB01_0120_CHECK_TEXT_OF_IDOC_0000000555562336_SENT_TO_SAP_OUTPUT</t>
  </si>
  <si>
    <t>DT_SAPSYSTEM</t>
  </si>
  <si>
    <t>DT_MB01_0200_MOVEMENT_TYPE</t>
  </si>
  <si>
    <t>You have not flagged any items as OK</t>
  </si>
  <si>
    <t>Input Data</t>
  </si>
  <si>
    <t>DT_SAPLANGUAGE</t>
  </si>
  <si>
    <t>DT_SAPOPTIONS</t>
  </si>
  <si>
    <t>DT_MB01_0120_CHECK_TEXT_OF_IDOC_0000000555562336_SENT_TO_SAP_SYSTEM</t>
  </si>
  <si>
    <t>DT_MB01_2010_GODYNPRODOC_YEAR_OCC1</t>
  </si>
  <si>
    <t>DT_MB01_0100_SAPDV70ATC_NAST3_OCC1</t>
  </si>
  <si>
    <t>Row</t>
  </si>
  <si>
    <t>DT_MB01_0200_POSTING_DATE</t>
  </si>
  <si>
    <t>DT_MB01_0460_ARTICLE_DOC</t>
  </si>
  <si>
    <t>Where</t>
  </si>
  <si>
    <t>Formulas Date</t>
  </si>
  <si>
    <t>Verifications</t>
  </si>
  <si>
    <t>Execution Control Data</t>
  </si>
  <si>
    <t>DT_MB01_0100_CHECK_SCREENTOP_OF_TABLECELL_STATUS_1</t>
  </si>
  <si>
    <t>DT_MB01_1100_IDOC_NUMBER</t>
  </si>
  <si>
    <t>60b5fdc7cbee31a30e50b6bc482fc6a29f2d88dfbaf0</t>
  </si>
  <si>
    <t>MB01</t>
  </si>
  <si>
    <t>161</t>
  </si>
  <si>
    <t>DT_MB01_0241_QUANTITY_OCC1</t>
  </si>
  <si>
    <t>0001</t>
  </si>
  <si>
    <t>DT_MB01_0010_GODYNPROACTION</t>
  </si>
  <si>
    <t>A03</t>
  </si>
  <si>
    <t>DT_MB01_0300_WHERE</t>
  </si>
  <si>
    <t>EN</t>
  </si>
  <si>
    <t>DT_MB01_0200_DOCUMENT_DATE</t>
  </si>
  <si>
    <t>1</t>
  </si>
  <si>
    <t>DT_MB01_0200_CHECK_TEXT_OF_STATUSBAR</t>
  </si>
  <si>
    <t>DT_MB01_0100_OKCD_OCC1</t>
  </si>
  <si>
    <t>migo</t>
  </si>
  <si>
    <t>DT_MB01_0100_CHECK_TEXT_OF_TABLECELL_OUTPUT_TYPE_0</t>
  </si>
  <si>
    <t>Formulas General</t>
  </si>
  <si>
    <t>DT_MB01_0241_VENDOR</t>
  </si>
  <si>
    <t>DT_MB01_0241_ARTICLE_OCC1</t>
  </si>
  <si>
    <t>DT_MB01_2010_GODYNPROMAT_DOC_OCC1</t>
  </si>
  <si>
    <t>DT_MB01_0120_CHECK_TEXT_OF_IDOC_0000000555562337_SENT_TO_SAP_SYSTEM_OCC1</t>
  </si>
  <si>
    <t>DT_CANCELLATION_DOC_NO_OUTPUT</t>
  </si>
  <si>
    <t>Test</t>
  </si>
  <si>
    <t>03</t>
  </si>
  <si>
    <t>Fixed Data</t>
  </si>
  <si>
    <t>R1E - SAP RETAIL Pre-Production EUROPE</t>
  </si>
  <si>
    <t>DT_SAPPASSWORD</t>
  </si>
  <si>
    <t>DT_MB01_0241_ARTICLE</t>
  </si>
  <si>
    <t>DT_MB01_0241_QUANTITY</t>
  </si>
  <si>
    <t>DT_MB01_0210_STOR_LOCATION</t>
  </si>
  <si>
    <t>DT_MB01_0460_ART_DOC_YEAR</t>
  </si>
  <si>
    <t>A04</t>
  </si>
  <si>
    <t>P2P_01_01_057-Cancelation of RDN - EDI</t>
  </si>
  <si>
    <t>Login Information</t>
  </si>
  <si>
    <t>DT_SAPUSER</t>
  </si>
  <si>
    <t>2</t>
  </si>
  <si>
    <t>Document 5042787358 posted</t>
  </si>
  <si>
    <t>DT_MB01_0200_CHECK_TEXT_OF_STATUSBAR_OCC1</t>
  </si>
  <si>
    <t>mb03</t>
  </si>
  <si>
    <t>DT_MB01_0100_CHECK_TEXT_OF_TABLECELL_OUTPUT_TYPE_1</t>
  </si>
  <si>
    <t>DT_MB01_2010_GODYNPRODOC_YEAR</t>
  </si>
  <si>
    <t>EDI_ROW_OUTPUT</t>
  </si>
  <si>
    <t>DT_SAPCLIENT</t>
  </si>
  <si>
    <t>r001</t>
  </si>
  <si>
    <t>DT_MB01_2010_GODYNPROMAT_DOC</t>
  </si>
  <si>
    <t>DT_MB01_0325_CHECK_TEXT_OF_MOVEMENT_TYPE</t>
  </si>
  <si>
    <t>DT_CANCELLATION_IDOC_NO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</si>
</sst>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2" borderId="1" xfId="0" applyFill="1" applyBorder="1" applyProtection="1">
      <protection locked="0"/>
    </xf>
    <xf numFmtId="14" fontId="1" fillId="0" borderId="1" xfId="0" applyNumberFormat="1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3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DT_P2P_01_01_057-Cancelation%20of%20RDN%20-%20EDI_TAS1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B18"/>
  <sheetViews>
    <sheetView topLeftCell="BA1" workbookViewId="0">
      <selection activeCell="BA2" sqref="BA2"/>
    </sheetView>
  </sheetViews>
  <sheetFormatPr defaultColWidth="9.125" defaultRowHeight="14.25"/>
  <cols>
    <col min="1" max="1" width="9.125" style="9" customWidth="1"/>
    <col min="2" max="2" width="36.25" style="9" customWidth="1"/>
    <col min="3" max="3" width="38.125" style="9" customWidth="1"/>
    <col min="4" max="4" width="15" style="9" customWidth="1"/>
    <col min="5" max="5" width="13.625" style="9" customWidth="1"/>
    <col min="6" max="6" width="25.75" style="9" customWidth="1"/>
    <col min="7" max="7" width="18.625" style="9" customWidth="1"/>
    <col min="8" max="8" width="16.75" style="9" customWidth="1"/>
    <col min="9" max="9" width="27.125" style="9" customWidth="1"/>
    <col min="10" max="10" width="32.25" style="9" customWidth="1"/>
    <col min="11" max="11" width="29.875" style="9" customWidth="1"/>
    <col min="12" max="12" width="32.125" style="9" customWidth="1"/>
    <col min="13" max="13" width="19.625" style="9" customWidth="1"/>
    <col min="14" max="14" width="23.375" style="9" customWidth="1"/>
    <col min="15" max="15" width="23.25" style="9" customWidth="1"/>
    <col min="16" max="16" width="25" style="9" customWidth="1"/>
    <col min="17" max="17" width="29.125" style="9" customWidth="1"/>
    <col min="18" max="18" width="30.875" style="9" customWidth="1"/>
    <col min="19" max="19" width="31" style="9" customWidth="1"/>
    <col min="20" max="20" width="36.875" style="9" customWidth="1"/>
    <col min="21" max="21" width="47.375" style="9" customWidth="1"/>
    <col min="22" max="22" width="22.875" style="9" customWidth="1"/>
    <col min="23" max="23" width="49.375" style="9" customWidth="1"/>
    <col min="24" max="24" width="20.5" style="9" customWidth="1"/>
    <col min="25" max="25" width="28.25" style="9" customWidth="1"/>
    <col min="26" max="26" width="30.375" style="9" customWidth="1"/>
    <col min="27" max="27" width="59.875" style="9" customWidth="1"/>
    <col min="28" max="28" width="59.375" style="9" customWidth="1"/>
    <col min="29" max="29" width="34.625" style="9" customWidth="1"/>
    <col min="30" max="30" width="76.75" style="9" customWidth="1"/>
    <col min="31" max="31" width="18.25" style="9" customWidth="1"/>
    <col min="32" max="32" width="82.625" style="9" customWidth="1"/>
    <col min="33" max="33" width="20.5" style="9" customWidth="1"/>
    <col min="34" max="34" width="29" style="9" customWidth="1"/>
    <col min="35" max="35" width="49.875" style="9" customWidth="1"/>
    <col min="36" max="36" width="26.375" style="9" customWidth="1"/>
    <col min="37" max="37" width="33.125" style="9" customWidth="1"/>
    <col min="38" max="38" width="35.125" style="9" customWidth="1"/>
    <col min="39" max="39" width="36.25" style="9" customWidth="1"/>
    <col min="40" max="40" width="43.5" style="9" customWidth="1"/>
    <col min="41" max="41" width="41.625" style="9" customWidth="1"/>
    <col min="42" max="42" width="49.375" style="9" customWidth="1"/>
    <col min="43" max="43" width="39" style="9" customWidth="1"/>
    <col min="44" max="44" width="41" style="9" customWidth="1"/>
    <col min="45" max="45" width="42.125" style="9" customWidth="1"/>
    <col min="46" max="46" width="48.75" style="9" customWidth="1"/>
    <col min="47" max="47" width="22.375" style="9" customWidth="1"/>
    <col min="48" max="48" width="23.25" style="9" customWidth="1"/>
    <col min="49" max="49" width="56.25" style="9" customWidth="1"/>
    <col min="50" max="50" width="59.375" style="9" customWidth="1"/>
    <col min="51" max="51" width="40.5" style="9" customWidth="1"/>
    <col min="52" max="52" width="76.75" style="9" customWidth="1"/>
    <col min="53" max="53" width="43.125" style="9" customWidth="1"/>
    <col min="54" max="54" width="82.625" style="9" customWidth="1"/>
    <col min="55" max="16384" width="9.125" style="9" customWidth="1"/>
  </cols>
  <sheetData>
    <row r="1" ht="12.75" customHeight="1" customFormat="1">
      <c r="A1" t="s">
        <v>43</v>
      </c>
      <c r="B1" t="s">
        <v>17</v>
      </c>
      <c r="C1" t="s">
        <v>34</v>
      </c>
      <c r="D1" t="s">
        <v>93</v>
      </c>
      <c r="E1" t="s">
        <v>85</v>
      </c>
      <c r="F1" t="s">
        <v>77</v>
      </c>
      <c r="G1" t="s">
        <v>38</v>
      </c>
      <c r="H1" t="s">
        <v>39</v>
      </c>
      <c r="I1" t="s">
        <v>1</v>
      </c>
      <c r="J1" t="s">
        <v>61</v>
      </c>
      <c r="K1" t="s">
        <v>44</v>
      </c>
      <c r="L1" t="s">
        <v>35</v>
      </c>
      <c r="M1" t="s">
        <v>2</v>
      </c>
      <c r="N1" t="s">
        <v>68</v>
      </c>
      <c r="O1" t="s">
        <v>78</v>
      </c>
      <c r="P1" t="s">
        <v>79</v>
      </c>
      <c r="Q1" t="s">
        <v>69</v>
      </c>
      <c r="R1" t="s">
        <v>55</v>
      </c>
      <c r="S1" t="s">
        <v>80</v>
      </c>
      <c r="T1" t="s">
        <v>19</v>
      </c>
      <c r="U1" t="s">
        <v>63</v>
      </c>
      <c r="V1" t="s">
        <v>3</v>
      </c>
      <c r="W1" t="s">
        <v>88</v>
      </c>
      <c r="X1" t="s">
        <v>7</v>
      </c>
      <c r="Y1" t="s">
        <v>45</v>
      </c>
      <c r="Z1" t="s">
        <v>81</v>
      </c>
      <c r="AA1" t="s">
        <v>50</v>
      </c>
      <c r="AB1" t="s">
        <v>90</v>
      </c>
      <c r="AC1" t="s">
        <v>27</v>
      </c>
      <c r="AD1" t="s">
        <v>40</v>
      </c>
      <c r="AE1" t="s">
        <v>28</v>
      </c>
      <c r="AF1" t="s">
        <v>5</v>
      </c>
      <c r="AG1" t="s">
        <v>29</v>
      </c>
      <c r="AH1" t="s">
        <v>51</v>
      </c>
      <c r="AI1" t="s">
        <v>12</v>
      </c>
      <c r="AJ1" t="s">
        <v>64</v>
      </c>
      <c r="AK1" t="s">
        <v>57</v>
      </c>
      <c r="AL1" t="s">
        <v>95</v>
      </c>
      <c r="AM1" t="s">
        <v>91</v>
      </c>
      <c r="AN1" t="s">
        <v>30</v>
      </c>
      <c r="AO1" t="s">
        <v>31</v>
      </c>
      <c r="AP1" t="s">
        <v>13</v>
      </c>
      <c r="AQ1" t="s">
        <v>22</v>
      </c>
      <c r="AR1" t="s">
        <v>70</v>
      </c>
      <c r="AS1" t="s">
        <v>41</v>
      </c>
      <c r="AT1" t="s">
        <v>96</v>
      </c>
      <c r="AU1" t="s">
        <v>59</v>
      </c>
      <c r="AV1" t="s">
        <v>23</v>
      </c>
      <c r="AW1" t="s">
        <v>32</v>
      </c>
      <c r="AX1" t="s">
        <v>66</v>
      </c>
      <c r="AY1" t="s">
        <v>42</v>
      </c>
      <c r="AZ1" t="s">
        <v>6</v>
      </c>
      <c r="BA1" t="s">
        <v>97</v>
      </c>
      <c r="BB1" t="s">
        <v>71</v>
      </c>
    </row>
    <row r="2">
      <c r="A2" s="1">
        <v>1</v>
      </c>
      <c r="B2" s="1" t="s">
        <v>83</v>
      </c>
      <c r="C2" s="6" t="s">
        <v>76</v>
      </c>
      <c r="D2" s="6" t="s">
        <v>25</v>
      </c>
      <c r="E2" s="6" t="s">
        <v>26</v>
      </c>
      <c r="F2" s="6" t="s">
        <v>52</v>
      </c>
      <c r="G2" s="6" t="s">
        <v>60</v>
      </c>
      <c r="H2" s="1" t="s">
        <v>0</v>
      </c>
      <c r="I2" s="1" t="s">
        <v>53</v>
      </c>
      <c r="J2" s="8" t="str">
        <f ca="1" t="shared" si="0" ref="J2:K2">TEXT(TODAY(),"dd.mm.yyyy")</f>
        <v>04.11.2025</v>
      </c>
      <c r="K2" s="8" t="str">
        <f ca="1" t="shared" si="0"/>
        <v>04.11.2025</v>
      </c>
      <c r="L2" s="2" t="s">
        <v>54</v>
      </c>
      <c r="M2" s="2" t="s">
        <v>94</v>
      </c>
      <c r="N2" s="2">
        <v>10003308</v>
      </c>
      <c r="O2" s="2">
        <v>7403491</v>
      </c>
      <c r="P2" s="2" t="s">
        <v>62</v>
      </c>
      <c r="Q2" s="2">
        <v>7389294</v>
      </c>
      <c r="R2" s="2" t="s">
        <v>86</v>
      </c>
      <c r="S2" s="2" t="s">
        <v>56</v>
      </c>
      <c r="T2" s="2" t="s">
        <v>56</v>
      </c>
      <c r="U2" s="3" t="s">
        <v>87</v>
      </c>
      <c r="V2" s="3" t="e">
        <f>[1]Output!A2</f>
        <v>#REF!</v>
      </c>
      <c r="W2" s="4" t="e">
        <f>"Document "&amp;V2&amp;" posted"</f>
        <v>#REF!</v>
      </c>
      <c r="X2" s="1" t="s">
        <v>89</v>
      </c>
      <c r="Y2" s="5" t="e">
        <f>V2</f>
        <v>#REF!</v>
      </c>
      <c r="Z2" s="5" t="str">
        <f ca="1">TEXT(TODAY(),"yyyy")</f>
        <v>2025</v>
      </c>
      <c r="AA2" s="4" t="s">
        <v>4</v>
      </c>
      <c r="AB2" s="4" t="s">
        <v>20</v>
      </c>
      <c r="AC2" s="7">
        <v>2</v>
      </c>
      <c r="AD2" s="3" t="e">
        <f>[1]Output!B2</f>
        <v>#REF!</v>
      </c>
      <c r="AE2" s="3" t="e">
        <f>MID(AD2,7,16)</f>
        <v>#REF!</v>
      </c>
      <c r="AF2" s="4" t="e">
        <f>"IDoc '"&amp;AE2&amp;"' sent to SAP system"</f>
        <v>#REF!</v>
      </c>
      <c r="AG2" s="1" t="s">
        <v>21</v>
      </c>
      <c r="AH2" s="5" t="e">
        <f>VALUE(AE2)</f>
        <v>#REF!</v>
      </c>
      <c r="AI2" s="4" t="s">
        <v>74</v>
      </c>
      <c r="AJ2" s="1" t="s">
        <v>65</v>
      </c>
      <c r="AK2" s="2" t="s">
        <v>58</v>
      </c>
      <c r="AL2" s="5" t="e">
        <f>V2</f>
        <v>#REF!</v>
      </c>
      <c r="AM2" s="5" t="str">
        <f ca="1">Z2</f>
        <v>2025</v>
      </c>
      <c r="AN2" s="3" t="s">
        <v>36</v>
      </c>
      <c r="AO2" s="3" t="e">
        <f>[1]Output!C2</f>
        <v>#REF!</v>
      </c>
      <c r="AP2" s="4" t="e">
        <f>"Article document "&amp;AO2&amp;" posted"</f>
        <v>#REF!</v>
      </c>
      <c r="AQ2" s="2" t="s">
        <v>82</v>
      </c>
      <c r="AR2" s="5" t="e">
        <f>AO2</f>
        <v>#REF!</v>
      </c>
      <c r="AS2" s="5" t="str">
        <f ca="1">Z2</f>
        <v>2025</v>
      </c>
      <c r="AT2" s="4">
        <v>162</v>
      </c>
      <c r="AU2" s="1" t="s">
        <v>46</v>
      </c>
      <c r="AV2" s="1" t="s">
        <v>8</v>
      </c>
      <c r="AW2" s="4" t="s">
        <v>4</v>
      </c>
      <c r="AX2" s="4" t="s">
        <v>20</v>
      </c>
      <c r="AY2" s="7">
        <v>1</v>
      </c>
      <c r="AZ2" s="3" t="e">
        <f>[1]Output!D2</f>
        <v>#REF!</v>
      </c>
      <c r="BA2" s="3" t="e">
        <f>MID(AZ2,7,16)</f>
        <v>#REF!</v>
      </c>
      <c r="BB2" s="16" t="e">
        <f>"IDoc '"&amp;BA2&amp;"' sent to SAP system"</f>
        <v>#REF!</v>
      </c>
    </row>
    <row r="3">
      <c r="A3" s="1">
        <v>2</v>
      </c>
      <c r="B3" s="1" t="s">
        <v>73</v>
      </c>
      <c r="C3" s="1"/>
      <c r="D3" s="1"/>
      <c r="E3" s="1"/>
      <c r="F3" s="1"/>
      <c r="G3" s="1"/>
      <c r="H3" s="1"/>
      <c r="I3" s="1"/>
      <c r="J3" s="8"/>
      <c r="K3" s="1"/>
      <c r="L3" s="1"/>
      <c r="M3" s="1"/>
      <c r="N3" s="1"/>
      <c r="O3" s="2">
        <v>7392314</v>
      </c>
      <c r="P3" s="1"/>
      <c r="Q3" s="1">
        <v>7377602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>
        <v>162</v>
      </c>
      <c r="AU3" s="1"/>
      <c r="AV3" s="1"/>
      <c r="AW3" s="1"/>
      <c r="AX3" s="1"/>
      <c r="AY3" s="1"/>
      <c r="AZ3" s="1"/>
      <c r="BA3" s="1"/>
      <c r="BB3" s="1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1"/>
    </row>
    <row r="9">
      <c r="A9" s="1"/>
      <c r="B9" s="6" t="s">
        <v>84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1"/>
    </row>
    <row r="10">
      <c r="A10" s="1"/>
      <c r="B10" s="2" t="s">
        <v>37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1"/>
    </row>
    <row r="11">
      <c r="A11" s="1"/>
      <c r="B11" s="12" t="s">
        <v>75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1"/>
    </row>
    <row r="12">
      <c r="A12" s="1"/>
      <c r="B12" s="3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1"/>
    </row>
    <row r="13">
      <c r="A13" s="1"/>
      <c r="B13" s="17" t="s">
        <v>47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1"/>
    </row>
    <row r="14">
      <c r="A14" s="1"/>
      <c r="B14" s="5" t="s">
        <v>67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1"/>
    </row>
    <row r="15">
      <c r="A15" s="1"/>
      <c r="B15" s="4" t="s">
        <v>48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1"/>
    </row>
    <row r="16">
      <c r="A16" s="1"/>
      <c r="B16" s="14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1"/>
    </row>
    <row r="17">
      <c r="A17" s="1"/>
      <c r="B17" s="13" t="s">
        <v>11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1"/>
    </row>
    <row r="18">
      <c r="A18" s="1"/>
      <c r="B18" s="15" t="s">
        <v>49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F3"/>
  <sheetViews>
    <sheetView workbookViewId="0">
      <selection activeCell="A2" sqref="A2"/>
    </sheetView>
  </sheetViews>
  <sheetFormatPr defaultColWidth="9.125" defaultRowHeight="14.25"/>
  <cols>
    <col min="1" max="1" width="32.375" style="9" bestFit="1" customWidth="1"/>
    <col min="2" max="2" width="39.125" style="9" customWidth="1"/>
    <col min="3" max="3" width="37" style="9" bestFit="1" customWidth="1"/>
    <col min="4" max="4" width="87.875" style="9" bestFit="1" customWidth="1"/>
    <col min="5" max="16384" width="9.125" style="9" customWidth="1"/>
  </cols>
  <sheetData>
    <row r="1" ht="12.75" customHeight="1" customFormat="1">
      <c r="A1" t="s">
        <v>9</v>
      </c>
      <c r="B1" t="s">
        <v>33</v>
      </c>
      <c r="C1" t="s">
        <v>72</v>
      </c>
      <c r="D1" t="s">
        <v>14</v>
      </c>
      <c r="E1" t="s">
        <v>92</v>
      </c>
      <c r="F1" t="s">
        <v>16</v>
      </c>
    </row>
    <row r="2">
      <c r="A2" s="1">
        <v>5047141267</v>
      </c>
      <c r="B2" s="18"/>
      <c r="C2" s="1">
        <v>5042798506</v>
      </c>
      <c r="D2" s="3" t="s">
        <v>15</v>
      </c>
      <c r="E2" s="1"/>
      <c r="F2" s="11"/>
    </row>
    <row r="3">
      <c r="A3" s="1"/>
      <c r="B3" s="3" t="s">
        <v>24</v>
      </c>
      <c r="C3" s="1"/>
      <c r="D3" s="1"/>
      <c r="E3" s="1"/>
      <c r="F3" s="11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0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