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2P_01_01_0281_VAT_TASE" sheetId="3" r:id="rId3"/>
    <sheet name="TC2_P2P_01_01_0281_VAT_P1_TASE" sheetId="4" r:id="rId4"/>
    <sheet name="DataTransfer_1" sheetId="5" r:id="rId5"/>
    <sheet name="TC3_P2P_01_01_0281_VAT_P2_TASE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<sst xmlns="http://schemas.openxmlformats.org/spreadsheetml/2006/main" uniqueCount="105">
  <si>
    <t/>
  </si>
  <si>
    <t>DT_SAPTRANSACTIONCODE</t>
  </si>
  <si>
    <t>DT_MIRO_0010_AMOUNT</t>
  </si>
  <si>
    <t>DT_MIRO_0750_CHECK_GETCELLVALUE_OF_GRIDCELL_1_BSCHL</t>
  </si>
  <si>
    <t>40</t>
  </si>
  <si>
    <t>/nS_ALR_87012357</t>
  </si>
  <si>
    <t>RO02</t>
  </si>
  <si>
    <t>DT_MIRO_6000_CHECK_TEXT_OF_BALANCE_OUTPUT</t>
  </si>
  <si>
    <t>DT_MIRO_0010_AMOUNT_OCC1</t>
  </si>
  <si>
    <t>DT_MIRO_0750_CHECK_GETCELLVALUE_OF_GRIDCELL_0_BSCHL_OCC1</t>
  </si>
  <si>
    <t>DT_MIRO_0120_CHECK_TEXT_OF_NO_NAME_OCC1</t>
  </si>
  <si>
    <t>Verifications Date</t>
  </si>
  <si>
    <t>Data Coming from another test</t>
  </si>
  <si>
    <t>DT_MIRO_0010_TRANSACTION_KEY</t>
  </si>
  <si>
    <t>DT_MIRO_0010_REFERENCE</t>
  </si>
  <si>
    <t>44rr</t>
  </si>
  <si>
    <t>DT_MIRO_6211_RM08MEBELN</t>
  </si>
  <si>
    <t>DT_MIRO_6000_CHECK_TEXT_OF_BALANCE</t>
  </si>
  <si>
    <t>DT_MIRO_0010_CHECK_TEXT_OF_TAX_AMOUNT_OCC1</t>
  </si>
  <si>
    <t>DT_MIRO_0120_CHECK_TEXT_OF_NO_NAME</t>
  </si>
  <si>
    <t>DT_MIRO_0750_CHECK_TEXT_OF_DOCUMENT_NUMBER_OCC1_OUTPUT</t>
  </si>
  <si>
    <t>Output Data</t>
  </si>
  <si>
    <t>DT_MIRO_0010_POSTING_DATE</t>
  </si>
  <si>
    <t>DT_MIRO_0010_CALCULATE_TAX</t>
  </si>
  <si>
    <t>DT_MIRO_6000_CHECK_TEXT_OF_STATUSBAR</t>
  </si>
  <si>
    <t>/nMIRO</t>
  </si>
  <si>
    <t>DT_MIRO_6000_CHECK_TEXT_OF_BALANCE_OCC1</t>
  </si>
  <si>
    <t>%blank%</t>
  </si>
  <si>
    <t>200</t>
  </si>
  <si>
    <t>AUTOMI</t>
  </si>
  <si>
    <t>5b59a00befe79296a2aa0984</t>
  </si>
  <si>
    <t>ON</t>
  </si>
  <si>
    <t>DT_MIRO_0010_CHECK_TEXT_OF_TAX_AMOUNT</t>
  </si>
  <si>
    <t>DT_SAPTRANSACTIONCODE_DISPLAY_DOC</t>
  </si>
  <si>
    <t>DT_MIRO_0750_OKCD</t>
  </si>
  <si>
    <t>DT_MIRO_6211_RM08MEBELN_OCC1</t>
  </si>
  <si>
    <t xml:space="preserve">0,00 </t>
  </si>
  <si>
    <t>DT_SAPSYSTEM</t>
  </si>
  <si>
    <t>n</t>
  </si>
  <si>
    <t>DT_MIRO_6000_CHECK_MESSAGEPARAMETER_OF_STATUSBAR</t>
  </si>
  <si>
    <t>DT_MIRO_0750_CHECK_GETCELLVALUE_OF_GRIDCELL_1_KTONR</t>
  </si>
  <si>
    <t>DT_MIRO_0010_POSTING_DATE_OCC1</t>
  </si>
  <si>
    <t>DT_MIRO_1000_DOCUMENT_NUMBER</t>
  </si>
  <si>
    <t>DT_MIRO_0750_CHECK_TEXT_OF_DOCUMENT_NUMBER_OUTPUT</t>
  </si>
  <si>
    <t>DT_MIRO_0010_CHECK_TEXT_OF_TAX_AMOUNT_OCC1_OUTPUT</t>
  </si>
  <si>
    <t>0,00</t>
  </si>
  <si>
    <t>Input Data</t>
  </si>
  <si>
    <t>DT_SAPLANGUAGE</t>
  </si>
  <si>
    <t>DT_SAPOPTIONS</t>
  </si>
  <si>
    <t>DT_MIRO_6211_RM08MXWARE_BNK</t>
  </si>
  <si>
    <t>DT_MIRO_0750_CHECK_GETCELLVALUE_OF_GRIDCELL_0_BSCHL</t>
  </si>
  <si>
    <t>10003277</t>
  </si>
  <si>
    <t>22712201</t>
  </si>
  <si>
    <t>DT_MIRO_1000_FISCAL_YEAR</t>
  </si>
  <si>
    <t>SCENARIO</t>
  </si>
  <si>
    <t>DT_MIRO_0750_CHECK_GETCELLVALUE_OF_GRIDCELL_2_AZBET</t>
  </si>
  <si>
    <t>DT_MIRO_6211_RM08MXWARE_BNK_OCC1</t>
  </si>
  <si>
    <t>7u7u7</t>
  </si>
  <si>
    <t>DT_MIRO_1000_POSTING_DATE</t>
  </si>
  <si>
    <t>Formulas Date</t>
  </si>
  <si>
    <t>Verifications</t>
  </si>
  <si>
    <t>Execution Control Data</t>
  </si>
  <si>
    <t>31</t>
  </si>
  <si>
    <t>DT_MIRO_6000_CHECK_TEXT_OF_STATUSBAR_OCC1</t>
  </si>
  <si>
    <t>DT_MIRO_0010_CHECK_TEXT_OF_TAX_AMOUNT_OUTPUT</t>
  </si>
  <si>
    <t>74,09</t>
  </si>
  <si>
    <t>DT_MIRO_0010_INVOICE_DATE</t>
  </si>
  <si>
    <t>86</t>
  </si>
  <si>
    <t>DT_MIRO_0750_CHECK_GETCELLVALUE_OF_GRIDCELL_2_BSCHL</t>
  </si>
  <si>
    <t>DT_MIRO_3010_TABLECELL_SINGLE_VALUE_0</t>
  </si>
  <si>
    <t>EN</t>
  </si>
  <si>
    <t>MIRO</t>
  </si>
  <si>
    <t>1</t>
  </si>
  <si>
    <t>DT_MIRO_0010_CALCULATE_TAX_OCC1</t>
  </si>
  <si>
    <t>Formulas General</t>
  </si>
  <si>
    <t>MIR4</t>
  </si>
  <si>
    <t>DT_MIRO_0750_CHECK_GETCELLVALUE_OF_GRIDCELL_0_KTONR</t>
  </si>
  <si>
    <t>DT_MIRO_6000_CHECK_MESSAGEPARAMETER_OF_STATUSBAR_OCC1</t>
  </si>
  <si>
    <t>DT_MIRO_0750_CHECK_GETCELLVALUE_OF_GRIDCELL_1_KTONR_OCC1</t>
  </si>
  <si>
    <t>897,29-</t>
  </si>
  <si>
    <t>DT_MIRO_6000_CHECK_MESSAGEPARAMETER_OF_STATUSBAR_OCC1_OUTPUT</t>
  </si>
  <si>
    <t>DT_MIRO_0750_CHECK_TEXT_OF_DOCUMENT_NUMBER</t>
  </si>
  <si>
    <t>DT_MIRO_0010_INVOICE_DATE_OCC1</t>
  </si>
  <si>
    <t>DT_MIRO_0750_OKCD_OCC1</t>
  </si>
  <si>
    <t>DT_MIRO_1000_COMPANY_CODE</t>
  </si>
  <si>
    <t>DT_MIRO_0120_USR</t>
  </si>
  <si>
    <t>DT_MIRO_6000_CHECK_MESSAGEPARAMETER_OF_STATUSBAR_OUTPUT</t>
  </si>
  <si>
    <t>R1E - SAP RETAIL Pre-Production EUROPE</t>
  </si>
  <si>
    <t>Fixed Data</t>
  </si>
  <si>
    <t>DT_SAPPASSWORD</t>
  </si>
  <si>
    <t>DT_MIRO_0010_REFERENCE_OCC1</t>
  </si>
  <si>
    <t>DT_MIRO_0750_CHECK_TEXT_OF_DOCUMENT_NUMBER_OCC1</t>
  </si>
  <si>
    <t>DT_MIRO_3010_TABLECELL_SINGLE_VALUE_1</t>
  </si>
  <si>
    <t>ROW</t>
  </si>
  <si>
    <t>Login Information</t>
  </si>
  <si>
    <t>DT_SAPUSER</t>
  </si>
  <si>
    <t>11621102</t>
  </si>
  <si>
    <t>52,81</t>
  </si>
  <si>
    <t>99,00-</t>
  </si>
  <si>
    <t>DT_MIRO_0750_CHECK_GETCELLVALUE_OF_GRIDCELL_1_BSCHL_OCC1</t>
  </si>
  <si>
    <t>DT_MIRO_0750_CHECK_GETCELLVALUE_OF_GRIDCELL_0_KTONR_OCC1</t>
  </si>
  <si>
    <t>10003737</t>
  </si>
  <si>
    <t>DT_SAPCLIENT</t>
  </si>
  <si>
    <t>DT_MIRO_0750_CHECK_GETCELLVALUE_OF_GRIDCELL_2_KTONR</t>
  </si>
  <si>
    <t>DT_MIRO_6000_CHECK_TEXT_OF_BALANCE_OCC1_OUTPUT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</si>
</sst>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0"/>
    <numFmt numFmtId="166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4" fontId="1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5" fontId="1" fillId="2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166" fontId="1" fillId="6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281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E16"/>
  <sheetViews>
    <sheetView zoomScale="80"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9.125" style="10" customWidth="1"/>
    <col min="2" max="2" width="10" style="10" customWidth="1"/>
    <col min="3" max="3" width="37.625" style="10" customWidth="1"/>
    <col min="4" max="4" width="14.125" style="10" customWidth="1"/>
    <col min="5" max="5" width="12.75" style="10" customWidth="1"/>
    <col min="6" max="6" width="25.875" style="10" customWidth="1"/>
    <col min="7" max="7" width="17.75" style="10" customWidth="1"/>
    <col min="8" max="8" width="15.875" style="10" customWidth="1"/>
    <col min="9" max="10" width="25.875" style="10" customWidth="1"/>
    <col min="11" max="11" width="28.75" style="10" customWidth="1"/>
    <col min="12" max="12" width="29.125" style="10" customWidth="1"/>
    <col min="13" max="13" width="25.625" style="10" customWidth="1"/>
    <col min="14" max="14" width="27.75" style="10" customWidth="1"/>
    <col min="15" max="15" width="33.625" style="10" customWidth="1"/>
    <col min="16" max="16" width="30.125" style="10" customWidth="1"/>
    <col min="17" max="17" width="46.375" style="10" customWidth="1"/>
    <col min="18" max="18" width="41.625" style="10" customWidth="1"/>
    <col min="19" max="19" width="23.75" style="10" customWidth="1"/>
    <col min="20" max="20" width="57" style="10" customWidth="1"/>
    <col min="21" max="22" width="41.625" style="10" customWidth="1"/>
    <col min="23" max="23" width="55.125" style="10" customWidth="1"/>
    <col min="24" max="26" width="57.25" style="10" customWidth="1"/>
    <col min="27" max="29" width="58" style="10" customWidth="1"/>
    <col min="30" max="30" width="57.25" style="10" customWidth="1"/>
    <col min="31" max="31" width="20.375" style="10" customWidth="1"/>
    <col min="32" max="32" width="39.625" style="10" customWidth="1"/>
    <col min="33" max="33" width="34.75" style="10" customWidth="1"/>
    <col min="34" max="34" width="31.375" style="10" customWidth="1"/>
    <col min="35" max="35" width="35.125" style="10" customWidth="1"/>
    <col min="36" max="36" width="33.625" style="10" customWidth="1"/>
    <col min="37" max="37" width="36" style="10" customWidth="1"/>
    <col min="38" max="38" width="52.25" style="10" customWidth="1"/>
    <col min="39" max="39" width="47.375" style="10" customWidth="1"/>
    <col min="40" max="40" width="29.75" style="10" customWidth="1"/>
    <col min="41" max="41" width="63" style="10" customWidth="1"/>
    <col min="42" max="42" width="47.625" style="10" customWidth="1"/>
    <col min="43" max="43" width="56.75" style="10" customWidth="1"/>
    <col min="44" max="45" width="63.25" style="10" customWidth="1"/>
    <col min="46" max="47" width="64" style="10" customWidth="1"/>
    <col min="48" max="48" width="26.375" style="10" customWidth="1"/>
    <col min="49" max="49" width="30.875" style="10" customWidth="1"/>
    <col min="50" max="50" width="35" style="10" customWidth="1"/>
    <col min="51" max="51" width="27" style="10" customWidth="1"/>
    <col min="52" max="52" width="29.125" style="10" customWidth="1"/>
    <col min="53" max="54" width="41.125" style="10" customWidth="1"/>
    <col min="55" max="55" width="20.625" style="10" customWidth="1"/>
    <col min="56" max="56" width="40.75" style="10" customWidth="1"/>
    <col min="57" max="57" width="46.75" style="10" customWidth="1"/>
    <col min="58" max="16384" width="9.125" style="10" customWidth="1"/>
  </cols>
  <sheetData>
    <row r="1" ht="12.75" customHeight="1" customFormat="1">
      <c r="A1" t="s">
        <v>93</v>
      </c>
      <c r="B1" t="s">
        <v>54</v>
      </c>
      <c r="C1" t="s">
        <v>37</v>
      </c>
      <c r="D1" t="s">
        <v>102</v>
      </c>
      <c r="E1" t="s">
        <v>95</v>
      </c>
      <c r="F1" t="s">
        <v>89</v>
      </c>
      <c r="G1" t="s">
        <v>47</v>
      </c>
      <c r="H1" t="s">
        <v>48</v>
      </c>
      <c r="I1" t="s">
        <v>1</v>
      </c>
      <c r="J1" t="s">
        <v>13</v>
      </c>
      <c r="K1" t="s">
        <v>66</v>
      </c>
      <c r="L1" t="s">
        <v>22</v>
      </c>
      <c r="M1" t="s">
        <v>14</v>
      </c>
      <c r="N1" t="s">
        <v>16</v>
      </c>
      <c r="O1" t="s">
        <v>49</v>
      </c>
      <c r="P1" t="s">
        <v>23</v>
      </c>
      <c r="Q1" t="s">
        <v>32</v>
      </c>
      <c r="R1" t="s">
        <v>17</v>
      </c>
      <c r="S1" t="s">
        <v>2</v>
      </c>
      <c r="T1" t="s">
        <v>39</v>
      </c>
      <c r="U1" t="s">
        <v>24</v>
      </c>
      <c r="V1" t="s">
        <v>33</v>
      </c>
      <c r="W1" t="s">
        <v>81</v>
      </c>
      <c r="X1" t="s">
        <v>50</v>
      </c>
      <c r="Y1" t="s">
        <v>3</v>
      </c>
      <c r="Z1" t="s">
        <v>68</v>
      </c>
      <c r="AA1" t="s">
        <v>76</v>
      </c>
      <c r="AB1" t="s">
        <v>40</v>
      </c>
      <c r="AC1" t="s">
        <v>103</v>
      </c>
      <c r="AD1" t="s">
        <v>55</v>
      </c>
      <c r="AE1" t="s">
        <v>34</v>
      </c>
      <c r="AF1" t="s">
        <v>56</v>
      </c>
      <c r="AG1" t="s">
        <v>82</v>
      </c>
      <c r="AH1" t="s">
        <v>90</v>
      </c>
      <c r="AI1" t="s">
        <v>41</v>
      </c>
      <c r="AJ1" t="s">
        <v>35</v>
      </c>
      <c r="AK1" t="s">
        <v>73</v>
      </c>
      <c r="AL1" t="s">
        <v>18</v>
      </c>
      <c r="AM1" t="s">
        <v>26</v>
      </c>
      <c r="AN1" t="s">
        <v>8</v>
      </c>
      <c r="AO1" t="s">
        <v>77</v>
      </c>
      <c r="AP1" t="s">
        <v>63</v>
      </c>
      <c r="AQ1" t="s">
        <v>91</v>
      </c>
      <c r="AR1" t="s">
        <v>9</v>
      </c>
      <c r="AS1" t="s">
        <v>99</v>
      </c>
      <c r="AT1" t="s">
        <v>100</v>
      </c>
      <c r="AU1" t="s">
        <v>78</v>
      </c>
      <c r="AV1" t="s">
        <v>83</v>
      </c>
      <c r="AW1" t="s">
        <v>84</v>
      </c>
      <c r="AX1" t="s">
        <v>42</v>
      </c>
      <c r="AY1" t="s">
        <v>53</v>
      </c>
      <c r="AZ1" t="s">
        <v>58</v>
      </c>
      <c r="BA1" t="s">
        <v>69</v>
      </c>
      <c r="BB1" t="s">
        <v>92</v>
      </c>
      <c r="BC1" t="s">
        <v>85</v>
      </c>
      <c r="BD1" t="s">
        <v>19</v>
      </c>
      <c r="BE1" t="s">
        <v>10</v>
      </c>
    </row>
    <row r="2">
      <c r="A2" s="1">
        <v>2</v>
      </c>
      <c r="B2" s="1"/>
      <c r="C2" s="5" t="s">
        <v>87</v>
      </c>
      <c r="D2" s="5" t="s">
        <v>28</v>
      </c>
      <c r="E2" s="5" t="s">
        <v>29</v>
      </c>
      <c r="F2" s="5" t="s">
        <v>30</v>
      </c>
      <c r="G2" s="5" t="s">
        <v>70</v>
      </c>
      <c r="H2" s="5" t="s">
        <v>0</v>
      </c>
      <c r="I2" s="2" t="s">
        <v>71</v>
      </c>
      <c r="J2" s="2">
        <v>1</v>
      </c>
      <c r="K2" s="6">
        <f ca="1" t="shared" si="0" ref="K2:L2">TODAY()</f>
        <v>45963</v>
      </c>
      <c r="L2" s="6">
        <f ca="1" t="shared" si="0"/>
        <v>45963</v>
      </c>
      <c r="M2" s="2" t="s">
        <v>15</v>
      </c>
      <c r="N2" s="8">
        <v>4309530578</v>
      </c>
      <c r="O2" s="2" t="s">
        <v>72</v>
      </c>
      <c r="P2" s="2" t="s">
        <v>31</v>
      </c>
      <c r="Q2" s="4" t="e">
        <f>[1]Output!C2</f>
        <v>#REF!</v>
      </c>
      <c r="R2" s="4" t="e">
        <f>[1]Output!D2</f>
        <v>#REF!</v>
      </c>
      <c r="S2" s="2" t="e">
        <f>LEFT(R2,5)</f>
        <v>#REF!</v>
      </c>
      <c r="T2" s="4" t="e">
        <f>[1]Output!E2</f>
        <v>#REF!</v>
      </c>
      <c r="U2" s="3" t="e">
        <f>CONCATENATE("Document no. ",T2," created")</f>
        <v>#REF!</v>
      </c>
      <c r="V2" s="2" t="s">
        <v>75</v>
      </c>
      <c r="W2" s="4" t="e">
        <f>[1]Output!F2</f>
        <v>#REF!</v>
      </c>
      <c r="X2" s="3" t="s">
        <v>62</v>
      </c>
      <c r="Y2" s="3" t="s">
        <v>67</v>
      </c>
      <c r="Z2" s="3" t="s">
        <v>4</v>
      </c>
      <c r="AA2" s="3">
        <v>10003737</v>
      </c>
      <c r="AB2" s="3" t="s">
        <v>52</v>
      </c>
      <c r="AC2" s="3" t="s">
        <v>96</v>
      </c>
      <c r="AD2" s="12" t="s">
        <v>97</v>
      </c>
      <c r="AE2" s="2" t="s">
        <v>25</v>
      </c>
      <c r="AF2" s="2" t="s">
        <v>72</v>
      </c>
      <c r="AG2" s="6">
        <f ca="1">TODAY()</f>
        <v>45963</v>
      </c>
      <c r="AH2" s="2" t="s">
        <v>57</v>
      </c>
      <c r="AI2" s="6">
        <f ca="1">TODAY()</f>
        <v>45963</v>
      </c>
      <c r="AJ2" s="8">
        <v>4309527499</v>
      </c>
      <c r="AK2" s="2" t="s">
        <v>31</v>
      </c>
      <c r="AL2" s="4" t="e">
        <f>[1]Output!G2</f>
        <v>#REF!</v>
      </c>
      <c r="AM2" s="9" t="e">
        <f>[1]Output!H2</f>
        <v>#REF!</v>
      </c>
      <c r="AN2" s="16" t="e">
        <f>LEFT(AM2,5)</f>
        <v>#REF!</v>
      </c>
      <c r="AO2" s="4" t="e">
        <f>[1]Output!I2</f>
        <v>#REF!</v>
      </c>
      <c r="AP2" s="3" t="e">
        <f>CONCATENATE("Document no. ",AO2," created")</f>
        <v>#REF!</v>
      </c>
      <c r="AQ2" s="4" t="e">
        <f>[1]Output!J2</f>
        <v>#REF!</v>
      </c>
      <c r="AR2" s="3" t="s">
        <v>62</v>
      </c>
      <c r="AS2" s="3" t="s">
        <v>67</v>
      </c>
      <c r="AT2" s="3">
        <v>10057663</v>
      </c>
      <c r="AU2" s="3" t="s">
        <v>52</v>
      </c>
      <c r="AV2" s="2" t="s">
        <v>5</v>
      </c>
      <c r="AW2" s="2" t="s">
        <v>6</v>
      </c>
      <c r="AX2" s="2" t="s">
        <v>27</v>
      </c>
      <c r="AY2" s="18">
        <f ca="1" t="shared" si="1" ref="AY2:AZ2">TODAY()</f>
        <v>45963</v>
      </c>
      <c r="AZ2" s="6">
        <f ca="1" t="shared" si="1"/>
        <v>45963</v>
      </c>
      <c r="BA2" s="2" t="e">
        <f>W2</f>
        <v>#REF!</v>
      </c>
      <c r="BB2" s="2" t="e">
        <f>AQ2</f>
        <v>#REF!</v>
      </c>
      <c r="BC2" s="2">
        <v>58</v>
      </c>
      <c r="BD2" s="3" t="e">
        <f>Q2</f>
        <v>#REF!</v>
      </c>
      <c r="BE2" s="17" t="s">
        <v>27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 t="s">
        <v>51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3" t="s">
        <v>101</v>
      </c>
      <c r="AU3" s="1"/>
      <c r="AV3" s="1"/>
      <c r="AW3" s="1"/>
      <c r="AX3" s="1"/>
      <c r="AY3" s="1"/>
      <c r="AZ3" s="1"/>
      <c r="BA3" s="1"/>
      <c r="BB3" s="1"/>
      <c r="BC3" s="1">
        <v>58</v>
      </c>
      <c r="BD3" s="3" t="e">
        <f>CONCATENATE("%space%         ",Q2)</f>
        <v>#REF!</v>
      </c>
      <c r="BE3" s="11"/>
    </row>
    <row r="4">
      <c r="A4" s="1"/>
      <c r="B4" s="1"/>
      <c r="C4" s="5" t="s">
        <v>94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>
        <v>70</v>
      </c>
      <c r="BD4" s="1"/>
      <c r="BE4" s="11"/>
    </row>
    <row r="5">
      <c r="A5" s="1"/>
      <c r="B5" s="1"/>
      <c r="C5" s="2" t="s">
        <v>46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>
        <v>10017427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3">
        <v>10057663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1"/>
    </row>
    <row r="6">
      <c r="A6" s="1"/>
      <c r="B6" s="1"/>
      <c r="C6" s="15" t="s">
        <v>88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4">
        <v>5200451641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4" t="str">
        <f>"0,00"</f>
        <v>0,00</v>
      </c>
      <c r="AM6" s="9" t="s">
        <v>98</v>
      </c>
      <c r="AN6" s="1"/>
      <c r="AO6" s="4">
        <v>6026131579</v>
      </c>
      <c r="AP6" s="1"/>
      <c r="AQ6" s="4">
        <v>5200451642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1"/>
    </row>
    <row r="7">
      <c r="A7" s="1"/>
      <c r="B7" s="1"/>
      <c r="C7" s="4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4" t="str">
        <f>"0,00"</f>
        <v>0,00</v>
      </c>
      <c r="R7" s="4" t="str">
        <f>"0,00 "</f>
        <v xml:space="preserve">0,00 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1"/>
    </row>
    <row r="8">
      <c r="A8" s="1"/>
      <c r="B8" s="1"/>
      <c r="C8" s="6" t="s">
        <v>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1"/>
    </row>
    <row r="9">
      <c r="A9" s="1"/>
      <c r="B9" s="1"/>
      <c r="C9" s="19" t="s">
        <v>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1"/>
    </row>
    <row r="10">
      <c r="A10" s="1"/>
      <c r="B10" s="1"/>
      <c r="C10" s="3" t="s">
        <v>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1"/>
    </row>
    <row r="11">
      <c r="A11" s="1"/>
      <c r="B11" s="1"/>
      <c r="C11" s="14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1"/>
    </row>
    <row r="12">
      <c r="A12" s="1"/>
      <c r="B12" s="1"/>
      <c r="C12" s="8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1"/>
    </row>
    <row r="13">
      <c r="A13" s="1"/>
      <c r="B13" s="1"/>
      <c r="C13" s="13" t="s">
        <v>61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38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K2"/>
  <sheetViews>
    <sheetView topLeftCell="D1" workbookViewId="0">
      <selection activeCell="D2" sqref="D2"/>
    </sheetView>
  </sheetViews>
  <sheetFormatPr defaultColWidth="9.125" defaultRowHeight="14.25"/>
  <cols>
    <col min="1" max="2" width="9.125" style="10" customWidth="1"/>
    <col min="3" max="3" width="24.25" style="10" customWidth="1"/>
    <col min="4" max="4" width="20.625" style="10" customWidth="1"/>
    <col min="5" max="5" width="20.875" style="10" customWidth="1"/>
    <col min="6" max="6" width="16.125" style="10" customWidth="1"/>
    <col min="7" max="7" width="18.875" style="10" customWidth="1"/>
    <col min="8" max="8" width="15.625" style="10" customWidth="1"/>
    <col min="9" max="9" width="22.875" style="10" customWidth="1"/>
    <col min="10" max="10" width="15.375" style="10" customWidth="1"/>
    <col min="11" max="16384" width="9.125" style="10" customWidth="1"/>
  </cols>
  <sheetData>
    <row r="1" ht="12.75" customHeight="1" customFormat="1">
      <c r="A1" t="s">
        <v>93</v>
      </c>
      <c r="B1" t="s">
        <v>54</v>
      </c>
      <c r="C1" t="s">
        <v>64</v>
      </c>
      <c r="D1" t="s">
        <v>7</v>
      </c>
      <c r="E1" t="s">
        <v>86</v>
      </c>
      <c r="F1" t="s">
        <v>43</v>
      </c>
      <c r="G1" t="s">
        <v>44</v>
      </c>
      <c r="H1" t="s">
        <v>104</v>
      </c>
      <c r="I1" t="s">
        <v>80</v>
      </c>
      <c r="J1" t="s">
        <v>20</v>
      </c>
      <c r="K1" t="s">
        <v>26</v>
      </c>
    </row>
    <row r="2">
      <c r="A2" s="1">
        <v>2</v>
      </c>
      <c r="B2" s="1"/>
      <c r="C2" s="1" t="s">
        <v>65</v>
      </c>
      <c r="D2" s="1" t="s">
        <v>79</v>
      </c>
      <c r="E2" s="1">
        <v>6056580206</v>
      </c>
      <c r="F2" s="1">
        <v>5200049530</v>
      </c>
      <c r="G2" s="1" t="s">
        <v>45</v>
      </c>
      <c r="H2" s="1" t="s">
        <v>36</v>
      </c>
      <c r="I2" s="1"/>
      <c r="J2" s="1">
        <v>5200049530</v>
      </c>
      <c r="K2" s="11" t="s">
        <v>98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