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ataTransfer_1" sheetId="3" r:id="rId3"/>
    <sheet name="TC1_Test_P2P_01_01_042_P1_TASE" sheetId="4" r:id="rId4"/>
    <sheet name="TC2_Test_P2P_01_01_042_P2_TASE" sheetId="5" r:id="rId5"/>
    <sheet name="TC3_Test_P2P_01_01_042_P3_TASE" sheetId="6" r:id="rId6"/>
  </sheets>
  <externalReferences>
    <externalReference r:id="rId10"/>
  </externalReferences>
  <calcPr calcId="40001"/>
</workbook>
</file>

<file path=xl/sharedStrings.xml><?xml version="1.0" encoding="utf-8"?>
<sst xmlns="http://schemas.openxmlformats.org/spreadsheetml/2006/main" uniqueCount="81">
  <si>
    <t/>
  </si>
  <si>
    <t>DT_SAPTRANSACTIONCODE</t>
  </si>
  <si>
    <t>RO02</t>
  </si>
  <si>
    <t>DT_MIRO_0010_AMOUNT</t>
  </si>
  <si>
    <t>DT_MIRO_6005_DETAILS</t>
  </si>
  <si>
    <t>DT_MIRO_0750_CHECK_GETCELLVALUE_OF_GRIDCELL_1_BSCHL</t>
  </si>
  <si>
    <t>40</t>
  </si>
  <si>
    <t>CN_9</t>
  </si>
  <si>
    <t>Verifications Date</t>
  </si>
  <si>
    <t>Data Coming from another test</t>
  </si>
  <si>
    <t>DT_MIRO_6211_RM08MEBELN</t>
  </si>
  <si>
    <t>DT_MIRO_0010_REFERENCE</t>
  </si>
  <si>
    <t>/nFB03</t>
  </si>
  <si>
    <t>AP</t>
  </si>
  <si>
    <t>Output Data</t>
  </si>
  <si>
    <t>DT_MIRO_0010_POSTING_DATE</t>
  </si>
  <si>
    <t>DT_MIRO_0010_CALCULATE_TAX</t>
  </si>
  <si>
    <t>DT_MIRO_6000_CHECK_TEXT_OF_STATUSBAR</t>
  </si>
  <si>
    <t>DT_MIRO_0100_FISCAL_YEAR</t>
  </si>
  <si>
    <t>DT_MIRO_0750_CHECK_GETCELLVALUE_OF_GRIDCELL_3_BSCHL</t>
  </si>
  <si>
    <t>200</t>
  </si>
  <si>
    <t>AUTOMI</t>
  </si>
  <si>
    <t>ON</t>
  </si>
  <si>
    <t>DT_MIRO_0750_OKCD</t>
  </si>
  <si>
    <t xml:space="preserve">0,00 </t>
  </si>
  <si>
    <t>DT_SAPSYSTEM</t>
  </si>
  <si>
    <t>DT_LEFT</t>
  </si>
  <si>
    <t>DT_MIRO_6000_CHECK_MESSAGEPARAMETER_OF_STATUSBAR</t>
  </si>
  <si>
    <t>DT_MIRO_0750_CHECK_GETCELLVALUE_OF_GRIDCELL_1_KTONR</t>
  </si>
  <si>
    <t>DT_MIRO_0750_CHECK_TEXT_OF_DOCUMENT_NUMBER_OUTPUT</t>
  </si>
  <si>
    <t>AT_P2P_01_01_042-Returns to EU Vendors</t>
  </si>
  <si>
    <t>Input Data</t>
  </si>
  <si>
    <t>DT_SAPLANGUAGE</t>
  </si>
  <si>
    <t>DT_SAPOPTIONS</t>
  </si>
  <si>
    <t>DT_MIRO_6211_RM08MXWARE_BNK</t>
  </si>
  <si>
    <t>DT_MIRO_0750_CHECK_GETCELLVALUE_OF_GRIDCELL_0_BSCHL</t>
  </si>
  <si>
    <t>96</t>
  </si>
  <si>
    <t>22712201</t>
  </si>
  <si>
    <t>SCENARIO</t>
  </si>
  <si>
    <t>Formulas Date</t>
  </si>
  <si>
    <t>Verifications</t>
  </si>
  <si>
    <t>Execution Control Data</t>
  </si>
  <si>
    <t>DT_MIRO_0750_CHECK_GETCELLVALUE_OF_GRIDCELL_1_EBELN</t>
  </si>
  <si>
    <t>RW000006</t>
  </si>
  <si>
    <t>110,64-</t>
  </si>
  <si>
    <t>DT_MIRO_0750_CHECK_GETCELLVALUE_OF_GRIDCELL_2_BSCHL</t>
  </si>
  <si>
    <t>DT_MIRO_0750_CHECK_GETCELLVALUE_OF_GRIDCELL_3_KTONR</t>
  </si>
  <si>
    <t>DT_GET_AMOUNT_OUTPUT</t>
  </si>
  <si>
    <t>EN</t>
  </si>
  <si>
    <t>MIRO</t>
  </si>
  <si>
    <t>1</t>
  </si>
  <si>
    <t>DT_INCREMENT</t>
  </si>
  <si>
    <t>DT_MIRO_0750_CHECK_GETCELLVALUE_OF_GRIDCELL_0_BUKRS</t>
  </si>
  <si>
    <t>DT_MIRO_0750_CHECK_GETCELLVALUE_OF_GRIDCELL_1_PRCTR</t>
  </si>
  <si>
    <t>Formulas General</t>
  </si>
  <si>
    <t>DT_MIRO_0750_CHECK_GETCELLVALUE_OF_GRIDCELL_0_KTONR</t>
  </si>
  <si>
    <t>DT_MIRO_1000_COMPANY_CODE</t>
  </si>
  <si>
    <t>RG</t>
  </si>
  <si>
    <t>DT_MIRO_0750_CHECK_TEXT_OF_DOCUMENT_NUMBER</t>
  </si>
  <si>
    <t>DT_MIRO_0100_COMPANY_CODE</t>
  </si>
  <si>
    <t>21</t>
  </si>
  <si>
    <t>50</t>
  </si>
  <si>
    <t>DT_MIRO_6000_CHECK_MESSAGEPARAMETER_OF_STATUSBAR_OUTPUT</t>
  </si>
  <si>
    <t>R1E - SAP RETAIL Pre-Production EUROPE</t>
  </si>
  <si>
    <t>Fixed Data</t>
  </si>
  <si>
    <t>DT_SAPPASSWORD</t>
  </si>
  <si>
    <t>5b17e83be64a87d2b8511cbe</t>
  </si>
  <si>
    <t>DT_MIRO_0100_DOCUMENT_NUMBER</t>
  </si>
  <si>
    <t>DT_MIRO_0750_CHECK_TEXT_OF_DOCUMENT_NUMBER_OCC1</t>
  </si>
  <si>
    <t>10051516</t>
  </si>
  <si>
    <t>22911102</t>
  </si>
  <si>
    <t>ROW</t>
  </si>
  <si>
    <t>Login Information</t>
  </si>
  <si>
    <t>DT_SAPUSER</t>
  </si>
  <si>
    <t>DT_MIRO_0010_DOCUMENT_DATE</t>
  </si>
  <si>
    <t>DT_MIRO_0010_AMOUNT2</t>
  </si>
  <si>
    <t>2</t>
  </si>
  <si>
    <t>11621102</t>
  </si>
  <si>
    <t>DT_SAPCLIENT</t>
  </si>
  <si>
    <t>DT_MIRO_0150_DOC_TYPE</t>
  </si>
  <si>
    <t>DT_MIRO_0750_CHECK_GETCELLVALUE_OF_GRIDCELL_2_KTONR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</si>
</sst>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165" fontId="1" fillId="6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MI\RETAIL\TASE_DT_P2P_01_01_042-Returns%20to%20EU%20Vendors_P3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P13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9.125" style="9" customWidth="1"/>
    <col min="2" max="2" width="37.5" style="9" customWidth="1"/>
    <col min="3" max="3" width="38.125" style="9" customWidth="1"/>
    <col min="4" max="4" width="15" style="9" customWidth="1"/>
    <col min="5" max="5" width="13.625" style="9" customWidth="1"/>
    <col min="6" max="6" width="26.625" style="9" customWidth="1"/>
    <col min="7" max="7" width="18.625" style="9" customWidth="1"/>
    <col min="8" max="8" width="16.75" style="9" customWidth="1"/>
    <col min="9" max="9" width="27.125" style="9" customWidth="1"/>
    <col min="10" max="10" width="30.875" style="9" customWidth="1"/>
    <col min="11" max="11" width="27.875" style="9" customWidth="1"/>
    <col min="12" max="12" width="33.625" style="9" customWidth="1"/>
    <col min="13" max="13" width="32.25" style="9" customWidth="1"/>
    <col min="14" max="14" width="31.75" style="9" customWidth="1"/>
    <col min="15" max="15" width="26.875" style="9" customWidth="1"/>
    <col min="16" max="16" width="29.875" style="9" customWidth="1"/>
    <col min="17" max="17" width="30.875" style="9" customWidth="1"/>
    <col min="18" max="19" width="30.125" style="9" customWidth="1"/>
    <col min="20" max="20" width="23.75" style="9" customWidth="1"/>
    <col min="21" max="21" width="23.25" style="9" customWidth="1"/>
    <col min="22" max="22" width="25.375" style="9" customWidth="1"/>
    <col min="23" max="23" width="59.5" style="9" customWidth="1"/>
    <col min="24" max="24" width="43.5" style="9" customWidth="1"/>
    <col min="25" max="25" width="51.875" style="9" customWidth="1"/>
    <col min="26" max="26" width="20.5" style="9" customWidth="1"/>
    <col min="27" max="27" width="35.25" style="9" customWidth="1"/>
    <col min="28" max="28" width="30.875" style="9" customWidth="1"/>
    <col min="29" max="29" width="27.875" style="9" customWidth="1"/>
    <col min="30" max="30" width="57.75" style="9" customWidth="1"/>
    <col min="31" max="31" width="60.125" style="9" customWidth="1"/>
    <col min="32" max="35" width="59.875" style="9" customWidth="1"/>
    <col min="36" max="39" width="60.25" style="9" customWidth="1"/>
    <col min="40" max="40" width="59.875" style="9" customWidth="1"/>
    <col min="41" max="41" width="60.25" style="9" customWidth="1"/>
    <col min="42" max="42" width="10.875" style="9" bestFit="1" customWidth="1"/>
    <col min="43" max="16384" width="9.125" style="9" customWidth="1"/>
  </cols>
  <sheetData>
    <row r="1" ht="12.75" customHeight="1" customFormat="1">
      <c r="A1" t="s">
        <v>71</v>
      </c>
      <c r="B1" t="s">
        <v>38</v>
      </c>
      <c r="C1" t="s">
        <v>25</v>
      </c>
      <c r="D1" t="s">
        <v>78</v>
      </c>
      <c r="E1" t="s">
        <v>73</v>
      </c>
      <c r="F1" t="s">
        <v>65</v>
      </c>
      <c r="G1" t="s">
        <v>32</v>
      </c>
      <c r="H1" t="s">
        <v>33</v>
      </c>
      <c r="I1" t="s">
        <v>1</v>
      </c>
      <c r="J1" t="s">
        <v>56</v>
      </c>
      <c r="K1" t="s">
        <v>10</v>
      </c>
      <c r="L1" t="s">
        <v>34</v>
      </c>
      <c r="M1" t="s">
        <v>74</v>
      </c>
      <c r="N1" t="s">
        <v>51</v>
      </c>
      <c r="O1" t="s">
        <v>11</v>
      </c>
      <c r="P1" t="s">
        <v>15</v>
      </c>
      <c r="Q1" t="s">
        <v>16</v>
      </c>
      <c r="R1" t="s">
        <v>26</v>
      </c>
      <c r="S1" t="s">
        <v>75</v>
      </c>
      <c r="T1" t="s">
        <v>3</v>
      </c>
      <c r="U1" t="s">
        <v>4</v>
      </c>
      <c r="V1" t="s">
        <v>79</v>
      </c>
      <c r="W1" t="s">
        <v>27</v>
      </c>
      <c r="X1" t="s">
        <v>17</v>
      </c>
      <c r="Y1" t="s">
        <v>58</v>
      </c>
      <c r="Z1" t="s">
        <v>23</v>
      </c>
      <c r="AA1" t="s">
        <v>67</v>
      </c>
      <c r="AB1" t="s">
        <v>59</v>
      </c>
      <c r="AC1" t="s">
        <v>18</v>
      </c>
      <c r="AD1" t="s">
        <v>68</v>
      </c>
      <c r="AE1" t="s">
        <v>52</v>
      </c>
      <c r="AF1" t="s">
        <v>35</v>
      </c>
      <c r="AG1" t="s">
        <v>5</v>
      </c>
      <c r="AH1" t="s">
        <v>45</v>
      </c>
      <c r="AI1" t="s">
        <v>19</v>
      </c>
      <c r="AJ1" t="s">
        <v>55</v>
      </c>
      <c r="AK1" t="s">
        <v>28</v>
      </c>
      <c r="AL1" t="s">
        <v>80</v>
      </c>
      <c r="AM1" t="s">
        <v>46</v>
      </c>
      <c r="AN1" t="s">
        <v>42</v>
      </c>
      <c r="AO1" t="s">
        <v>53</v>
      </c>
      <c r="AP1" t="s">
        <v>13</v>
      </c>
    </row>
    <row r="2">
      <c r="A2" s="1">
        <v>2</v>
      </c>
      <c r="B2" s="8" t="s">
        <v>30</v>
      </c>
      <c r="C2" s="4" t="s">
        <v>63</v>
      </c>
      <c r="D2" s="4" t="s">
        <v>20</v>
      </c>
      <c r="E2" s="4" t="s">
        <v>21</v>
      </c>
      <c r="F2" s="4" t="s">
        <v>66</v>
      </c>
      <c r="G2" s="4" t="s">
        <v>48</v>
      </c>
      <c r="H2" s="4" t="s">
        <v>0</v>
      </c>
      <c r="I2" s="4" t="s">
        <v>49</v>
      </c>
      <c r="J2" s="3" t="s">
        <v>2</v>
      </c>
      <c r="K2" s="11">
        <v>4309527181</v>
      </c>
      <c r="L2" s="3" t="s">
        <v>50</v>
      </c>
      <c r="M2" s="7">
        <f ca="1">TODAY()</f>
        <v>45963</v>
      </c>
      <c r="N2" s="3">
        <v>100</v>
      </c>
      <c r="O2" s="3" t="s">
        <v>7</v>
      </c>
      <c r="P2" s="7">
        <f ca="1">TODAY()</f>
        <v>45963</v>
      </c>
      <c r="Q2" s="3" t="s">
        <v>22</v>
      </c>
      <c r="R2" s="3" t="s">
        <v>44</v>
      </c>
      <c r="S2" s="3" t="s">
        <v>22</v>
      </c>
      <c r="T2" s="3">
        <v>87</v>
      </c>
      <c r="U2" s="3" t="s">
        <v>76</v>
      </c>
      <c r="V2" s="3" t="s">
        <v>57</v>
      </c>
      <c r="W2" s="6" t="e">
        <f>[1]Output!C2</f>
        <v>#REF!</v>
      </c>
      <c r="X2" s="2" t="e">
        <f>CONCATENATE("Document no. ",W2," created")</f>
        <v>#REF!</v>
      </c>
      <c r="Y2" s="6" t="e">
        <f>[1]Output!E2</f>
        <v>#REF!</v>
      </c>
      <c r="Z2" s="3" t="s">
        <v>12</v>
      </c>
      <c r="AA2" s="3" t="e">
        <f>Y2</f>
        <v>#REF!</v>
      </c>
      <c r="AB2" s="3" t="s">
        <v>2</v>
      </c>
      <c r="AC2" s="14">
        <f ca="1">TODAY()</f>
        <v>45963</v>
      </c>
      <c r="AD2" s="2" t="e">
        <f>Y2</f>
        <v>#REF!</v>
      </c>
      <c r="AE2" s="2" t="s">
        <v>2</v>
      </c>
      <c r="AF2" s="2" t="s">
        <v>60</v>
      </c>
      <c r="AG2" s="2" t="s">
        <v>36</v>
      </c>
      <c r="AH2" s="2" t="s">
        <v>6</v>
      </c>
      <c r="AI2" s="2" t="s">
        <v>61</v>
      </c>
      <c r="AJ2" s="2" t="s">
        <v>69</v>
      </c>
      <c r="AK2" s="2" t="s">
        <v>37</v>
      </c>
      <c r="AL2" s="2" t="s">
        <v>70</v>
      </c>
      <c r="AM2" s="2" t="s">
        <v>77</v>
      </c>
      <c r="AN2" s="2">
        <f>K2</f>
        <v>4309527181</v>
      </c>
      <c r="AO2" s="2" t="s">
        <v>43</v>
      </c>
      <c r="AP2" s="10">
        <v>4306156914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3" t="str">
        <f>LEFT(R3,5)</f>
        <v/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0"/>
    </row>
    <row r="4">
      <c r="A4" s="1"/>
      <c r="B4" s="1"/>
      <c r="C4" s="4" t="s">
        <v>72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0"/>
    </row>
    <row r="5">
      <c r="A5" s="1"/>
      <c r="B5" s="1"/>
      <c r="C5" s="3" t="s">
        <v>31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0"/>
    </row>
    <row r="6">
      <c r="A6" s="1"/>
      <c r="B6" s="1"/>
      <c r="C6" s="15" t="s">
        <v>64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0"/>
    </row>
    <row r="7">
      <c r="A7" s="1"/>
      <c r="B7" s="1"/>
      <c r="C7" s="6" t="s">
        <v>14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0"/>
    </row>
    <row r="8">
      <c r="A8" s="1"/>
      <c r="B8" s="1"/>
      <c r="C8" s="7" t="s">
        <v>39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0"/>
    </row>
    <row r="9">
      <c r="A9" s="1"/>
      <c r="B9" s="1"/>
      <c r="C9" s="13" t="s">
        <v>54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0"/>
    </row>
    <row r="10">
      <c r="A10" s="1"/>
      <c r="B10" s="1"/>
      <c r="C10" s="2" t="s">
        <v>40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0"/>
    </row>
    <row r="11">
      <c r="A11" s="1"/>
      <c r="B11" s="1"/>
      <c r="C11" s="16" t="s">
        <v>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0"/>
    </row>
    <row r="12">
      <c r="A12" s="1"/>
      <c r="B12" s="1"/>
      <c r="C12" s="11" t="s">
        <v>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0"/>
    </row>
    <row r="13">
      <c r="A13" s="1"/>
      <c r="B13" s="1"/>
      <c r="C13" s="12" t="s">
        <v>41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0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selection activeCell="A2" sqref="A2"/>
    </sheetView>
  </sheetViews>
  <sheetFormatPr defaultColWidth="9.125" defaultRowHeight="14.25"/>
  <cols>
    <col min="1" max="2" width="9.125" style="9" customWidth="1"/>
    <col min="3" max="3" width="69.75" style="9" bestFit="1" customWidth="1"/>
    <col min="4" max="4" width="26.625" style="9" bestFit="1" customWidth="1"/>
    <col min="5" max="5" width="62.875" style="9" bestFit="1" customWidth="1"/>
    <col min="6" max="16384" width="9.125" style="9" customWidth="1"/>
  </cols>
  <sheetData>
    <row r="1" ht="12.75" customHeight="1" customFormat="1">
      <c r="A1" t="s">
        <v>71</v>
      </c>
      <c r="B1" t="s">
        <v>38</v>
      </c>
      <c r="C1" t="s">
        <v>62</v>
      </c>
      <c r="D1" t="s">
        <v>47</v>
      </c>
      <c r="E1" t="s">
        <v>29</v>
      </c>
    </row>
    <row r="2">
      <c r="A2" s="1">
        <v>2</v>
      </c>
      <c r="B2" s="8" t="s">
        <v>30</v>
      </c>
      <c r="C2" s="1"/>
      <c r="D2" s="1" t="s">
        <v>24</v>
      </c>
      <c r="E2" s="10">
        <v>5300000447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