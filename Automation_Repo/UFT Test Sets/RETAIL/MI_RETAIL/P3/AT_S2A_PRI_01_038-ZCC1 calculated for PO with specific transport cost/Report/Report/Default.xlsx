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2_DataTransfer_1" sheetId="3" r:id="rId3"/>
    <sheet name="TC6_DataTransfer_3" sheetId="4" r:id="rId4"/>
    <sheet name="TC4_DataTransfer_2" sheetId="5" r:id="rId5"/>
    <sheet name="TC1_PRE_Create_ZMPO_PO_Pric_038" sheetId="6" r:id="rId6"/>
    <sheet name="TC3_S2A_PRI_038-ZCC1 PO_ZHC5" sheetId="7" r:id="rId7"/>
    <sheet name="TC5_Test_S2A_PRI_01_038_P2" sheetId="8" r:id="rId8"/>
    <sheet name="TC7_Test_S2A_PRI_01_038_P3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<sst xmlns="http://schemas.openxmlformats.org/spreadsheetml/2006/main" uniqueCount="73">
  <si>
    <t/>
  </si>
  <si>
    <t>DT_SAPTRANSACTIONCODE</t>
  </si>
  <si>
    <t>WE</t>
  </si>
  <si>
    <t>101</t>
  </si>
  <si>
    <t>DT_MEK1_1000_ONLY_DISPLAY_OCC1</t>
  </si>
  <si>
    <t>false</t>
  </si>
  <si>
    <t>DT_MEK1_0120_CHECK_TEXT_OF_NO_NAME</t>
  </si>
  <si>
    <t>S2A_PRI_01_038-ZCC1 calculated for PO_P3_Condition</t>
  </si>
  <si>
    <t>DT_MEK1_1000_VENDOR</t>
  </si>
  <si>
    <t>DT_MEK1_0100_CHECK_GETCELLVALUE_OF_GRIDCELL_0_BEWTK</t>
  </si>
  <si>
    <t>Verifications Date</t>
  </si>
  <si>
    <t>Data Coming from another test</t>
  </si>
  <si>
    <t>DT_MEK1_1000_PURCH_ORGANIZATION_OCC1</t>
  </si>
  <si>
    <t>DT_MEK1_1000_ARTICLE_OCC1</t>
  </si>
  <si>
    <t>DT_MEK1_0120_NO_NAME_OCC1</t>
  </si>
  <si>
    <t>Creation of Conditions completed - Check log</t>
  </si>
  <si>
    <t>Output Data</t>
  </si>
  <si>
    <t>Scenario</t>
  </si>
  <si>
    <t>DT_MEK1_0100_CONDITION_TYPE</t>
  </si>
  <si>
    <t>DT_MEK1_0120_NO_NAME</t>
  </si>
  <si>
    <t>DT_MEK1_1000_PURCHASING_DOCUMENT</t>
  </si>
  <si>
    <t>BzWE</t>
  </si>
  <si>
    <t>IF(OR(WEEKDAY(Y2;2) = 1; WEEKDAY(Y2;2) = 2; WEEKDAY(Y2;2) = 3; WEEKDAY(Y2;2) = 4; WEEKDAY(Y2;2) = 5);TEXT(Y2+(5-WEEKDAY(Y2;2));"j.MM.YYYY" ))</t>
  </si>
  <si>
    <t>DT_MEK1_1000_SITE</t>
  </si>
  <si>
    <t>OFF</t>
  </si>
  <si>
    <t>DT_MEK1_0120_CHECK_TEXT_OF_STATUSBAR</t>
  </si>
  <si>
    <t>_ DT_MEK1_1084_CHECK_TEXT_OF_TABLECELL_AMOUNT_0_OUTPUT</t>
  </si>
  <si>
    <t>200</t>
  </si>
  <si>
    <t>RP01</t>
  </si>
  <si>
    <t>ON</t>
  </si>
  <si>
    <t>/nzmdpc_Price_cond</t>
  </si>
  <si>
    <t xml:space="preserve">Last day of the working week </t>
  </si>
  <si>
    <t>DT_SAPSYSTEM</t>
  </si>
  <si>
    <t>AUTOAB</t>
  </si>
  <si>
    <t>DT_MEK1_1000_PURCH_ORGANIZATION</t>
  </si>
  <si>
    <t>DT_MEK1_0100_CHECK_GETCELLVALUE_OF_GRIDCELL_2_BEWTK</t>
  </si>
  <si>
    <t>DT_MEK1_1000_PURCHASE_ORDER</t>
  </si>
  <si>
    <t>Input Data</t>
  </si>
  <si>
    <t>DT_SAPLANGUAGE</t>
  </si>
  <si>
    <t>DT_SAPOPTIONS</t>
  </si>
  <si>
    <t>RE-L</t>
  </si>
  <si>
    <t>Should be in weekday</t>
  </si>
  <si>
    <t>Row</t>
  </si>
  <si>
    <t>DT_MEK1_1084_OKCD</t>
  </si>
  <si>
    <t>Formulas Date</t>
  </si>
  <si>
    <t>Verifications</t>
  </si>
  <si>
    <t>Execution Control Data</t>
  </si>
  <si>
    <t>7416981</t>
  </si>
  <si>
    <t>DT_MEK1_0100_CHECK_GETCELLVALUE_OF_GRIDCELL_4_BEWTK</t>
  </si>
  <si>
    <t>DT_MEK1_0400_OKCD</t>
  </si>
  <si>
    <t>DT_MEK1_1000_ENTRY_DATE</t>
  </si>
  <si>
    <t>5c17c69e16075fd6272e814117</t>
  </si>
  <si>
    <t>MEK1</t>
  </si>
  <si>
    <t>ZCC1</t>
  </si>
  <si>
    <t>DT_MEK1_1000_ONLY_DISPLAY</t>
  </si>
  <si>
    <t>EN</t>
  </si>
  <si>
    <t>EVG90202</t>
  </si>
  <si>
    <t>Formulas General</t>
  </si>
  <si>
    <t>/nmb5s</t>
  </si>
  <si>
    <t>Test</t>
  </si>
  <si>
    <t>DT_MEK1_1000_VENDOR_OCC1</t>
  </si>
  <si>
    <t>RW01</t>
  </si>
  <si>
    <t>Fixed Data</t>
  </si>
  <si>
    <t>R1E - SAP RETAIL Pre-Production EUROPE</t>
  </si>
  <si>
    <t>DT_SAPPASSWORD</t>
  </si>
  <si>
    <t>DT_MEK1_1000_ARTICLE</t>
  </si>
  <si>
    <t xml:space="preserve">0,38 </t>
  </si>
  <si>
    <t>Login Information</t>
  </si>
  <si>
    <t>DT_SAPUSER</t>
  </si>
  <si>
    <t>DT_MEK1_1084_CHECK_TEXT_OF_TABLECELL_AMOUNT_0</t>
  </si>
  <si>
    <t>DT_SAPCLIENT</t>
  </si>
  <si>
    <t>DT_MEK1_1000_TO</t>
  </si>
  <si>
    <t>DT_MEK1_1000_MOVEMENT_TYPE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</si>
</sst>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i/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0" borderId="1" xfId="0" applyNumberFormat="1" applyFont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0" borderId="2" xfId="0" applyFont="1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2" fillId="5" borderId="2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MI\RETAIL\TASE_DT_S2A_PRI_01_038-ZCC1%20calculated%20for%20PO_P3_Condition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16"/>
  <sheetViews>
    <sheetView workbookViewId="0">
      <pane xSplit="1" ySplit="0" topLeftCell="Y2" activePane="topRight"/>
      <selection activeCell="Y2" sqref="Y2"/>
      <selection pane="topRight" activeCell="Y2" sqref="Y2"/>
    </sheetView>
  </sheetViews>
  <sheetFormatPr defaultColWidth="9.125" defaultRowHeight="14.25"/>
  <cols>
    <col min="1" max="1" width="30.125" style="17" customWidth="1"/>
    <col min="2" max="2" width="49.75" style="17" customWidth="1"/>
    <col min="3" max="3" width="38.125" style="17" customWidth="1"/>
    <col min="4" max="4" width="15" style="17" customWidth="1"/>
    <col min="5" max="5" width="13.625" style="17" customWidth="1"/>
    <col min="6" max="6" width="27.375" style="17" customWidth="1"/>
    <col min="7" max="7" width="18.625" style="17" customWidth="1"/>
    <col min="8" max="8" width="16.75" style="17" customWidth="1"/>
    <col min="9" max="9" width="27.125" style="17" customWidth="1"/>
    <col min="10" max="10" width="31.875" style="17" customWidth="1"/>
    <col min="11" max="11" width="23.5" style="17" customWidth="1"/>
    <col min="12" max="12" width="37.25" style="17" customWidth="1"/>
    <col min="13" max="13" width="23.375" style="17" customWidth="1"/>
    <col min="14" max="14" width="24.875" style="17" customWidth="1"/>
    <col min="15" max="15" width="53.75" style="17" customWidth="1"/>
    <col min="16" max="16" width="20.625" style="17" customWidth="1"/>
    <col min="17" max="17" width="29.375" style="17" customWidth="1"/>
    <col min="18" max="18" width="43.125" style="17" customWidth="1"/>
    <col min="19" max="19" width="29.25" style="17" customWidth="1"/>
    <col min="20" max="20" width="39.625" style="17" customWidth="1"/>
    <col min="21" max="23" width="60.5" style="17" customWidth="1"/>
    <col min="24" max="24" width="20.625" style="17" customWidth="1"/>
    <col min="25" max="25" width="28.125" style="17" customWidth="1"/>
    <col min="26" max="26" width="50.625" style="17" customWidth="1"/>
    <col min="27" max="27" width="19.75" style="17" customWidth="1"/>
    <col min="28" max="28" width="32.25" style="17" customWidth="1"/>
    <col min="29" max="29" width="33.625" style="17" customWidth="1"/>
    <col min="30" max="30" width="29.375" style="17" customWidth="1"/>
    <col min="31" max="31" width="35.25" style="17" customWidth="1"/>
    <col min="32" max="32" width="41.25" style="17" customWidth="1"/>
    <col min="33" max="33" width="30.875" style="17" customWidth="1"/>
    <col min="34" max="34" width="43.625" style="17" customWidth="1"/>
    <col min="35" max="16384" width="9.125" style="17" customWidth="1"/>
  </cols>
  <sheetData>
    <row r="1" ht="12.75" customHeight="1" customFormat="1">
      <c r="A1" t="s">
        <v>42</v>
      </c>
      <c r="B1" t="s">
        <v>17</v>
      </c>
      <c r="C1" t="s">
        <v>32</v>
      </c>
      <c r="D1" t="s">
        <v>70</v>
      </c>
      <c r="E1" t="s">
        <v>68</v>
      </c>
      <c r="F1" t="s">
        <v>64</v>
      </c>
      <c r="G1" t="s">
        <v>38</v>
      </c>
      <c r="H1" t="s">
        <v>39</v>
      </c>
      <c r="I1" t="s">
        <v>1</v>
      </c>
      <c r="J1" t="s">
        <v>18</v>
      </c>
      <c r="K1" t="s">
        <v>8</v>
      </c>
      <c r="L1" t="s">
        <v>34</v>
      </c>
      <c r="M1" t="s">
        <v>65</v>
      </c>
      <c r="N1" t="s">
        <v>19</v>
      </c>
      <c r="O1" t="s">
        <v>69</v>
      </c>
      <c r="P1" t="s">
        <v>43</v>
      </c>
      <c r="Q1" t="s">
        <v>60</v>
      </c>
      <c r="R1" t="s">
        <v>12</v>
      </c>
      <c r="S1" t="s">
        <v>13</v>
      </c>
      <c r="T1" t="s">
        <v>20</v>
      </c>
      <c r="U1" t="s">
        <v>9</v>
      </c>
      <c r="V1" t="s">
        <v>35</v>
      </c>
      <c r="W1" t="s">
        <v>48</v>
      </c>
      <c r="X1" t="s">
        <v>49</v>
      </c>
      <c r="Y1" t="s">
        <v>50</v>
      </c>
      <c r="Z1" t="s">
        <v>71</v>
      </c>
      <c r="AA1" t="s">
        <v>23</v>
      </c>
      <c r="AB1" t="s">
        <v>72</v>
      </c>
      <c r="AC1" t="s">
        <v>36</v>
      </c>
      <c r="AD1" t="s">
        <v>54</v>
      </c>
      <c r="AE1" t="s">
        <v>4</v>
      </c>
      <c r="AF1" t="s">
        <v>6</v>
      </c>
      <c r="AG1" t="s">
        <v>14</v>
      </c>
      <c r="AH1" t="s">
        <v>25</v>
      </c>
    </row>
    <row r="2" s="18" customFormat="1">
      <c r="A2" s="1">
        <v>2</v>
      </c>
      <c r="B2" s="1" t="s">
        <v>7</v>
      </c>
      <c r="C2" s="6" t="s">
        <v>63</v>
      </c>
      <c r="D2" s="6" t="s">
        <v>27</v>
      </c>
      <c r="E2" s="6" t="s">
        <v>33</v>
      </c>
      <c r="F2" s="6" t="s">
        <v>51</v>
      </c>
      <c r="G2" s="6" t="s">
        <v>55</v>
      </c>
      <c r="H2" s="1" t="s">
        <v>0</v>
      </c>
      <c r="I2" s="1" t="s">
        <v>52</v>
      </c>
      <c r="J2" s="3" t="s">
        <v>53</v>
      </c>
      <c r="K2" s="3" t="s">
        <v>56</v>
      </c>
      <c r="L2" s="3" t="s">
        <v>28</v>
      </c>
      <c r="M2" s="3" t="s">
        <v>47</v>
      </c>
      <c r="N2" s="3" t="s">
        <v>29</v>
      </c>
      <c r="O2" s="9" t="e">
        <f>[1]Output!C2</f>
        <v>#REF!</v>
      </c>
      <c r="P2" s="1" t="s">
        <v>58</v>
      </c>
      <c r="Q2" s="5" t="str">
        <f t="shared" si="0" ref="Q2:S2">K2</f>
        <v>EVG90202</v>
      </c>
      <c r="R2" s="5" t="str">
        <f t="shared" si="0"/>
        <v>RP01</v>
      </c>
      <c r="S2" s="5" t="str">
        <f t="shared" si="0"/>
        <v>7416981</v>
      </c>
      <c r="T2" s="11">
        <v>4309530594</v>
      </c>
      <c r="U2" s="7" t="s">
        <v>21</v>
      </c>
      <c r="V2" s="7" t="s">
        <v>2</v>
      </c>
      <c r="W2" s="7" t="s">
        <v>40</v>
      </c>
      <c r="X2" s="1" t="s">
        <v>30</v>
      </c>
      <c r="Y2" s="8">
        <f ca="1">TODAY()</f>
        <v>45965</v>
      </c>
      <c r="Z2" s="8">
        <f ca="1">Y2+4</f>
        <v>45969</v>
      </c>
      <c r="AA2" s="3" t="s">
        <v>61</v>
      </c>
      <c r="AB2" s="3" t="s">
        <v>3</v>
      </c>
      <c r="AC2" s="5">
        <f>T2</f>
        <v>4309530594</v>
      </c>
      <c r="AD2" s="3" t="s">
        <v>24</v>
      </c>
      <c r="AE2" s="3" t="s">
        <v>5</v>
      </c>
      <c r="AF2" s="5" t="str">
        <f>M2</f>
        <v>7416981</v>
      </c>
      <c r="AG2" s="3" t="s">
        <v>29</v>
      </c>
      <c r="AH2" s="21" t="s">
        <v>15</v>
      </c>
    </row>
    <row r="3" s="18" customFormat="1">
      <c r="A3" s="1">
        <v>3</v>
      </c>
      <c r="B3" s="1" t="s">
        <v>59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5"/>
    </row>
    <row r="4" s="18" customFormat="1">
      <c r="A4" s="14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5"/>
    </row>
    <row r="5" s="12" customForma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3"/>
    </row>
    <row r="6" s="12" customForma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13"/>
    </row>
    <row r="7" s="12" customFormat="1">
      <c r="A7" s="6" t="s">
        <v>67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10" t="s">
        <v>41</v>
      </c>
      <c r="Z7" s="10" t="s">
        <v>31</v>
      </c>
      <c r="AA7" s="2"/>
      <c r="AB7" s="2"/>
      <c r="AC7" s="2"/>
      <c r="AD7" s="2"/>
      <c r="AE7" s="2"/>
      <c r="AF7" s="2"/>
      <c r="AG7" s="2"/>
      <c r="AH7" s="13"/>
    </row>
    <row r="8" s="12" customFormat="1">
      <c r="A8" s="3" t="s">
        <v>37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13"/>
    </row>
    <row r="9" s="12" customFormat="1">
      <c r="A9" s="22" t="s">
        <v>62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19" t="s">
        <v>22</v>
      </c>
      <c r="AA9" s="2"/>
      <c r="AB9" s="2"/>
      <c r="AC9" s="2"/>
      <c r="AD9" s="2"/>
      <c r="AE9" s="2"/>
      <c r="AF9" s="2"/>
      <c r="AG9" s="2"/>
      <c r="AH9" s="13"/>
    </row>
    <row r="10" s="12" customFormat="1">
      <c r="A10" s="9" t="s">
        <v>16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13"/>
    </row>
    <row r="11" s="12" customFormat="1">
      <c r="A11" s="8" t="s">
        <v>44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13"/>
    </row>
    <row r="12" s="12" customFormat="1">
      <c r="A12" s="5" t="s">
        <v>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3"/>
    </row>
    <row r="13" s="12" customFormat="1">
      <c r="A13" s="7" t="s">
        <v>45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13"/>
    </row>
    <row r="14" s="12" customFormat="1">
      <c r="A14" s="16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13"/>
    </row>
    <row r="15" s="12" customFormat="1">
      <c r="A15" s="11" t="s"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13"/>
    </row>
    <row r="16" s="12" customFormat="1">
      <c r="A16" s="20" t="s">
        <v>46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1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3"/>
  <sheetViews>
    <sheetView workbookViewId="0">
      <selection activeCell="A2" sqref="A2"/>
    </sheetView>
  </sheetViews>
  <sheetFormatPr defaultColWidth="9.125" defaultRowHeight="14.25"/>
  <cols>
    <col min="1" max="16384" width="9.125" style="12" customWidth="1"/>
  </cols>
  <sheetData>
    <row r="1" ht="12.75" customHeight="1" customFormat="1">
      <c r="A1" t="s">
        <v>42</v>
      </c>
      <c r="B1" t="s">
        <v>17</v>
      </c>
      <c r="C1" t="s">
        <v>26</v>
      </c>
    </row>
    <row r="2">
      <c r="A2" s="1">
        <v>2</v>
      </c>
      <c r="B2" s="1" t="s">
        <v>7</v>
      </c>
      <c r="C2" s="13" t="s">
        <v>66</v>
      </c>
    </row>
    <row r="3">
      <c r="A3" s="1">
        <v>3</v>
      </c>
      <c r="B3" s="1" t="s">
        <v>59</v>
      </c>
      <c r="C3" s="13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4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