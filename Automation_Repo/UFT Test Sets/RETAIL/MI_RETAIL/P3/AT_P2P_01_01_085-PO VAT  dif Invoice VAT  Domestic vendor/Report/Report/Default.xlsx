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2P_01_01_085-PO_P1" sheetId="3" r:id="rId3"/>
    <sheet name="TC2_DataTransfer_1" sheetId="4" r:id="rId4"/>
    <sheet name="TC4_DataTransfer_2" sheetId="5" r:id="rId5"/>
    <sheet name="TC3_Test_P2P_01_01_085-PO_P2" sheetId="6" r:id="rId6"/>
    <sheet name="TC5_Test_P2P_01_01_085_P3" sheetId="7" r:id="rId7"/>
    <sheet name="TC6_Test_P2P_01_01_085_P4" sheetId="8" r:id="rId8"/>
  </sheets>
  <externalReferences>
    <externalReference r:id="rId12"/>
    <externalReference r:id="rId13"/>
    <externalReference r:id="rId14"/>
  </externalReferences>
  <calcPr calcId="40001"/>
</workbook>
</file>

<file path=xl/sharedStrings.xml><?xml version="1.0" encoding="utf-8"?>
<sst xmlns="http://schemas.openxmlformats.org/spreadsheetml/2006/main" uniqueCount="129">
  <si>
    <t/>
  </si>
  <si>
    <t>DT_SAPTRANSACTIONCODE</t>
  </si>
  <si>
    <t>RO02</t>
  </si>
  <si>
    <t>A2 (Input tax VAT 9% deductible)</t>
  </si>
  <si>
    <t>DT_MIGO_6250_CHECK_TEXT_OF_TABLECELL_GL_0</t>
  </si>
  <si>
    <t>DT_MIGO_6250_CHECK_TEXT_OF_TABLECELL_GL_4</t>
  </si>
  <si>
    <t>DT_MIGO_6250_CHECK_TEXT_OF_TABLECELL_PROFIT_CENTER_3</t>
  </si>
  <si>
    <t>Document no. 6032094931 created</t>
  </si>
  <si>
    <t>40</t>
  </si>
  <si>
    <t>51</t>
  </si>
  <si>
    <t>DT_MB90_0010_GODYNPROACTION</t>
  </si>
  <si>
    <t>DT_MIGO_0750_CHECK_GETCELLVALUE_OF_GRIDCELL_1_BSCHL</t>
  </si>
  <si>
    <t>DT_MIGO_0750_CHECK_GETCELLVALUE_OF_GRIDCELL_2_KTONR</t>
  </si>
  <si>
    <t>DT_MIGO_6000_GET_TEXT_OF_BALANCE</t>
  </si>
  <si>
    <t>DT_MIGO_0010_AMOUNT</t>
  </si>
  <si>
    <t>DT_MIGO_6250_CHECK_TEXT_OF_TABLECELL_ARTICLE_4</t>
  </si>
  <si>
    <t>DT_MIGO_0750_GET_TEXT_OF_DOCUMENT_NUMBER_OCC2_OUTPUT</t>
  </si>
  <si>
    <t>Verifications Date</t>
  </si>
  <si>
    <t>Data Coming from another test</t>
  </si>
  <si>
    <t>DT_MIGO_0750_CHECK_GETCELLVALUE_OF_GRIDCELL_0_PRCTR</t>
  </si>
  <si>
    <t>DT_MIGO_6310_TABLECELL_TAX_CODE_1</t>
  </si>
  <si>
    <t>DT_MIGO_0010_CALCULATE_TAX</t>
  </si>
  <si>
    <t>DT_MIGO_0750_CHECK_GETCELLVALUE_OF_GRIDCELL_3_BSCHL_OCC1</t>
  </si>
  <si>
    <t>S_ALR_87012357</t>
  </si>
  <si>
    <t>DT_MIGO_0120_CHECK_TEXT_OF_INPUT_TAX_VAT_9_DEDUCTIBLE</t>
  </si>
  <si>
    <t>Output Data</t>
  </si>
  <si>
    <t>DT_MIGO_0750_CHECK_GETCELLVALUE_OF_GRIDCELL_2_KTONR_OCC1</t>
  </si>
  <si>
    <t>200</t>
  </si>
  <si>
    <t>AUTOMI</t>
  </si>
  <si>
    <t>MIGO</t>
  </si>
  <si>
    <t>DT_MIGO_0100_DOC_INFO</t>
  </si>
  <si>
    <t>DT_MIGO_0750_GET_TEXT_OF_DOCUMENT_NUMBER</t>
  </si>
  <si>
    <t>y6y6</t>
  </si>
  <si>
    <t>ON</t>
  </si>
  <si>
    <t>DT_MIGO_6250_CHECK_TEXT_OF_TABLECELL_GL_1</t>
  </si>
  <si>
    <t>DT_MIGO_6250_CHECK_TEXT_OF_TABLECELL_ARTICLE_1</t>
  </si>
  <si>
    <t>DT_MIGO_0120_CHECK_TEXT_OF_A2</t>
  </si>
  <si>
    <t xml:space="preserve">0,00 </t>
  </si>
  <si>
    <t>DT_SAPSYSTEM</t>
  </si>
  <si>
    <t>DT_MIGO_0750_CHECK_GETCELLVALUE_OF_GRIDCELL_3_BSCHL</t>
  </si>
  <si>
    <t>DT_MIGO_0750_CHECK_GETCELLVALUE_OF_GRIDCELL_2_PRCTR</t>
  </si>
  <si>
    <t>DT_MIGO_6250_CHECK_TEXT_OF_TABLECELL_GL_5</t>
  </si>
  <si>
    <t>DT_MIGO_6250_CHECK_TEXT_OF_TABLECELL_PROFIT_CENTER_4</t>
  </si>
  <si>
    <t>DT_ACCOUNTING_DOC_NO</t>
  </si>
  <si>
    <t>DT_MIGO_0750_CHECK_GETCELLVALUE_OF_GRIDCELL_2_BSCHL_OCC1</t>
  </si>
  <si>
    <t>52</t>
  </si>
  <si>
    <t>Input Data</t>
  </si>
  <si>
    <t>DT_SAPLANGUAGE</t>
  </si>
  <si>
    <t>DT_SAPOPTIONS</t>
  </si>
  <si>
    <t>DT_MIGO_0750_CHECK_TEXT_OF_COMPANY_CODE</t>
  </si>
  <si>
    <t>89</t>
  </si>
  <si>
    <t>96</t>
  </si>
  <si>
    <t>22712201</t>
  </si>
  <si>
    <t>DT_MIGO_6310_TABLECELL_TAX_CODE_2</t>
  </si>
  <si>
    <t>10003466</t>
  </si>
  <si>
    <t>DT_MIGO_0750_CHECK_GETCELLVALUE_OF_GRIDCELL_1_KTONR_OCC1</t>
  </si>
  <si>
    <t>DT_ACCOUNTING_DOC_NO_OUTPUT</t>
  </si>
  <si>
    <t>SCENARIO</t>
  </si>
  <si>
    <t>DT_MIGO_0750_CHECK_GETCELLVALUE_OF_GRIDCELL_1_KTONR</t>
  </si>
  <si>
    <t>A2</t>
  </si>
  <si>
    <t>22711401</t>
  </si>
  <si>
    <t>DT_MIGO_0750_OKCD_OCC1</t>
  </si>
  <si>
    <t>Formulas Date</t>
  </si>
  <si>
    <t>Verifications</t>
  </si>
  <si>
    <t>Execution Control Data</t>
  </si>
  <si>
    <t>Doc. info</t>
  </si>
  <si>
    <t>DT_MIGO_0750_CHECK_GETCELLVALUE_OF_GRIDCELL_0_BSCHL</t>
  </si>
  <si>
    <t>from p1</t>
  </si>
  <si>
    <t>DT_MIGO_6250_CHECK_TEXT_OF_TABLECELL_GL_2</t>
  </si>
  <si>
    <t>DT_MIGO_6250_CHECK_TEXT_OF_TABLECELL_ARTICLE_2</t>
  </si>
  <si>
    <t>DT_MIGO_6250_CHECK_TEXT_OF_TABLECELL_PROFIT_CENTER_1</t>
  </si>
  <si>
    <t>31</t>
  </si>
  <si>
    <t>Input tax VAT 9% deductible</t>
  </si>
  <si>
    <t>60b5fdc7cbee31a30e50b6bc482fc6a29f2d88dfbaf0</t>
  </si>
  <si>
    <t>DT_MIGO_0750_CHECK_GETCELLVALUE_OF_GRIDCELL_1_BSCHL_OCC1</t>
  </si>
  <si>
    <t>86</t>
  </si>
  <si>
    <t>EN</t>
  </si>
  <si>
    <t>DT_MIGO_0750_CHECK_GETCELLVALUE_OF_GRIDCELL_3_KTONR</t>
  </si>
  <si>
    <t>MIRO</t>
  </si>
  <si>
    <t>DT_MIGO_6310_TABLECELL_TAX_CODE_3</t>
  </si>
  <si>
    <t>DT_MIGO_0750_CHECK_GETCELLVALUE_OF_GRIDCELL_0_KTONR_OCC1</t>
  </si>
  <si>
    <t>DT_MIGO_0750_CHECK_GETCELLVALUE_OF_GRIDCELL_2_PRCTR_OCC1</t>
  </si>
  <si>
    <t>DT_MIGO_1000_POSTING_DATE</t>
  </si>
  <si>
    <t>Formulas General</t>
  </si>
  <si>
    <t>DT_MIGO_0010_GODYNPROREFDOC</t>
  </si>
  <si>
    <t>DT_MIGO_0750_CHECK_GETCELLVALUE_OF_GRIDCELL_2_BSCHL</t>
  </si>
  <si>
    <t>11210011</t>
  </si>
  <si>
    <t>DT_MIGO_0750_CHECK_GETCELLVALUE_OF_GRIDCELL_1_PRCTR</t>
  </si>
  <si>
    <t>DT_MIGO_0750_OKCD</t>
  </si>
  <si>
    <t>DT_MIGO_0010_INVOICE_DATE</t>
  </si>
  <si>
    <t>DT_MIGO_1000_DOCUMENT_NUMBER</t>
  </si>
  <si>
    <t>DT_MIGO_1000_FISCAL_YEAR</t>
  </si>
  <si>
    <t>DT_MIGO_0120_USR_OCC1</t>
  </si>
  <si>
    <t>DT_MIGO_6000_GET_TEXT_OF_BALANCE_OUTPUT</t>
  </si>
  <si>
    <t>DT_MB90_1000_ARTICLE_DOCUMENT</t>
  </si>
  <si>
    <t>from p2</t>
  </si>
  <si>
    <t>DT_MIGO_6250_CHECK_TEXT_OF_TABLECELL_GL_3</t>
  </si>
  <si>
    <t>DT_MIGO_6250_CHECK_TEXT_OF_TABLECELL_PROFIT_CENTER_2</t>
  </si>
  <si>
    <t>DT_MIGO_0750_GET_TEXT_OF_DOCUMENT_NUMBER_OCC2</t>
  </si>
  <si>
    <t>DT_MIGO_0750_CHECK_GETCELLVALUE_OF_GRIDCELL_0_BSCHL_OCC1</t>
  </si>
  <si>
    <t>R1E - SAP RETAIL Pre-Production EUROPE</t>
  </si>
  <si>
    <t>Fixed Data</t>
  </si>
  <si>
    <t>DT_SAPPASSWORD</t>
  </si>
  <si>
    <t>A04</t>
  </si>
  <si>
    <t>R02</t>
  </si>
  <si>
    <t>DT_MIGO_0750_CHECK_GETCELLVALUE_OF_GRIDCELL_0_KTONR</t>
  </si>
  <si>
    <t>DT_MIGO_0010_REFERENCE</t>
  </si>
  <si>
    <t>DT_MIGO_6250_CHECK_TEXT_OF_TABLECELL_ARTICLE_3</t>
  </si>
  <si>
    <t>DT_MIGO_6000_GET_TEXT_OF_STATUSBAR</t>
  </si>
  <si>
    <t>DT_MIGO_6000_CHECK_TEXT_OF_STATUSBAR_OCC1</t>
  </si>
  <si>
    <t>DT_MIGO_0750_CHECK_GETCELLVALUE_OF_GRIDCELL_1_PRCTR_OCC1</t>
  </si>
  <si>
    <t>DT_MIGO_0120_USR</t>
  </si>
  <si>
    <t>CA</t>
  </si>
  <si>
    <t>DT_MIGO_0750_GET_TEXT_OF_DOCUMENT_NUMBER_OUTPUT</t>
  </si>
  <si>
    <t>ROW</t>
  </si>
  <si>
    <t>P2P_01_01_085-PO VAT  dif Invoice VAT  Domestic vendor</t>
  </si>
  <si>
    <t>Login Information</t>
  </si>
  <si>
    <t>DT_SAPUSER</t>
  </si>
  <si>
    <t>DT_MIGO_6310_TABLECELL_TAX_CODE_0</t>
  </si>
  <si>
    <t>DT_MIGO_6310_TABLECELL_TAX_CODE_4</t>
  </si>
  <si>
    <t>11621102</t>
  </si>
  <si>
    <t>DT_SAPCLIENT</t>
  </si>
  <si>
    <t>DT_MIGO_0750_CHECK_TEXT_OF_DOCUMENT_NUMBER_OCC1</t>
  </si>
  <si>
    <t>RW000004</t>
  </si>
  <si>
    <t>DT_MIGO_0750_CHECK_GETCELLVALUE_OF_GRIDCELL_3_PRCTR</t>
  </si>
  <si>
    <t>DT_MIGO_6211_RM08MEBELN</t>
  </si>
  <si>
    <t>DT_MIGO_0750_CHECK_GETCELLVALUE_OF_GRIDCELL_3_KTONR_OCC1</t>
  </si>
  <si>
    <t>DT_MIGO_1000_COMPANY_CODE</t>
  </si>
  <si>
    <t>DT_MIGO_0120_CHECK_TEXT_OF_RO02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</si>
</sst>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Fill="1" applyBorder="1" applyProtection="1">
      <protection locked="0"/>
    </xf>
    <xf numFmtId="0" fontId="1" fillId="0" borderId="1" xfId="0" applyFill="1" applyBorder="1" applyProtection="1">
      <protection locked="0"/>
    </xf>
    <xf numFmtId="164" fontId="1" fillId="8" borderId="1" xfId="0" applyNumberForma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8" borderId="1" xfId="0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2" xfId="0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Relationship Id="rId13" Type="http://schemas.openxmlformats.org/officeDocument/2006/relationships/externalLink" Target="externalLinks/externalLink2.xml" /><Relationship Id="rId14" Type="http://schemas.openxmlformats.org/officeDocument/2006/relationships/externalLink" Target="externalLinks/externalLink3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DT_P2P_01_01_085-PO%20VAT%20%20dif%20Invoice%20VAT%20%20Domestic%20vendor_P4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P2P_01_01_085-PO%20VAT%20%20dif%20Invoice%20VAT%20%20Domestic%20vendor_P2_TASE.xls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microsoft.com/office/2006/relationships/xlExternalLinkPath/xlPathMissing" Target="DT_P2P_01_01_085-PO%20VAT%20%20dif%20Invoice%20VAT%20%20Domestic%20vendor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A13"/>
  <sheetViews>
    <sheetView topLeftCell="J1" workbookViewId="0">
      <selection activeCell="J2" sqref="J2"/>
    </sheetView>
  </sheetViews>
  <sheetFormatPr defaultColWidth="9.125" defaultRowHeight="14.25"/>
  <cols>
    <col min="1" max="1" width="6.375" style="8" customWidth="1"/>
    <col min="2" max="2" width="49.875" style="8" customWidth="1"/>
    <col min="3" max="3" width="38.125" style="8" customWidth="1"/>
    <col min="4" max="4" width="15" style="8" customWidth="1"/>
    <col min="5" max="5" width="13.625" style="8" customWidth="1"/>
    <col min="6" max="6" width="25.125" style="8" customWidth="1"/>
    <col min="7" max="7" width="18.625" style="8" customWidth="1"/>
    <col min="8" max="8" width="16.75" style="8" customWidth="1"/>
    <col min="9" max="9" width="27.125" style="8" customWidth="1"/>
    <col min="10" max="10" width="33.875" style="8" customWidth="1"/>
    <col min="11" max="11" width="35.125" style="8" customWidth="1"/>
    <col min="12" max="12" width="35.125" style="11" customWidth="1"/>
    <col min="13" max="13" width="25" style="8" customWidth="1"/>
    <col min="14" max="14" width="51" style="8" customWidth="1"/>
    <col min="15" max="15" width="57.75" style="8" customWidth="1"/>
    <col min="16" max="16" width="47.5" style="8" customWidth="1"/>
    <col min="17" max="20" width="59.875" style="8" customWidth="1"/>
    <col min="21" max="28" width="60.25" style="8" customWidth="1"/>
    <col min="29" max="29" width="20.625" style="8" customWidth="1"/>
    <col min="30" max="30" width="29" style="8" customWidth="1"/>
    <col min="31" max="31" width="26.875" style="8" customWidth="1"/>
    <col min="32" max="32" width="27.875" style="11" customWidth="1"/>
    <col min="33" max="37" width="38.75" style="8" customWidth="1"/>
    <col min="38" max="38" width="30.875" style="8" customWidth="1"/>
    <col min="39" max="39" width="39.75" style="8" customWidth="1"/>
    <col min="40" max="40" width="23.875" style="8" customWidth="1"/>
    <col min="41" max="46" width="47.875" style="8" customWidth="1"/>
    <col min="47" max="50" width="53.375" style="8" customWidth="1"/>
    <col min="51" max="54" width="61.125" style="8" customWidth="1"/>
    <col min="55" max="56" width="41.75" style="8" customWidth="1"/>
    <col min="57" max="57" width="49.375" style="8" customWidth="1"/>
    <col min="58" max="58" width="56.875" style="8" customWidth="1"/>
    <col min="59" max="62" width="65.75" style="8" customWidth="1"/>
    <col min="63" max="68" width="66.125" style="8" customWidth="1"/>
    <col min="69" max="69" width="26.625" style="8" customWidth="1"/>
    <col min="70" max="70" width="31" style="8" customWidth="1"/>
    <col min="71" max="71" width="35.25" style="8" customWidth="1"/>
    <col min="72" max="72" width="27.875" style="8" customWidth="1"/>
    <col min="73" max="73" width="29.875" style="8" customWidth="1"/>
    <col min="74" max="74" width="19.375" style="8" customWidth="1"/>
    <col min="75" max="75" width="25.25" style="8" customWidth="1"/>
    <col min="76" max="76" width="36.75" style="8" customWidth="1"/>
    <col min="77" max="77" width="34.25" style="8" customWidth="1"/>
    <col min="78" max="78" width="62" style="8" customWidth="1"/>
    <col min="79" max="79" width="27.5" style="8" customWidth="1"/>
    <col min="80" max="16384" width="9.125" style="8" customWidth="1"/>
  </cols>
  <sheetData>
    <row r="1" ht="12.75" customHeight="1" customFormat="1">
      <c r="A1" t="s">
        <v>114</v>
      </c>
      <c r="B1" t="s">
        <v>57</v>
      </c>
      <c r="C1" t="s">
        <v>38</v>
      </c>
      <c r="D1" t="s">
        <v>121</v>
      </c>
      <c r="E1" t="s">
        <v>117</v>
      </c>
      <c r="F1" t="s">
        <v>102</v>
      </c>
      <c r="G1" t="s">
        <v>47</v>
      </c>
      <c r="H1" t="s">
        <v>48</v>
      </c>
      <c r="I1" t="s">
        <v>1</v>
      </c>
      <c r="J1" t="s">
        <v>10</v>
      </c>
      <c r="K1" t="s">
        <v>84</v>
      </c>
      <c r="L1" t="s">
        <v>94</v>
      </c>
      <c r="M1" t="s">
        <v>30</v>
      </c>
      <c r="N1" t="s">
        <v>31</v>
      </c>
      <c r="O1" t="s">
        <v>122</v>
      </c>
      <c r="P1" t="s">
        <v>49</v>
      </c>
      <c r="Q1" t="s">
        <v>66</v>
      </c>
      <c r="R1" t="s">
        <v>11</v>
      </c>
      <c r="S1" t="s">
        <v>85</v>
      </c>
      <c r="T1" t="s">
        <v>39</v>
      </c>
      <c r="U1" t="s">
        <v>105</v>
      </c>
      <c r="V1" t="s">
        <v>58</v>
      </c>
      <c r="W1" t="s">
        <v>12</v>
      </c>
      <c r="X1" t="s">
        <v>77</v>
      </c>
      <c r="Y1" t="s">
        <v>19</v>
      </c>
      <c r="Z1" t="s">
        <v>87</v>
      </c>
      <c r="AA1" t="s">
        <v>40</v>
      </c>
      <c r="AB1" t="s">
        <v>124</v>
      </c>
      <c r="AC1" t="s">
        <v>88</v>
      </c>
      <c r="AD1" t="s">
        <v>89</v>
      </c>
      <c r="AE1" t="s">
        <v>106</v>
      </c>
      <c r="AF1" t="s">
        <v>125</v>
      </c>
      <c r="AG1" t="s">
        <v>118</v>
      </c>
      <c r="AH1" t="s">
        <v>20</v>
      </c>
      <c r="AI1" t="s">
        <v>53</v>
      </c>
      <c r="AJ1" t="s">
        <v>79</v>
      </c>
      <c r="AK1" t="s">
        <v>119</v>
      </c>
      <c r="AL1" t="s">
        <v>21</v>
      </c>
      <c r="AM1" t="s">
        <v>13</v>
      </c>
      <c r="AN1" t="s">
        <v>14</v>
      </c>
      <c r="AO1" t="s">
        <v>4</v>
      </c>
      <c r="AP1" t="s">
        <v>34</v>
      </c>
      <c r="AQ1" t="s">
        <v>68</v>
      </c>
      <c r="AR1" t="s">
        <v>96</v>
      </c>
      <c r="AS1" t="s">
        <v>5</v>
      </c>
      <c r="AT1" t="s">
        <v>41</v>
      </c>
      <c r="AU1" t="s">
        <v>35</v>
      </c>
      <c r="AV1" t="s">
        <v>69</v>
      </c>
      <c r="AW1" t="s">
        <v>107</v>
      </c>
      <c r="AX1" t="s">
        <v>15</v>
      </c>
      <c r="AY1" t="s">
        <v>70</v>
      </c>
      <c r="AZ1" t="s">
        <v>97</v>
      </c>
      <c r="BA1" t="s">
        <v>6</v>
      </c>
      <c r="BB1" t="s">
        <v>42</v>
      </c>
      <c r="BC1" t="s">
        <v>108</v>
      </c>
      <c r="BD1" t="s">
        <v>43</v>
      </c>
      <c r="BE1" t="s">
        <v>109</v>
      </c>
      <c r="BF1" t="s">
        <v>98</v>
      </c>
      <c r="BG1" t="s">
        <v>99</v>
      </c>
      <c r="BH1" t="s">
        <v>74</v>
      </c>
      <c r="BI1" t="s">
        <v>44</v>
      </c>
      <c r="BJ1" t="s">
        <v>22</v>
      </c>
      <c r="BK1" t="s">
        <v>80</v>
      </c>
      <c r="BL1" t="s">
        <v>55</v>
      </c>
      <c r="BM1" t="s">
        <v>26</v>
      </c>
      <c r="BN1" t="s">
        <v>126</v>
      </c>
      <c r="BO1" t="s">
        <v>110</v>
      </c>
      <c r="BP1" t="s">
        <v>81</v>
      </c>
      <c r="BQ1" t="s">
        <v>61</v>
      </c>
      <c r="BR1" t="s">
        <v>127</v>
      </c>
      <c r="BS1" t="s">
        <v>90</v>
      </c>
      <c r="BT1" t="s">
        <v>91</v>
      </c>
      <c r="BU1" t="s">
        <v>82</v>
      </c>
      <c r="BV1" t="s">
        <v>111</v>
      </c>
      <c r="BW1" t="s">
        <v>92</v>
      </c>
      <c r="BX1" t="s">
        <v>128</v>
      </c>
      <c r="BY1" t="s">
        <v>36</v>
      </c>
      <c r="BZ1" t="s">
        <v>24</v>
      </c>
      <c r="CA1" t="s">
        <v>112</v>
      </c>
    </row>
    <row r="2" s="8" customFormat="1">
      <c r="A2" s="10">
        <v>1</v>
      </c>
      <c r="B2" s="10" t="s">
        <v>115</v>
      </c>
      <c r="C2" s="4" t="s">
        <v>100</v>
      </c>
      <c r="D2" s="4" t="s">
        <v>27</v>
      </c>
      <c r="E2" s="4" t="s">
        <v>28</v>
      </c>
      <c r="F2" s="4" t="s">
        <v>73</v>
      </c>
      <c r="G2" s="4" t="s">
        <v>76</v>
      </c>
      <c r="H2" s="4" t="s">
        <v>0</v>
      </c>
      <c r="I2" s="3" t="s">
        <v>29</v>
      </c>
      <c r="J2" s="3" t="s">
        <v>103</v>
      </c>
      <c r="K2" s="3" t="s">
        <v>104</v>
      </c>
      <c r="L2" s="9">
        <v>5079044778</v>
      </c>
      <c r="M2" s="1" t="s">
        <v>65</v>
      </c>
      <c r="N2" s="5" t="e">
        <f>[1]Output!A2</f>
        <v>#REF!</v>
      </c>
      <c r="O2" s="2" t="e">
        <f>N2</f>
        <v>#REF!</v>
      </c>
      <c r="P2" s="2" t="s">
        <v>2</v>
      </c>
      <c r="Q2" s="2" t="s">
        <v>50</v>
      </c>
      <c r="R2" s="2" t="s">
        <v>51</v>
      </c>
      <c r="S2" s="2" t="s">
        <v>50</v>
      </c>
      <c r="T2" s="2" t="s">
        <v>51</v>
      </c>
      <c r="U2" s="2" t="s">
        <v>86</v>
      </c>
      <c r="V2" s="2" t="s">
        <v>52</v>
      </c>
      <c r="W2" s="2" t="s">
        <v>86</v>
      </c>
      <c r="X2" s="2" t="s">
        <v>52</v>
      </c>
      <c r="Y2" s="2" t="s">
        <v>123</v>
      </c>
      <c r="Z2" s="2" t="s">
        <v>123</v>
      </c>
      <c r="AA2" s="2" t="s">
        <v>123</v>
      </c>
      <c r="AB2" s="2" t="s">
        <v>123</v>
      </c>
      <c r="AC2" s="3" t="s">
        <v>78</v>
      </c>
      <c r="AD2" s="13">
        <f ca="1">TODAY()</f>
        <v>45965</v>
      </c>
      <c r="AE2" s="3" t="s">
        <v>32</v>
      </c>
      <c r="AF2" s="9">
        <v>4309530592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59</v>
      </c>
      <c r="AL2" s="3" t="s">
        <v>33</v>
      </c>
      <c r="AM2" s="5" t="e">
        <f>[1]Output!B2</f>
        <v>#REF!</v>
      </c>
      <c r="AN2" s="7" t="e">
        <f>LEFT(AM2,FIND("-",AM2)-1)</f>
        <v>#REF!</v>
      </c>
      <c r="AO2" s="2" t="s">
        <v>60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120</v>
      </c>
      <c r="AU2" s="2">
        <v>7378801</v>
      </c>
      <c r="AV2" s="2">
        <v>7385831</v>
      </c>
      <c r="AW2" s="2">
        <v>7415908</v>
      </c>
      <c r="AX2" s="2">
        <v>7389178</v>
      </c>
      <c r="AY2" s="2" t="s">
        <v>123</v>
      </c>
      <c r="AZ2" s="2" t="s">
        <v>123</v>
      </c>
      <c r="BA2" s="2" t="s">
        <v>123</v>
      </c>
      <c r="BB2" s="2" t="s">
        <v>123</v>
      </c>
      <c r="BC2" s="5" t="s">
        <v>7</v>
      </c>
      <c r="BD2" s="7" t="e">
        <f>[1]Output!C2</f>
        <v>#REF!</v>
      </c>
      <c r="BE2" s="2" t="e">
        <f>CONCATENATE("Document no. ",BD2," created")</f>
        <v>#REF!</v>
      </c>
      <c r="BF2" s="5" t="e">
        <f>[1]Output!D2</f>
        <v>#REF!</v>
      </c>
      <c r="BG2" s="2" t="s">
        <v>71</v>
      </c>
      <c r="BH2" s="2" t="s">
        <v>75</v>
      </c>
      <c r="BI2" s="2" t="s">
        <v>75</v>
      </c>
      <c r="BJ2" s="2" t="s">
        <v>8</v>
      </c>
      <c r="BK2" s="19" t="s">
        <v>54</v>
      </c>
      <c r="BL2" s="2" t="s">
        <v>52</v>
      </c>
      <c r="BM2" s="2" t="s">
        <v>52</v>
      </c>
      <c r="BN2" s="2" t="s">
        <v>120</v>
      </c>
      <c r="BO2" s="2" t="s">
        <v>123</v>
      </c>
      <c r="BP2" s="2" t="s">
        <v>123</v>
      </c>
      <c r="BQ2" s="3" t="s">
        <v>23</v>
      </c>
      <c r="BR2" s="3" t="s">
        <v>2</v>
      </c>
      <c r="BS2" s="7" t="e">
        <f>BF2</f>
        <v>#REF!</v>
      </c>
      <c r="BT2" s="15">
        <f ca="1">YEAR(TODAY())</f>
        <v>2025</v>
      </c>
      <c r="BU2" s="13">
        <f ca="1">TODAY()</f>
        <v>45965</v>
      </c>
      <c r="BV2" s="3" t="s">
        <v>9</v>
      </c>
      <c r="BW2" s="3" t="s">
        <v>45</v>
      </c>
      <c r="BX2" s="2" t="s">
        <v>2</v>
      </c>
      <c r="BY2" s="2" t="s">
        <v>59</v>
      </c>
      <c r="BZ2" s="2" t="s">
        <v>72</v>
      </c>
      <c r="CA2" s="17">
        <v>5053740820</v>
      </c>
    </row>
    <row r="3" s="8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4"/>
      <c r="AE3" s="1"/>
      <c r="AF3" s="12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>
        <v>7403537</v>
      </c>
      <c r="AV3" s="1">
        <v>7403423</v>
      </c>
      <c r="AW3" s="1">
        <v>7392314</v>
      </c>
      <c r="AX3" s="1">
        <v>7403541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>
        <v>10003737</v>
      </c>
      <c r="BL3" s="1"/>
      <c r="BM3" s="1"/>
      <c r="BN3" s="1"/>
      <c r="BO3" s="1"/>
      <c r="BP3" s="1"/>
      <c r="BQ3" s="1"/>
      <c r="BR3" s="1"/>
      <c r="BS3" s="1"/>
      <c r="BT3" s="1"/>
      <c r="BU3" s="14"/>
      <c r="BV3" s="1"/>
      <c r="BW3" s="1"/>
      <c r="BX3" s="1"/>
      <c r="BY3" s="1"/>
      <c r="BZ3" s="1"/>
      <c r="CA3" s="17"/>
    </row>
    <row r="4" s="8" customFormat="1">
      <c r="A4" s="1"/>
      <c r="B4" s="1"/>
      <c r="C4" s="4" t="s">
        <v>116</v>
      </c>
      <c r="D4" s="1"/>
      <c r="E4" s="1"/>
      <c r="F4" s="1"/>
      <c r="G4" s="1"/>
      <c r="H4" s="1"/>
      <c r="I4" s="1"/>
      <c r="J4" s="1"/>
      <c r="K4" s="1"/>
      <c r="L4" s="12" t="s">
        <v>95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2" t="s">
        <v>67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7"/>
    </row>
    <row r="5" s="8" customFormat="1">
      <c r="A5" s="1"/>
      <c r="B5" s="1"/>
      <c r="C5" s="3" t="s">
        <v>46</v>
      </c>
      <c r="D5" s="1"/>
      <c r="E5" s="1"/>
      <c r="F5" s="1"/>
      <c r="G5" s="1"/>
      <c r="H5" s="1"/>
      <c r="I5" s="1"/>
      <c r="J5" s="1"/>
      <c r="K5" s="1"/>
      <c r="L5" s="12" t="e">
        <f>[2]Global!$S$2</f>
        <v>#REF!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2" t="e">
        <f>[3]Global!$AW$2</f>
        <v>#REF!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7"/>
    </row>
    <row r="6" s="8" customFormat="1">
      <c r="A6" s="1"/>
      <c r="B6" s="1"/>
      <c r="C6" s="20" t="s">
        <v>101</v>
      </c>
      <c r="D6" s="1"/>
      <c r="E6" s="1"/>
      <c r="F6" s="1"/>
      <c r="G6" s="1"/>
      <c r="H6" s="1"/>
      <c r="I6" s="1"/>
      <c r="J6" s="1"/>
      <c r="K6" s="1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2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7"/>
    </row>
    <row r="7" s="8" customFormat="1">
      <c r="A7" s="1"/>
      <c r="B7" s="1"/>
      <c r="C7" s="5" t="s">
        <v>25</v>
      </c>
      <c r="D7" s="1"/>
      <c r="E7" s="1"/>
      <c r="F7" s="1"/>
      <c r="G7" s="1"/>
      <c r="H7" s="1"/>
      <c r="I7" s="1"/>
      <c r="J7" s="1"/>
      <c r="K7" s="1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7"/>
    </row>
    <row r="8" s="8" customFormat="1">
      <c r="A8" s="1"/>
      <c r="B8" s="1"/>
      <c r="C8" s="21" t="s">
        <v>62</v>
      </c>
      <c r="D8" s="1"/>
      <c r="E8" s="1"/>
      <c r="F8" s="1"/>
      <c r="G8" s="1"/>
      <c r="H8" s="1"/>
      <c r="I8" s="1"/>
      <c r="J8" s="1"/>
      <c r="K8" s="1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2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7"/>
    </row>
    <row r="9" s="8" customFormat="1">
      <c r="A9" s="1"/>
      <c r="B9" s="1"/>
      <c r="C9" s="7" t="s">
        <v>83</v>
      </c>
      <c r="D9" s="1"/>
      <c r="E9" s="1"/>
      <c r="F9" s="1"/>
      <c r="G9" s="1"/>
      <c r="H9" s="1"/>
      <c r="I9" s="1"/>
      <c r="J9" s="1"/>
      <c r="K9" s="1"/>
      <c r="L9" s="12">
        <v>5053740820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7"/>
    </row>
    <row r="10" s="8" customFormat="1">
      <c r="A10" s="1"/>
      <c r="B10" s="1"/>
      <c r="C10" s="2" t="s">
        <v>63</v>
      </c>
      <c r="D10" s="1"/>
      <c r="E10" s="1"/>
      <c r="F10" s="1"/>
      <c r="G10" s="1"/>
      <c r="H10" s="1"/>
      <c r="I10" s="1"/>
      <c r="J10" s="1"/>
      <c r="K10" s="1"/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7"/>
    </row>
    <row r="11" s="8" customFormat="1">
      <c r="A11" s="1"/>
      <c r="B11" s="1"/>
      <c r="C11" s="16" t="s">
        <v>17</v>
      </c>
      <c r="D11" s="1"/>
      <c r="E11" s="1"/>
      <c r="F11" s="1"/>
      <c r="G11" s="1"/>
      <c r="H11" s="1"/>
      <c r="I11" s="1"/>
      <c r="J11" s="1"/>
      <c r="K11" s="1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7"/>
    </row>
    <row r="12" s="8" customFormat="1">
      <c r="A12" s="1"/>
      <c r="B12" s="1"/>
      <c r="C12" s="9" t="s">
        <v>18</v>
      </c>
      <c r="D12" s="1"/>
      <c r="E12" s="1"/>
      <c r="F12" s="1"/>
      <c r="G12" s="1"/>
      <c r="H12" s="1"/>
      <c r="I12" s="1"/>
      <c r="J12" s="1"/>
      <c r="K12" s="1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7"/>
    </row>
    <row r="13" s="8" customFormat="1">
      <c r="A13" s="1"/>
      <c r="B13" s="1"/>
      <c r="C13" s="10" t="s">
        <v>64</v>
      </c>
      <c r="D13" s="1"/>
      <c r="E13" s="1"/>
      <c r="F13" s="1"/>
      <c r="G13" s="1"/>
      <c r="H13" s="1"/>
      <c r="I13" s="1"/>
      <c r="J13" s="1"/>
      <c r="K13" s="1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60.125" style="8" bestFit="1" customWidth="1"/>
    <col min="2" max="2" width="10.875" style="8" customWidth="1"/>
    <col min="3" max="3" width="10.875" style="8" bestFit="1" customWidth="1"/>
    <col min="4" max="4" width="66.625" style="8" bestFit="1" customWidth="1"/>
    <col min="5" max="16384" width="9.125" style="8" customWidth="1"/>
  </cols>
  <sheetData>
    <row r="1" ht="12.75" customHeight="1" customFormat="1">
      <c r="A1" t="s">
        <v>113</v>
      </c>
      <c r="B1" t="s">
        <v>93</v>
      </c>
      <c r="C1" t="s">
        <v>56</v>
      </c>
      <c r="D1" t="s">
        <v>16</v>
      </c>
    </row>
    <row r="2">
      <c r="A2" s="5">
        <v>5000062819</v>
      </c>
      <c r="B2" s="5" t="s">
        <v>37</v>
      </c>
      <c r="C2" s="1"/>
      <c r="D2" s="18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