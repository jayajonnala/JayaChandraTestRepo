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C_06_01_066" sheetId="3" r:id="rId3"/>
  </sheets>
  <calcPr calcId="40001"/>
</workbook>
</file>

<file path=xl/sharedStrings.xml><?xml version="1.0" encoding="utf-8"?>
<sst xmlns="http://schemas.openxmlformats.org/spreadsheetml/2006/main" uniqueCount="70">
  <si>
    <t/>
  </si>
  <si>
    <t>DT_SAPTRANSACTIONCODE</t>
  </si>
  <si>
    <t>Display Document: Data Entry View</t>
  </si>
  <si>
    <t>R10</t>
  </si>
  <si>
    <t>309</t>
  </si>
  <si>
    <t>DT_MIGO_TR_0390_GOITEMUMMAKTX</t>
  </si>
  <si>
    <t>DT_MIGO_TR_0460_POSTING_DATE</t>
  </si>
  <si>
    <t>DT_GET_TR_CANCEL_ARTICLE_DOCUMENT_NO_OUTPUT</t>
  </si>
  <si>
    <t>Verifications Date</t>
  </si>
  <si>
    <t>Data Coming from another test</t>
  </si>
  <si>
    <t>DT_MIGO_TR_0010_GODEFAULT_TVBWART</t>
  </si>
  <si>
    <t>Scenario</t>
  </si>
  <si>
    <t>Output Data</t>
  </si>
  <si>
    <t>DT_MIGO_TR_0390_GOITEMUMLGOBE</t>
  </si>
  <si>
    <t>DT_MIGO_TR_0460_ARTICLE_DOC</t>
  </si>
  <si>
    <t>Cancel Article Document: Selection Screen</t>
  </si>
  <si>
    <t>200</t>
  </si>
  <si>
    <t>AUTOMI</t>
  </si>
  <si>
    <t>DT_MIGO_TR_0010_GODYNPROREFDOC</t>
  </si>
  <si>
    <t>7381977</t>
  </si>
  <si>
    <t>DT_MIGO_TR_2010_GODYNPRODOC_YEAR</t>
  </si>
  <si>
    <t>/nex</t>
  </si>
  <si>
    <t>DT_SAPSYSTEM</t>
  </si>
  <si>
    <t>5b87d6abe915278405c8c2c5</t>
  </si>
  <si>
    <t>DT_MIGO_TR_0421_CHECK_TEXT_OF_TITL</t>
  </si>
  <si>
    <t>Input Data</t>
  </si>
  <si>
    <t>DT_SAPLANGUAGE</t>
  </si>
  <si>
    <t>DT_SAPOPTIONS</t>
  </si>
  <si>
    <t>DT_GET_GR_TR_ARTICLE_DOCUMENT_NO</t>
  </si>
  <si>
    <t>Row</t>
  </si>
  <si>
    <t>R340</t>
  </si>
  <si>
    <t>DT_GET_GR_TR_ARTICLE_DOCUMENT_NO_OUTPUT</t>
  </si>
  <si>
    <t>Formulas Date</t>
  </si>
  <si>
    <t>Verifications</t>
  </si>
  <si>
    <t>Execution Control Data</t>
  </si>
  <si>
    <t>MIGO_TR</t>
  </si>
  <si>
    <t>DT_MIGO_TR_0390_QTY_IN_UNE</t>
  </si>
  <si>
    <t>0001</t>
  </si>
  <si>
    <t>7389940</t>
  </si>
  <si>
    <t>DT_MIGO_TR_0390_GOITEMUMNAME1</t>
  </si>
  <si>
    <t>EN</t>
  </si>
  <si>
    <t>DT_MIGO_TR_0001_CHECK_TEXT_OF_STATUSBAR</t>
  </si>
  <si>
    <t>Formulas General</t>
  </si>
  <si>
    <t>DT_MIGO_TR_0010_GODYNPROREFDOC_OCC1</t>
  </si>
  <si>
    <t>5</t>
  </si>
  <si>
    <t>DT_MIGO_TR_0460_ART_DOC_YEAR</t>
  </si>
  <si>
    <t>DT_MIGO_TR_0010_GODYNPROACTION</t>
  </si>
  <si>
    <t>DT_MIGO_TR_2010_GODYNPROMAT_DOC</t>
  </si>
  <si>
    <t>S2C_06_01_066-Article to article transfers cancellation</t>
  </si>
  <si>
    <t>DT_MIGO_TR_0390_ARTICLE</t>
  </si>
  <si>
    <t>/nMBST</t>
  </si>
  <si>
    <t>Fixed Data</t>
  </si>
  <si>
    <t>R1E - SAP RETAIL Pre-Production EUROPE</t>
  </si>
  <si>
    <t>DT_SAPPASSWORD</t>
  </si>
  <si>
    <t>A08</t>
  </si>
  <si>
    <t>DT_MIGO_TR_0390_SITE</t>
  </si>
  <si>
    <t>DT_MIGO_TR_0460_CHECK_TEXT_OF_STATUSBAR</t>
  </si>
  <si>
    <t>/nMIGO</t>
  </si>
  <si>
    <t>A04</t>
  </si>
  <si>
    <t>DT_MIGO_TR_0100_DOC_INFO</t>
  </si>
  <si>
    <t>DT_MIGO_TR_0001_OKCD_OCC1</t>
  </si>
  <si>
    <t>Login Information</t>
  </si>
  <si>
    <t>DT_SAPUSER</t>
  </si>
  <si>
    <t>DT_MIGO_TR_0001_OKCD</t>
  </si>
  <si>
    <t>DT_GET_TR_CANCEL_ARTICLE_DOCUMENT_NO</t>
  </si>
  <si>
    <t>2</t>
  </si>
  <si>
    <t>DT_MIGO_TR_0750_CHECK_TEXT_OF_TITL</t>
  </si>
  <si>
    <t>DT_SAPCLIENT</t>
  </si>
  <si>
    <t>DT_MIGO_TR_0390_STOR_LOC</t>
  </si>
  <si>
    <t>DT_MIGO_TR_0460_OKCD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</si>
</sst>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49" fontId="1" fillId="0" borderId="2" xfId="0" applyNumberFormat="1" applyBorder="1" applyProtection="1">
      <protection locked="0"/>
    </xf>
    <xf numFmtId="0" fontId="3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14"/>
  <sheetViews>
    <sheetView topLeftCell="AD1" workbookViewId="0">
      <selection activeCell="AD2" sqref="AD2"/>
    </sheetView>
  </sheetViews>
  <sheetFormatPr defaultColWidth="9.125" defaultRowHeight="14.25"/>
  <cols>
    <col min="1" max="1" width="5.625" style="12" customWidth="1"/>
    <col min="2" max="2" width="73.875" style="12" customWidth="1"/>
    <col min="3" max="3" width="38.875" style="8" customWidth="1"/>
    <col min="4" max="4" width="15" style="8" customWidth="1"/>
    <col min="5" max="5" width="13.625" style="8" customWidth="1"/>
    <col min="6" max="6" width="25.75" style="8" customWidth="1"/>
    <col min="7" max="7" width="18.625" style="8" customWidth="1"/>
    <col min="8" max="8" width="16.75" style="8" customWidth="1"/>
    <col min="9" max="9" width="27.125" style="8" customWidth="1"/>
    <col min="10" max="10" width="37.5" style="8" customWidth="1"/>
    <col min="11" max="11" width="43.375" style="8" customWidth="1"/>
    <col min="12" max="12" width="40.75" style="8" customWidth="1"/>
    <col min="13" max="13" width="26.875" style="8" customWidth="1"/>
    <col min="14" max="14" width="23.25" style="8" customWidth="1"/>
    <col min="15" max="15" width="28.875" style="8" customWidth="1"/>
    <col min="16" max="16" width="35.625" style="8" customWidth="1"/>
    <col min="17" max="17" width="35.75" style="8" customWidth="1"/>
    <col min="18" max="18" width="35.375" style="8" customWidth="1"/>
    <col min="19" max="19" width="30.75" style="8" customWidth="1"/>
    <col min="20" max="20" width="60.375" style="8" customWidth="1"/>
    <col min="21" max="21" width="47.125" style="8" customWidth="1"/>
    <col min="22" max="22" width="24.125" style="8" customWidth="1"/>
    <col min="23" max="23" width="33.5" style="8" customWidth="1"/>
    <col min="24" max="24" width="31.875" style="8" customWidth="1"/>
    <col min="25" max="25" width="34" style="8" customWidth="1"/>
    <col min="26" max="26" width="39.625" style="8" customWidth="1"/>
    <col min="27" max="27" width="60.375" style="8" customWidth="1"/>
    <col min="28" max="28" width="47.125" style="8" customWidth="1"/>
    <col min="29" max="29" width="24.125" style="8" customWidth="1"/>
    <col min="30" max="30" width="36.75" style="8" customWidth="1"/>
    <col min="31" max="31" width="38.75" style="8" customWidth="1"/>
    <col min="32" max="32" width="39.875" style="8" customWidth="1"/>
    <col min="33" max="33" width="28.375" style="8" customWidth="1"/>
    <col min="34" max="34" width="39.625" style="8" customWidth="1"/>
    <col min="35" max="35" width="30" style="8" customWidth="1"/>
    <col min="36" max="16384" width="9.125" style="8" customWidth="1"/>
  </cols>
  <sheetData>
    <row r="1" ht="12.75" customHeight="1" customFormat="1">
      <c r="A1" t="s">
        <v>29</v>
      </c>
      <c r="B1" t="s">
        <v>11</v>
      </c>
      <c r="C1" t="s">
        <v>22</v>
      </c>
      <c r="D1" t="s">
        <v>67</v>
      </c>
      <c r="E1" t="s">
        <v>62</v>
      </c>
      <c r="F1" t="s">
        <v>53</v>
      </c>
      <c r="G1" t="s">
        <v>26</v>
      </c>
      <c r="H1" t="s">
        <v>27</v>
      </c>
      <c r="I1" t="s">
        <v>1</v>
      </c>
      <c r="J1" t="s">
        <v>18</v>
      </c>
      <c r="K1" t="s">
        <v>43</v>
      </c>
      <c r="L1" t="s">
        <v>10</v>
      </c>
      <c r="M1" t="s">
        <v>49</v>
      </c>
      <c r="N1" t="s">
        <v>55</v>
      </c>
      <c r="O1" t="s">
        <v>68</v>
      </c>
      <c r="P1" t="s">
        <v>5</v>
      </c>
      <c r="Q1" t="s">
        <v>39</v>
      </c>
      <c r="R1" t="s">
        <v>13</v>
      </c>
      <c r="S1" t="s">
        <v>36</v>
      </c>
      <c r="T1" t="s">
        <v>28</v>
      </c>
      <c r="U1" t="s">
        <v>41</v>
      </c>
      <c r="V1" t="s">
        <v>63</v>
      </c>
      <c r="W1" t="s">
        <v>6</v>
      </c>
      <c r="X1" t="s">
        <v>14</v>
      </c>
      <c r="Y1" t="s">
        <v>45</v>
      </c>
      <c r="Z1" t="s">
        <v>24</v>
      </c>
      <c r="AA1" t="s">
        <v>64</v>
      </c>
      <c r="AB1" t="s">
        <v>56</v>
      </c>
      <c r="AC1" t="s">
        <v>69</v>
      </c>
      <c r="AD1" t="s">
        <v>46</v>
      </c>
      <c r="AE1" t="s">
        <v>47</v>
      </c>
      <c r="AF1" t="s">
        <v>20</v>
      </c>
      <c r="AG1" t="s">
        <v>59</v>
      </c>
      <c r="AH1" t="s">
        <v>66</v>
      </c>
      <c r="AI1" t="s">
        <v>60</v>
      </c>
    </row>
    <row r="2" s="8" customFormat="1">
      <c r="A2" s="7">
        <v>2</v>
      </c>
      <c r="B2" s="7" t="s">
        <v>48</v>
      </c>
      <c r="C2" s="4" t="s">
        <v>52</v>
      </c>
      <c r="D2" s="4" t="s">
        <v>16</v>
      </c>
      <c r="E2" s="4" t="s">
        <v>17</v>
      </c>
      <c r="F2" s="4" t="s">
        <v>23</v>
      </c>
      <c r="G2" s="4" t="s">
        <v>40</v>
      </c>
      <c r="H2" s="4" t="s">
        <v>0</v>
      </c>
      <c r="I2" s="2" t="s">
        <v>35</v>
      </c>
      <c r="J2" s="2" t="s">
        <v>54</v>
      </c>
      <c r="K2" s="2" t="s">
        <v>3</v>
      </c>
      <c r="L2" s="2" t="s">
        <v>4</v>
      </c>
      <c r="M2" s="3" t="s">
        <v>19</v>
      </c>
      <c r="N2" s="3" t="s">
        <v>30</v>
      </c>
      <c r="O2" s="3" t="s">
        <v>37</v>
      </c>
      <c r="P2" s="3" t="s">
        <v>38</v>
      </c>
      <c r="Q2" s="3" t="s">
        <v>30</v>
      </c>
      <c r="R2" s="3" t="s">
        <v>37</v>
      </c>
      <c r="S2" s="3" t="s">
        <v>44</v>
      </c>
      <c r="T2" s="9">
        <v>3906390965</v>
      </c>
      <c r="U2" s="6" t="str">
        <f>"Article document "&amp;T2&amp;" posted"</f>
        <v>Article document 3906390965 posted</v>
      </c>
      <c r="V2" s="2" t="s">
        <v>50</v>
      </c>
      <c r="W2" s="5" t="str">
        <f ca="1">TEXT(TODAY(), "DD.MM.YYYY")</f>
        <v>04.11.2025</v>
      </c>
      <c r="X2" s="5">
        <f>T2</f>
        <v>3906390965</v>
      </c>
      <c r="Y2" s="5" t="str">
        <f ca="1">TEXT(TODAY(), "YYYY")</f>
        <v>2025</v>
      </c>
      <c r="Z2" s="6" t="s">
        <v>15</v>
      </c>
      <c r="AA2" s="9">
        <v>3906390966</v>
      </c>
      <c r="AB2" s="6" t="str">
        <f>"Document "&amp;AA2&amp;" posted"</f>
        <v>Document 3906390966 posted</v>
      </c>
      <c r="AC2" s="2" t="s">
        <v>57</v>
      </c>
      <c r="AD2" s="2" t="s">
        <v>58</v>
      </c>
      <c r="AE2" s="5">
        <f>AA2</f>
        <v>3906390966</v>
      </c>
      <c r="AF2" s="5" t="str">
        <f ca="1">TEXT(TODAY(), "YYYY")</f>
        <v>2025</v>
      </c>
      <c r="AG2" s="2" t="s">
        <v>65</v>
      </c>
      <c r="AH2" s="6" t="s">
        <v>2</v>
      </c>
      <c r="AI2" s="13" t="s">
        <v>21</v>
      </c>
    </row>
    <row r="3" s="8" customFormat="1">
      <c r="A3" s="7"/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0"/>
    </row>
    <row r="4" s="8" customFormat="1">
      <c r="A4" s="7"/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0"/>
    </row>
    <row r="5" s="8" customFormat="1">
      <c r="A5" s="7"/>
      <c r="B5" s="4" t="s">
        <v>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0"/>
    </row>
    <row r="6" s="8" customFormat="1">
      <c r="A6" s="7"/>
      <c r="B6" s="16" t="s">
        <v>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0"/>
    </row>
    <row r="7" s="8" customFormat="1">
      <c r="A7" s="7"/>
      <c r="B7" s="11" t="s">
        <v>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0"/>
    </row>
    <row r="8" s="8" customFormat="1">
      <c r="A8" s="7"/>
      <c r="B8" s="9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0"/>
    </row>
    <row r="9" s="8" customFormat="1">
      <c r="A9" s="7"/>
      <c r="B9" s="5" t="s">
        <v>32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0"/>
    </row>
    <row r="10" s="8" customFormat="1">
      <c r="A10" s="7"/>
      <c r="B10" s="5" t="s">
        <v>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0"/>
    </row>
    <row r="11" s="8" customFormat="1">
      <c r="A11" s="7"/>
      <c r="B11" s="6" t="s">
        <v>33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0"/>
    </row>
    <row r="12" s="8" customFormat="1">
      <c r="A12" s="7"/>
      <c r="B12" s="6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0"/>
    </row>
    <row r="13" s="8" customFormat="1">
      <c r="A13" s="7"/>
      <c r="B13" s="14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0"/>
    </row>
    <row r="14" s="8" customFormat="1">
      <c r="A14" s="7"/>
      <c r="B14" s="17" t="s">
        <v>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2" width="9.125" style="8" customWidth="1"/>
    <col min="3" max="3" width="31.5" style="8" customWidth="1"/>
    <col min="4" max="4" width="56.5" style="8" customWidth="1"/>
    <col min="5" max="16384" width="9.125" style="8" customWidth="1"/>
  </cols>
  <sheetData>
    <row r="1" ht="12.75" customHeight="1" customFormat="1">
      <c r="A1" t="s">
        <v>29</v>
      </c>
      <c r="B1" t="s">
        <v>11</v>
      </c>
      <c r="C1" t="s">
        <v>31</v>
      </c>
      <c r="D1" t="s">
        <v>7</v>
      </c>
    </row>
    <row r="2">
      <c r="A2" s="7">
        <v>2</v>
      </c>
      <c r="B2" s="7" t="s">
        <v>48</v>
      </c>
      <c r="C2" s="1">
        <v>3902863611</v>
      </c>
      <c r="D2" s="10">
        <v>3902863612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5" customWidth="1"/>
  </cols>
  <sheetData>
    <row r="1" ht="15.1" customFormat="1"/>
  </sheetData>
  <pageMargins left="0.7" right="0.7" top="0.75" bottom="0.75" header="0.3" footer="0.3"/>
</worksheet>
</file>