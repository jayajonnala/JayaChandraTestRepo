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5"/>
  </bookViews>
  <sheets>
    <sheet name="Global" sheetId="1" r:id="rId1"/>
    <sheet name="TC0_RunTimeResultFolder" sheetId="2" r:id="rId2"/>
    <sheet name="TC1_Test_P2P_01_01_091_P1" sheetId="3" r:id="rId3"/>
    <sheet name="TC2_Test_P2P_01_01_091_P2" sheetId="4" r:id="rId4"/>
    <sheet name="TC4_Test_P2P_01_01_091_P3" sheetId="5" r:id="rId5"/>
    <sheet name="TC3_DataTransfer_1" sheetId="6" r:id="rId6"/>
  </sheets>
  <externalReferences>
    <externalReference r:id="rId10"/>
    <externalReference r:id="rId11"/>
  </externalReferences>
  <calcPr calcId="40001"/>
</workbook>
</file>

<file path=xl/sharedStrings.xml><?xml version="1.0" encoding="utf-8"?>
<sst xmlns="http://schemas.openxmlformats.org/spreadsheetml/2006/main" uniqueCount="89">
  <si>
    <t/>
  </si>
  <si>
    <t>DT_SAPTRANSACTIONCODE</t>
  </si>
  <si>
    <t>A01</t>
  </si>
  <si>
    <t>101</t>
  </si>
  <si>
    <t>???</t>
  </si>
  <si>
    <t>DT_MIGO_0200_TABLECELL_OK_1</t>
  </si>
  <si>
    <t>DT_MIGO_0200_CHECK_TEXT_OF_TABLECELL_SITE_1</t>
  </si>
  <si>
    <t>P2P_01_01_091-Repricing for returns - price</t>
  </si>
  <si>
    <t>DT_MIGO_0200_CHECK_TEXT_OF_TABLECELL_VENDOR_BATCH_0</t>
  </si>
  <si>
    <t>DT_XYZ</t>
  </si>
  <si>
    <t>Verifications Date</t>
  </si>
  <si>
    <t>Data Coming from another test</t>
  </si>
  <si>
    <t>DT_MIGO_0010_GODYNPROACTION</t>
  </si>
  <si>
    <t>DT_MIGO_0200_CHECK_TEXT_OF_TABLECELL_EUN_1</t>
  </si>
  <si>
    <t>DT_SELECT_PURCH_ORDER</t>
  </si>
  <si>
    <t>DT_MIGO_1211_GET_TEXT_OF_TABLECELL_NET_PRICE_0</t>
  </si>
  <si>
    <t>Output Data</t>
  </si>
  <si>
    <t>DT_MIGO_0110_DOCUMENT_DATE</t>
  </si>
  <si>
    <t>DT_MIGO_2010_GODYNPROMAT_DOC</t>
  </si>
  <si>
    <t>DT_MIGO_0200_CHECK_TEXT_OF_TABLECELL_ART_SHORT_TEXT_0</t>
  </si>
  <si>
    <t>DT_MIGO_1211_GET_TEXT_OF_TABLECELL_NET_PRICE_0_OUTPUT</t>
  </si>
  <si>
    <t>200</t>
  </si>
  <si>
    <t>AUTOMI</t>
  </si>
  <si>
    <t>MIGO</t>
  </si>
  <si>
    <t>ON</t>
  </si>
  <si>
    <t>DT_MIGO_0001_CHECK_TEXT_OF_STATUSBAR</t>
  </si>
  <si>
    <t>DT_MIGO_0001_GET_TEXT_OF_STATUSBAR_OCC1</t>
  </si>
  <si>
    <t>Article document 5042738688 posted</t>
  </si>
  <si>
    <t>DT_MIGO_0010_GODYNPROACTION_OCC1</t>
  </si>
  <si>
    <t>DT_SAPSYSTEM</t>
  </si>
  <si>
    <t>DT_MIGO_2000_GODYNPROPO_ITEM</t>
  </si>
  <si>
    <t>DT_MIGO_0110_BILL_OF_LADING</t>
  </si>
  <si>
    <t>DT_MIGO_0200_CHECK_TEXT_OF_TABLECELL_VENDOR_BATCH_1</t>
  </si>
  <si>
    <t>Input Data</t>
  </si>
  <si>
    <t>DT_SAPLANGUAGE</t>
  </si>
  <si>
    <t>DT_SAPOPTIONS</t>
  </si>
  <si>
    <t>HEIDI CHOCO ASSORTED FIGURINES 80G</t>
  </si>
  <si>
    <t>DT_MIGO_0100_CHECK_GETCELLVALUE_OF_GRIDCELL_0_BUDAT</t>
  </si>
  <si>
    <t>DT_DOCUMENT_NO_OUTPUT</t>
  </si>
  <si>
    <t>SCENARIO</t>
  </si>
  <si>
    <t>HEIDI WHITE CHOCO FIG SNOWMAN 20G</t>
  </si>
  <si>
    <t>DT_MIGO_0200_CHECK_TEXT_OF_TABLECELL_ART_SHORT_TEXT_1</t>
  </si>
  <si>
    <t>Formulas Date</t>
  </si>
  <si>
    <t>Verifications</t>
  </si>
  <si>
    <t>Execution Control Data</t>
  </si>
  <si>
    <t>from p1</t>
  </si>
  <si>
    <t>DT_MIGO_0304_ITEM_OK</t>
  </si>
  <si>
    <t>RW04</t>
  </si>
  <si>
    <t>DT_ME23N_OKCD</t>
  </si>
  <si>
    <t>60b5fdc7cbee31a30e50b6bc482fc6a29f2d88dfbaf0</t>
  </si>
  <si>
    <t>R01</t>
  </si>
  <si>
    <t>DT_MIGO_0110_HEADERTEXT</t>
  </si>
  <si>
    <t>=L2</t>
  </si>
  <si>
    <t>EN</t>
  </si>
  <si>
    <t>Formulas General</t>
  </si>
  <si>
    <t>DT_MIGO_2000_GODYNPROPO_NUMBER</t>
  </si>
  <si>
    <t>DT_MIGO_0010_GODEFAULT_TVBWART</t>
  </si>
  <si>
    <t>DT_MIGO_0200_CHECK_TEXT_OF_TABLECELL_OK_0</t>
  </si>
  <si>
    <t>5</t>
  </si>
  <si>
    <t>DT_MIGO_0200_CHECK_TEXT_OF_TABLECELL_CUSTOMER_0</t>
  </si>
  <si>
    <t>me23n</t>
  </si>
  <si>
    <t>DT_ME23N_1303_PURCHASE_ORDER_HISTORY</t>
  </si>
  <si>
    <t>DT_MIGO_0100_CHECK_GETCELLVALUE_OF_GRIDCELL_0_DMBTR</t>
  </si>
  <si>
    <t>DT_MIGO_0110_POSTING_DATE</t>
  </si>
  <si>
    <t>DT_MIGO_0200_CHECK_TEXT_OF_TABLECELL_SITE_0</t>
  </si>
  <si>
    <t>154,00</t>
  </si>
  <si>
    <t>R1E - SAP RETAIL Pre-Production EUROPE</t>
  </si>
  <si>
    <t>Fixed Data</t>
  </si>
  <si>
    <t>DT_SAPPASSWORD</t>
  </si>
  <si>
    <t>DT_MIGO_0110_DELIVERY_NOTE</t>
  </si>
  <si>
    <t>A04</t>
  </si>
  <si>
    <t>ROW</t>
  </si>
  <si>
    <t>Login Information</t>
  </si>
  <si>
    <t>DT_SAPUSER</t>
  </si>
  <si>
    <t>DT_MIGO_0110_GRGI_SLIP_NO</t>
  </si>
  <si>
    <t>DT_MIGO_2010_GODYNPRODOC_YEAR</t>
  </si>
  <si>
    <t>DT_MIGO_0200_CHECK_TEXT_OF_TABLECELL_EUN_0</t>
  </si>
  <si>
    <t>DT_MIGO_0100_CHECK_GETCELLVALUE_OF_GRIDCELL_0_BELNR</t>
  </si>
  <si>
    <t>DT_SAPCLIENT</t>
  </si>
  <si>
    <t>DT_GODYNPROREFDOC</t>
  </si>
  <si>
    <t>erer</t>
  </si>
  <si>
    <t>Document is O.K.</t>
  </si>
  <si>
    <t>DT_DOCUMENT_NO</t>
  </si>
  <si>
    <t>DT_MIGO_0001_CHECK_TEXT_OF_STATUSBAR_OCC2</t>
  </si>
  <si>
    <t>RW000004</t>
  </si>
  <si>
    <t>DT_MIGO_0200_CHECK_TEXT_OF_TABLECELL_OK_1</t>
  </si>
  <si>
    <t>6</t>
  </si>
  <si>
    <t>DT_MIGO_0200_CHECK_TEXT_OF_TABLECELL_CUSTOMER_1</t>
  </si>
  <si>
    <t>Purchase Order History</t>
  </si>
</sst>
</file>

<file path=xl/styles.xml><?xml version="1.0" encoding="utf-8"?>
<styleSheet xmlns="http://schemas.openxmlformats.org/spreadsheetml/2006/main">
  <numFmts count="1">
    <numFmt numFmtId="164" formatCode="dd\.mm\.yyyy"/>
  </numFmts>
  <fonts count="21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color rgb="FF800000"/>
      <name val="Mic Shell Dlg"/>
      <charset val="1"/>
    </font>
    <font>
      <b/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3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Border="1" applyProtection="1">
      <protection locked="0"/>
    </xf>
    <xf numFmtId="0" fontId="2" fillId="2" borderId="1" xfId="0" applyFont="1" applyFill="1" applyBorder="1" applyProtection="1">
      <protection locked="0"/>
    </xf>
    <xf numFmtId="0" fontId="1" fillId="3" borderId="1" xfId="0" applyFont="1" applyFill="1" applyBorder="1" applyProtection="1">
      <protection locked="0"/>
    </xf>
    <xf numFmtId="0" fontId="1" fillId="4" borderId="1" xfId="0" applyFont="1" applyFill="1" applyBorder="1" applyProtection="1">
      <protection locked="0"/>
    </xf>
    <xf numFmtId="0" fontId="1" fillId="5" borderId="1" xfId="0" applyNumberFormat="1" applyFont="1" applyFill="1" applyBorder="1" applyProtection="1">
      <protection locked="0"/>
    </xf>
    <xf numFmtId="0" fontId="0" fillId="0" borderId="0" xfId="0" applyBorder="1" applyProtection="1">
      <protection locked="0"/>
    </xf>
    <xf numFmtId="0" fontId="1" fillId="6" borderId="1" xfId="0" applyFont="1" applyFill="1" applyBorder="1" applyProtection="1">
      <protection locked="0"/>
    </xf>
    <xf numFmtId="0" fontId="1" fillId="7" borderId="1" xfId="0" applyFont="1" applyFill="1" applyBorder="1" applyProtection="1">
      <protection locked="0"/>
    </xf>
    <xf numFmtId="164" fontId="1" fillId="5" borderId="1" xfId="0" applyNumberFormat="1" applyFont="1" applyFill="1" applyBorder="1" applyProtection="1">
      <protection locked="0"/>
    </xf>
    <xf numFmtId="0" fontId="1" fillId="8" borderId="1" xfId="0" applyFont="1" applyFill="1" applyBorder="1" applyProtection="1">
      <protection locked="0"/>
    </xf>
    <xf numFmtId="0" fontId="1" fillId="0" borderId="0" xfId="0" applyBorder="1" applyProtection="1">
      <protection locked="0"/>
    </xf>
    <xf numFmtId="164" fontId="2" fillId="2" borderId="1" xfId="0" applyNumberFormat="1" applyFont="1" applyFill="1" applyBorder="1" applyProtection="1">
      <protection locked="0"/>
    </xf>
    <xf numFmtId="0" fontId="1" fillId="0" borderId="2" xfId="0" applyBorder="1" applyProtection="1">
      <protection locked="0"/>
    </xf>
    <xf numFmtId="0" fontId="3" fillId="0" borderId="1" xfId="0" applyFont="1" applyBorder="1" applyProtection="1">
      <protection locked="0"/>
    </xf>
    <xf numFmtId="49" fontId="1" fillId="6" borderId="2" xfId="0" applyNumberFormat="1" applyFont="1" applyFill="1" applyBorder="1" applyProtection="1">
      <protection locked="0"/>
    </xf>
    <xf numFmtId="0" fontId="1" fillId="9" borderId="1" xfId="0" applyFill="1" applyBorder="1" applyProtection="1">
      <protection locked="0"/>
    </xf>
    <xf numFmtId="49" fontId="1" fillId="5" borderId="1" xfId="0" applyNumberFormat="1" applyFont="1" applyFill="1" applyBorder="1" applyProtection="1">
      <protection locked="0"/>
    </xf>
    <xf numFmtId="0" fontId="4" fillId="3" borderId="1" xfId="0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4" fillId="9" borderId="1" xfId="0" quotePrefix="1" applyFont="1" applyFill="1" applyBorder="1" applyProtection="1">
      <protection locked="0"/>
    </xf>
    <xf numFmtId="49" fontId="4" fillId="9" borderId="1" xfId="0" applyNumberFormat="1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7" Type="http://schemas.openxmlformats.org/officeDocument/2006/relationships/theme" Target="theme/theme1.xml" /><Relationship Id="rId8" Type="http://schemas.openxmlformats.org/officeDocument/2006/relationships/styles" Target="styles.xml" /><Relationship Id="rId9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10" Type="http://schemas.openxmlformats.org/officeDocument/2006/relationships/externalLink" Target="externalLinks/externalLink1.xml" /><Relationship Id="rId11" Type="http://schemas.openxmlformats.org/officeDocument/2006/relationships/externalLink" Target="externalLinks/externalLink2.xml" /></Relationships>
</file>

<file path=xl/externalLinks/_rels/externalLink1.xml.rels>&#65279;<?xml version="1.0" encoding="utf-8"?><Relationships xmlns="http://schemas.openxmlformats.org/package/2006/relationships"><Relationship Id="rId1" Type="http://schemas.microsoft.com/office/2006/relationships/xlExternalLinkPath/xlPathMissing" Target="DT_P2P_01_01_091-Repricing%20for%20returns%20-%20price_P1_TASE.xls" TargetMode="External" /></Relationships>
</file>

<file path=xl/externalLinks/_rels/externalLink2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P3\MI\RETAIL\DT_P2P_01_01_091-Repricing%20for%20returns%20-%20price_P3_TASE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W13"/>
  <sheetViews>
    <sheetView topLeftCell="AU1" workbookViewId="0">
      <selection activeCell="AU2" sqref="AU2"/>
    </sheetView>
  </sheetViews>
  <sheetFormatPr defaultColWidth="9.125" defaultRowHeight="14.25"/>
  <cols>
    <col min="1" max="1" width="9.125" style="11" customWidth="1"/>
    <col min="2" max="2" width="37.5" style="11" customWidth="1"/>
    <col min="3" max="3" width="38.125" style="11" customWidth="1"/>
    <col min="4" max="4" width="15" style="11" customWidth="1"/>
    <col min="5" max="5" width="13.625" style="11" customWidth="1"/>
    <col min="6" max="6" width="24.5" style="11" customWidth="1"/>
    <col min="7" max="7" width="18.625" style="11" customWidth="1"/>
    <col min="8" max="8" width="16.75" style="11" customWidth="1"/>
    <col min="9" max="9" width="27.125" style="11" customWidth="1"/>
    <col min="10" max="10" width="33.125" style="11" customWidth="1"/>
    <col min="11" max="12" width="23.75" style="11" customWidth="1"/>
    <col min="13" max="13" width="37.125" style="11" customWidth="1"/>
    <col min="14" max="14" width="34.25" style="11" customWidth="1"/>
    <col min="15" max="15" width="32.25" style="11" customWidth="1"/>
    <col min="16" max="16" width="30.875" style="11" customWidth="1"/>
    <col min="17" max="17" width="29.875" style="11" customWidth="1"/>
    <col min="18" max="18" width="30.5" style="11" customWidth="1"/>
    <col min="19" max="19" width="28.125" style="11" customWidth="1"/>
    <col min="20" max="20" width="28.75" style="11" customWidth="1"/>
    <col min="21" max="21" width="23.375" style="11" customWidth="1"/>
    <col min="22" max="22" width="31.375" style="11" customWidth="1"/>
    <col min="23" max="23" width="43.5" style="11" customWidth="1"/>
    <col min="24" max="24" width="47" style="11" customWidth="1"/>
    <col min="25" max="25" width="19.125" style="11" customWidth="1"/>
    <col min="26" max="26" width="49.375" style="11" customWidth="1"/>
    <col min="27" max="27" width="39" style="11" customWidth="1"/>
    <col min="28" max="28" width="35.125" style="11" customWidth="1"/>
    <col min="29" max="29" width="36.25" style="11" customWidth="1"/>
    <col min="30" max="31" width="62.875" style="11" customWidth="1"/>
    <col min="32" max="33" width="49.5" style="11" customWidth="1"/>
    <col min="34" max="35" width="48" style="11" customWidth="1"/>
    <col min="36" max="37" width="49.75" style="11" customWidth="1"/>
    <col min="38" max="39" width="60.875" style="11" customWidth="1"/>
    <col min="40" max="44" width="56.125" style="11" customWidth="1"/>
    <col min="45" max="45" width="60" style="11" customWidth="1"/>
    <col min="46" max="46" width="60.25" style="11" customWidth="1"/>
    <col min="47" max="47" width="53.625" style="11" customWidth="1"/>
    <col min="48" max="48" width="60.5" style="11" customWidth="1"/>
    <col min="49" max="16384" width="9.125" style="11" customWidth="1"/>
  </cols>
  <sheetData>
    <row r="1" ht="12.75" customHeight="1" customFormat="1">
      <c r="A1" t="s">
        <v>71</v>
      </c>
      <c r="B1" t="s">
        <v>39</v>
      </c>
      <c r="C1" t="s">
        <v>29</v>
      </c>
      <c r="D1" t="s">
        <v>78</v>
      </c>
      <c r="E1" t="s">
        <v>73</v>
      </c>
      <c r="F1" t="s">
        <v>68</v>
      </c>
      <c r="G1" t="s">
        <v>34</v>
      </c>
      <c r="H1" t="s">
        <v>35</v>
      </c>
      <c r="I1" t="s">
        <v>1</v>
      </c>
      <c r="J1" t="s">
        <v>12</v>
      </c>
      <c r="K1" t="s">
        <v>79</v>
      </c>
      <c r="L1" t="s">
        <v>55</v>
      </c>
      <c r="M1" t="s">
        <v>56</v>
      </c>
      <c r="N1" t="s">
        <v>30</v>
      </c>
      <c r="O1" t="s">
        <v>17</v>
      </c>
      <c r="P1" t="s">
        <v>69</v>
      </c>
      <c r="Q1" t="s">
        <v>63</v>
      </c>
      <c r="R1" t="s">
        <v>31</v>
      </c>
      <c r="S1" t="s">
        <v>51</v>
      </c>
      <c r="T1" t="s">
        <v>74</v>
      </c>
      <c r="U1" t="s">
        <v>46</v>
      </c>
      <c r="V1" t="s">
        <v>5</v>
      </c>
      <c r="W1" t="s">
        <v>25</v>
      </c>
      <c r="X1" t="s">
        <v>26</v>
      </c>
      <c r="Y1" t="s">
        <v>82</v>
      </c>
      <c r="Z1" t="s">
        <v>83</v>
      </c>
      <c r="AA1" t="s">
        <v>28</v>
      </c>
      <c r="AB1" t="s">
        <v>18</v>
      </c>
      <c r="AC1" t="s">
        <v>75</v>
      </c>
      <c r="AD1" t="s">
        <v>19</v>
      </c>
      <c r="AE1" t="s">
        <v>41</v>
      </c>
      <c r="AF1" t="s">
        <v>76</v>
      </c>
      <c r="AG1" t="s">
        <v>13</v>
      </c>
      <c r="AH1" t="s">
        <v>57</v>
      </c>
      <c r="AI1" t="s">
        <v>85</v>
      </c>
      <c r="AJ1" t="s">
        <v>64</v>
      </c>
      <c r="AK1" t="s">
        <v>6</v>
      </c>
      <c r="AL1" t="s">
        <v>8</v>
      </c>
      <c r="AM1" t="s">
        <v>32</v>
      </c>
      <c r="AN1" t="s">
        <v>59</v>
      </c>
      <c r="AO1" t="s">
        <v>87</v>
      </c>
      <c r="AP1" t="s">
        <v>48</v>
      </c>
      <c r="AQ1" t="s">
        <v>14</v>
      </c>
      <c r="AR1" t="s">
        <v>61</v>
      </c>
      <c r="AS1" t="s">
        <v>77</v>
      </c>
      <c r="AT1" t="s">
        <v>37</v>
      </c>
      <c r="AU1" t="s">
        <v>15</v>
      </c>
      <c r="AV1" t="s">
        <v>62</v>
      </c>
      <c r="AW1" t="s">
        <v>9</v>
      </c>
    </row>
    <row r="2">
      <c r="A2" s="8">
        <v>1</v>
      </c>
      <c r="B2" s="8" t="s">
        <v>7</v>
      </c>
      <c r="C2" s="4" t="s">
        <v>66</v>
      </c>
      <c r="D2" s="4" t="s">
        <v>21</v>
      </c>
      <c r="E2" s="4" t="s">
        <v>22</v>
      </c>
      <c r="F2" s="4" t="s">
        <v>49</v>
      </c>
      <c r="G2" s="4" t="s">
        <v>53</v>
      </c>
      <c r="H2" s="4" t="s">
        <v>0</v>
      </c>
      <c r="I2" s="3" t="s">
        <v>23</v>
      </c>
      <c r="J2" s="3" t="s">
        <v>2</v>
      </c>
      <c r="K2" s="3" t="s">
        <v>50</v>
      </c>
      <c r="L2" s="20">
        <v>4309530593</v>
      </c>
      <c r="M2" s="3" t="s">
        <v>3</v>
      </c>
      <c r="N2" s="3"/>
      <c r="O2" s="9">
        <f ca="1">TODAY()</f>
        <v>45965</v>
      </c>
      <c r="P2" s="3" t="s">
        <v>80</v>
      </c>
      <c r="Q2" s="9">
        <f ca="1">TODAY()</f>
        <v>45965</v>
      </c>
      <c r="R2" s="3"/>
      <c r="S2" s="3"/>
      <c r="T2" s="3"/>
      <c r="U2" s="3" t="s">
        <v>24</v>
      </c>
      <c r="V2" s="3" t="s">
        <v>24</v>
      </c>
      <c r="W2" s="2" t="s">
        <v>81</v>
      </c>
      <c r="X2" s="7" t="s">
        <v>27</v>
      </c>
      <c r="Y2" s="5" t="e">
        <f>[2]Output!A2</f>
        <v>#REF!</v>
      </c>
      <c r="Z2" s="2" t="e">
        <f>CONCATENATE("Article document ",Y2," posted")</f>
        <v>#REF!</v>
      </c>
      <c r="AA2" s="3" t="s">
        <v>70</v>
      </c>
      <c r="AB2" s="5" t="e">
        <f>Y2</f>
        <v>#REF!</v>
      </c>
      <c r="AC2" s="5">
        <f ca="1">YEAR(TODAY())</f>
        <v>2025</v>
      </c>
      <c r="AD2" s="2" t="s">
        <v>40</v>
      </c>
      <c r="AE2" s="2" t="s">
        <v>36</v>
      </c>
      <c r="AF2" s="2" t="s">
        <v>84</v>
      </c>
      <c r="AG2" s="2" t="s">
        <v>84</v>
      </c>
      <c r="AH2" s="2" t="s">
        <v>58</v>
      </c>
      <c r="AI2" s="2" t="s">
        <v>86</v>
      </c>
      <c r="AJ2" s="2">
        <v>7401249</v>
      </c>
      <c r="AK2" s="2">
        <v>7401250</v>
      </c>
      <c r="AL2" s="2" t="s">
        <v>47</v>
      </c>
      <c r="AM2" s="2" t="s">
        <v>47</v>
      </c>
      <c r="AN2" s="2" t="e">
        <f>[1]Global!$M$2</f>
        <v>#REF!</v>
      </c>
      <c r="AO2" s="2" t="e">
        <f t="shared" si="0" ref="AO2:AO4">AN2</f>
        <v>#REF!</v>
      </c>
      <c r="AP2" s="3" t="s">
        <v>60</v>
      </c>
      <c r="AQ2" s="17" t="s">
        <v>52</v>
      </c>
      <c r="AR2" s="14" t="s">
        <v>88</v>
      </c>
      <c r="AS2" s="2" t="e">
        <f>Y2</f>
        <v>#REF!</v>
      </c>
      <c r="AT2" s="12">
        <f ca="1">TODAY()</f>
        <v>45965</v>
      </c>
      <c r="AU2" s="7" t="e">
        <f>[2]Output!B2</f>
        <v>#REF!</v>
      </c>
      <c r="AV2" s="1" t="e">
        <f>TEXT(AU2*75,"00.000,00-")</f>
        <v>#REF!</v>
      </c>
      <c r="AW2" s="13">
        <v>1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9" t="e">
        <f>[1]Global!$AC$3</f>
        <v>#REF!</v>
      </c>
      <c r="M3" s="1" t="s">
        <v>4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0" t="e">
        <f>[1]Global!$M$3</f>
        <v>#REF!</v>
      </c>
      <c r="AO3" s="1" t="e">
        <f t="shared" si="0"/>
        <v>#REF!</v>
      </c>
      <c r="AP3" s="3"/>
      <c r="AQ3" s="1"/>
      <c r="AR3" s="1"/>
      <c r="AS3" s="1"/>
      <c r="AT3" s="1"/>
      <c r="AU3" s="1"/>
      <c r="AV3" s="1"/>
      <c r="AW3" s="13"/>
    </row>
    <row r="4">
      <c r="A4" s="1"/>
      <c r="B4" s="1"/>
      <c r="C4" s="4" t="s">
        <v>72</v>
      </c>
      <c r="D4" s="1"/>
      <c r="E4" s="1"/>
      <c r="F4" s="1"/>
      <c r="G4" s="1"/>
      <c r="H4" s="1"/>
      <c r="I4" s="1"/>
      <c r="J4" s="1"/>
      <c r="K4" s="1"/>
      <c r="L4" s="19" t="e">
        <f>[1]Global!$AC$4</f>
        <v>#REF!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2" t="e">
        <f>[1]Global!$M$4</f>
        <v>#REF!</v>
      </c>
      <c r="AO4" s="1" t="e">
        <f t="shared" si="0"/>
        <v>#REF!</v>
      </c>
      <c r="AP4" s="3"/>
      <c r="AQ4" s="1"/>
      <c r="AR4" s="1"/>
      <c r="AS4" s="1"/>
      <c r="AT4" s="1"/>
      <c r="AU4" s="1"/>
      <c r="AV4" s="1"/>
      <c r="AW4" s="13"/>
    </row>
    <row r="5">
      <c r="A5" s="1"/>
      <c r="B5" s="1"/>
      <c r="C5" s="3" t="s">
        <v>33</v>
      </c>
      <c r="D5" s="1"/>
      <c r="E5" s="1"/>
      <c r="F5" s="1"/>
      <c r="G5" s="1"/>
      <c r="H5" s="1"/>
      <c r="I5" s="1"/>
      <c r="J5" s="1"/>
      <c r="K5" s="1"/>
      <c r="L5" s="16" t="s">
        <v>45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3"/>
    </row>
    <row r="6">
      <c r="A6" s="1"/>
      <c r="B6" s="1"/>
      <c r="C6" s="10" t="s">
        <v>67</v>
      </c>
      <c r="D6" s="1"/>
      <c r="E6" s="1"/>
      <c r="F6" s="1"/>
      <c r="G6" s="1"/>
      <c r="H6" s="1"/>
      <c r="I6" s="1"/>
      <c r="J6" s="1"/>
      <c r="K6" s="1"/>
      <c r="L6" s="2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3"/>
    </row>
    <row r="7">
      <c r="A7" s="1"/>
      <c r="B7" s="1"/>
      <c r="C7" s="7" t="s">
        <v>16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3"/>
    </row>
    <row r="8">
      <c r="A8" s="1"/>
      <c r="B8" s="1"/>
      <c r="C8" s="9" t="s">
        <v>42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3"/>
    </row>
    <row r="9">
      <c r="A9" s="1"/>
      <c r="B9" s="1"/>
      <c r="C9" s="5" t="s">
        <v>54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3"/>
    </row>
    <row r="10">
      <c r="A10" s="1"/>
      <c r="B10" s="1"/>
      <c r="C10" s="2" t="s">
        <v>43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3"/>
    </row>
    <row r="11">
      <c r="A11" s="1"/>
      <c r="B11" s="1"/>
      <c r="C11" s="12" t="s">
        <v>10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3"/>
    </row>
    <row r="12">
      <c r="A12" s="1"/>
      <c r="B12" s="1"/>
      <c r="C12" s="18" t="s">
        <v>11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3"/>
    </row>
    <row r="13">
      <c r="A13" s="1"/>
      <c r="B13" s="1"/>
      <c r="C13" s="8" t="s">
        <v>44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3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B2"/>
  <sheetViews>
    <sheetView workbookViewId="0">
      <selection activeCell="A2" sqref="A2"/>
    </sheetView>
  </sheetViews>
  <sheetFormatPr defaultColWidth="9.125" defaultRowHeight="14.25"/>
  <cols>
    <col min="1" max="1" width="21.375" style="11" customWidth="1"/>
    <col min="2" max="16384" width="9.125" style="11" customWidth="1"/>
  </cols>
  <sheetData>
    <row r="1" ht="12.75" customHeight="1" customFormat="1">
      <c r="A1" t="s">
        <v>38</v>
      </c>
      <c r="B1" t="s">
        <v>20</v>
      </c>
    </row>
    <row r="2">
      <c r="A2" s="5">
        <v>5079044808</v>
      </c>
      <c r="B2" s="15" t="s">
        <v>65</v>
      </c>
    </row>
  </sheetData>
  <printOptions gridLines="1"/>
  <pageMargins left="0.75" right="0.75" top="1" bottom="1" header="0.5" footer="0.5"/>
  <pageSetup orientation="portrait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6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6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6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6" customWidth="1"/>
  </cols>
  <sheetData>
    <row r="1" ht="15.1" customFormat="1"/>
  </sheetData>
  <pageMargins left="0.7" right="0.7" top="0.75" bottom="0.75" header="0.3" footer="0.3"/>
</worksheet>
</file>