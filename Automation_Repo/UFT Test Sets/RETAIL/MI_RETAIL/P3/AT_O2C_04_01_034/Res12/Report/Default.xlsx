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<sst xmlns="http://schemas.openxmlformats.org/spreadsheetml/2006/main" uniqueCount="47">
  <si>
    <t>S:\TestAssets\MI_Retail\O2C</t>
  </si>
  <si>
    <t>Os3n20177_</t>
  </si>
  <si>
    <t>unique incremented val</t>
  </si>
  <si>
    <t>DT_EXTRA_3</t>
  </si>
  <si>
    <t>DT_DESTINATION_PATH</t>
  </si>
  <si>
    <t>DT_SCENARIO</t>
  </si>
  <si>
    <t>Data Coming from another test</t>
  </si>
  <si>
    <t>DT_USERNAME</t>
  </si>
  <si>
    <t>Output Data</t>
  </si>
  <si>
    <t>Formulas</t>
  </si>
  <si>
    <t>DT_DOC_DATE</t>
  </si>
  <si>
    <t>0000012000002</t>
  </si>
  <si>
    <t>DT_LEGACY_DC</t>
  </si>
  <si>
    <t>Input Data</t>
  </si>
  <si>
    <t>DT_LEGACY_STORE</t>
  </si>
  <si>
    <t>Legacy code for store</t>
  </si>
  <si>
    <t>Legacy code for article</t>
  </si>
  <si>
    <t>DT_SOURCE_FILE</t>
  </si>
  <si>
    <t>One PO per day can be created for the same vendor</t>
  </si>
  <si>
    <t>DT_EXTRA</t>
  </si>
  <si>
    <t>DT_TEXT</t>
  </si>
  <si>
    <t>Verifications</t>
  </si>
  <si>
    <t>Execution Control Data</t>
  </si>
  <si>
    <t>Used for FileName body</t>
  </si>
  <si>
    <t>0000190NCD9870173</t>
  </si>
  <si>
    <t>Legacy code for DC</t>
  </si>
  <si>
    <t>/operations/download/MII076/</t>
  </si>
  <si>
    <t>EU34QGE1-VIR</t>
  </si>
  <si>
    <t>DT_INCREMENT</t>
  </si>
  <si>
    <t>STO1144</t>
  </si>
  <si>
    <t>cmite</t>
  </si>
  <si>
    <t>DT_PASSWORD</t>
  </si>
  <si>
    <t>DT_ROW</t>
  </si>
  <si>
    <t>00000000</t>
  </si>
  <si>
    <t>DT_FILEPATH</t>
  </si>
  <si>
    <t>O2C_04_01_034</t>
  </si>
  <si>
    <t>LogIn Information</t>
  </si>
  <si>
    <t>DT_UNIQUE</t>
  </si>
  <si>
    <t>DT_FILENAME</t>
  </si>
  <si>
    <t>Fixed Data</t>
  </si>
  <si>
    <t>DT_EXTRA_2</t>
  </si>
  <si>
    <t>DT_SERVERNAME</t>
  </si>
  <si>
    <t>DT_REF1</t>
  </si>
  <si>
    <t>0144</t>
  </si>
  <si>
    <t>DT_LEGACY_ART</t>
  </si>
  <si>
    <t>DT_1ST_TEXT_IN_FILENAME</t>
  </si>
  <si>
    <t>00</t>
  </si>
</sst>
</file>

<file path=xl/styles.xml><?xml version="1.0" encoding="utf-8"?>
<styleSheet xmlns="http://schemas.openxmlformats.org/spreadsheetml/2006/main">
  <numFmts count="1">
    <numFmt numFmtId="164" formatCode="dd\.mm\.yyyy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20"/>
      <name val="Mic Shell Dlg"/>
      <charset val="1"/>
    </font>
    <font>
      <sz val="11"/>
      <color indexed="9"/>
      <name val="Mic Shell Dlg"/>
      <charset val="1"/>
    </font>
    <font>
      <u/>
      <sz val="11"/>
      <color indexed="12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49" fontId="1" fillId="3" borderId="1" xfId="0" applyNumberFormat="1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2" fillId="0" borderId="1" xfId="0" applyFont="1" applyFill="1" applyBorder="1" applyAlignment="1" applyProtection="1">
      <alignment vertical="center" wrapText="1"/>
      <protection locked="0"/>
    </xf>
    <xf numFmtId="0" fontId="1" fillId="4" borderId="1" xfId="0" applyNumberFormat="1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4" fillId="5" borderId="2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0" fontId="5" fillId="3" borderId="1" xfId="0" applyFont="1" applyFill="1" applyBorder="1" applyProtection="1">
      <protection locked="0"/>
    </xf>
    <xf numFmtId="0" fontId="1" fillId="0" borderId="1" xfId="0" applyFont="1" applyFill="1" applyBorder="1" applyProtection="1">
      <protection locked="0"/>
    </xf>
    <xf numFmtId="14" fontId="1" fillId="3" borderId="1" xfId="0" applyNumberForma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" fontId="1" fillId="0" borderId="1" xfId="0" applyNumberFormat="1" applyFont="1" applyFill="1" applyBorder="1" applyProtection="1">
      <protection locked="0"/>
    </xf>
    <xf numFmtId="1" fontId="1" fillId="3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1" fillId="0" borderId="1" xfId="0" applyNumberForma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12"/>
  <sheetViews>
    <sheetView workbookViewId="0">
      <pane xSplit="1" ySplit="0" topLeftCell="P2" activePane="topRight"/>
      <selection activeCell="P2" sqref="P2"/>
      <selection pane="topRight" activeCell="P2" sqref="P2"/>
    </sheetView>
  </sheetViews>
  <sheetFormatPr defaultColWidth="9.125" defaultRowHeight="14.25"/>
  <cols>
    <col min="1" max="1" width="9.125" style="19" customWidth="1"/>
    <col min="2" max="2" width="26.875" style="19" customWidth="1"/>
    <col min="3" max="3" width="15.75" style="19" customWidth="1"/>
    <col min="4" max="4" width="27.125" style="19" customWidth="1"/>
    <col min="5" max="5" width="21" style="19" customWidth="1"/>
    <col min="6" max="6" width="19.625" style="19" customWidth="1"/>
    <col min="7" max="7" width="19.875" style="19" customWidth="1"/>
    <col min="8" max="8" width="44.75" style="19" customWidth="1"/>
    <col min="9" max="9" width="10.875" style="19" customWidth="1"/>
    <col min="10" max="10" width="19.875" style="19" customWidth="1"/>
    <col min="11" max="11" width="14" style="19" customWidth="1"/>
    <col min="12" max="12" width="19.875" style="19" customWidth="1"/>
    <col min="13" max="13" width="12.875" style="19" customWidth="1"/>
    <col min="14" max="14" width="75.5" style="19" customWidth="1"/>
    <col min="15" max="15" width="25.375" style="19" customWidth="1"/>
    <col min="16" max="16" width="18.5" style="19" customWidth="1"/>
    <col min="17" max="17" width="43.75" style="19" customWidth="1"/>
    <col min="18" max="18" width="25.5" style="19" customWidth="1"/>
    <col min="19" max="19" width="17.75" style="19" customWidth="1"/>
    <col min="20" max="20" width="15.25" style="19" customWidth="1"/>
    <col min="21" max="21" width="15.5" style="19" customWidth="1"/>
    <col min="22" max="16384" width="9.125" style="19" customWidth="1"/>
  </cols>
  <sheetData>
    <row r="1" ht="12.75" customHeight="1" customFormat="1">
      <c r="A1" t="s">
        <v>32</v>
      </c>
      <c r="B1" t="s">
        <v>5</v>
      </c>
      <c r="C1" t="s">
        <v>28</v>
      </c>
      <c r="D1" t="s">
        <v>45</v>
      </c>
      <c r="E1" t="s">
        <v>37</v>
      </c>
      <c r="F1" t="s">
        <v>42</v>
      </c>
      <c r="G1" t="s">
        <v>14</v>
      </c>
      <c r="H1" t="s">
        <v>10</v>
      </c>
      <c r="I1" t="s">
        <v>19</v>
      </c>
      <c r="J1" t="s">
        <v>44</v>
      </c>
      <c r="K1" t="s">
        <v>40</v>
      </c>
      <c r="L1" t="s">
        <v>12</v>
      </c>
      <c r="M1" t="s">
        <v>3</v>
      </c>
      <c r="N1" t="s">
        <v>20</v>
      </c>
      <c r="O1" t="s">
        <v>34</v>
      </c>
      <c r="P1" t="s">
        <v>38</v>
      </c>
      <c r="Q1" t="s">
        <v>17</v>
      </c>
      <c r="R1" t="s">
        <v>4</v>
      </c>
      <c r="S1" t="s">
        <v>41</v>
      </c>
      <c r="T1" t="s">
        <v>7</v>
      </c>
      <c r="U1" t="s">
        <v>31</v>
      </c>
    </row>
    <row r="2">
      <c r="A2" s="1">
        <v>2</v>
      </c>
      <c r="B2" s="1" t="s">
        <v>35</v>
      </c>
      <c r="C2" s="4">
        <v>77</v>
      </c>
      <c r="D2" s="17" t="s">
        <v>29</v>
      </c>
      <c r="E2" s="8">
        <f>25044+C2</f>
        <v>25121</v>
      </c>
      <c r="F2" s="14" t="s">
        <v>24</v>
      </c>
      <c r="G2" s="3" t="s">
        <v>43</v>
      </c>
      <c r="H2" s="10" t="str">
        <f ca="1">TEXT(TODAY(),"yyyymmdd")</f>
        <v>20240731</v>
      </c>
      <c r="I2" s="3" t="s">
        <v>33</v>
      </c>
      <c r="J2" s="21">
        <v>19182</v>
      </c>
      <c r="K2" s="3" t="s">
        <v>11</v>
      </c>
      <c r="L2" s="5">
        <f>8801</f>
        <v>8801</v>
      </c>
      <c r="M2" s="3" t="s">
        <v>46</v>
      </c>
      <c r="N2" s="6" t="str">
        <f ca="1">""&amp;F2&amp;""&amp;G2&amp;""&amp;H2&amp;""&amp;I2&amp;"           "&amp;J2&amp;""&amp;K2&amp;""&amp;L2&amp;""&amp;M2&amp;" "</f>
        <v xml:space="preserve">0000190NCD987017301442024073100000000           191820000012000002880100 </v>
      </c>
      <c r="O2" s="4" t="s">
        <v>0</v>
      </c>
      <c r="P2" s="4" t="str">
        <f>D2&amp;"."&amp;E2&amp;""</f>
        <v>STO1144.25121</v>
      </c>
      <c r="Q2" s="1" t="str">
        <f t="shared" si="0" ref="Q2:Q3">O2&amp;"\"&amp;P2</f>
        <v>S:\TestAssets\MI_Retail\O2C\STO1144.25121</v>
      </c>
      <c r="R2" s="5" t="s">
        <v>26</v>
      </c>
      <c r="S2" s="7" t="s">
        <v>27</v>
      </c>
      <c r="T2" s="7" t="s">
        <v>30</v>
      </c>
      <c r="U2" s="12" t="s">
        <v>1</v>
      </c>
    </row>
    <row r="3">
      <c r="A3" s="1">
        <v>3</v>
      </c>
      <c r="B3" s="1" t="s">
        <v>35</v>
      </c>
      <c r="C3" s="4">
        <f>C2</f>
        <v>77</v>
      </c>
      <c r="D3" s="17" t="s">
        <v>29</v>
      </c>
      <c r="E3" s="8">
        <f>E2</f>
        <v>25121</v>
      </c>
      <c r="F3" s="14" t="s">
        <v>24</v>
      </c>
      <c r="G3" s="3" t="s">
        <v>43</v>
      </c>
      <c r="H3" s="26" t="str">
        <f ca="1">H2</f>
        <v>20240731</v>
      </c>
      <c r="I3" s="3" t="s">
        <v>33</v>
      </c>
      <c r="J3" s="21">
        <v>94616</v>
      </c>
      <c r="K3" s="3" t="s">
        <v>11</v>
      </c>
      <c r="L3" s="5">
        <f>L2</f>
        <v>8801</v>
      </c>
      <c r="M3" s="3" t="s">
        <v>46</v>
      </c>
      <c r="N3" s="6" t="str">
        <f ca="1">""&amp;F3&amp;""&amp;G3&amp;""&amp;H3&amp;""&amp;I3&amp;"           "&amp;J3&amp;""&amp;K3&amp;""&amp;L3&amp;""&amp;M3&amp;"             "</f>
        <v xml:space="preserve">0000190NCD987017301442024073100000000           946160000012000002880100             </v>
      </c>
      <c r="O3" s="4" t="str">
        <f t="shared" si="1" ref="O3:P3">O2</f>
        <v>S:\TestAssets\MI_Retail\O2C</v>
      </c>
      <c r="P3" s="4" t="str">
        <f t="shared" si="1"/>
        <v>STO1144.25121</v>
      </c>
      <c r="Q3" s="1" t="str">
        <f t="shared" si="0"/>
        <v>S:\TestAssets\MI_Retail\O2C\STO1144.25121</v>
      </c>
      <c r="R3" s="5" t="s">
        <v>26</v>
      </c>
      <c r="S3" s="7" t="s">
        <v>27</v>
      </c>
      <c r="T3" s="7" t="s">
        <v>30</v>
      </c>
      <c r="U3" s="12" t="s">
        <v>1</v>
      </c>
    </row>
    <row r="4" ht="28.5">
      <c r="A4" s="1"/>
      <c r="B4" s="1"/>
      <c r="C4" s="1"/>
      <c r="D4" s="1"/>
      <c r="E4" s="2" t="s">
        <v>23</v>
      </c>
      <c r="F4" s="1"/>
      <c r="G4" s="2" t="s">
        <v>15</v>
      </c>
      <c r="H4" s="2" t="s">
        <v>18</v>
      </c>
      <c r="I4" s="1"/>
      <c r="J4" s="2" t="s">
        <v>16</v>
      </c>
      <c r="K4" s="1"/>
      <c r="L4" s="2" t="s">
        <v>25</v>
      </c>
      <c r="M4" s="9"/>
      <c r="N4" s="1"/>
      <c r="O4" s="1"/>
      <c r="P4" s="1"/>
      <c r="Q4" s="1"/>
      <c r="R4" s="1"/>
      <c r="S4" s="1"/>
      <c r="T4" s="1"/>
      <c r="U4" s="25"/>
    </row>
    <row r="5">
      <c r="A5" s="1"/>
      <c r="B5" s="13" t="s">
        <v>36</v>
      </c>
      <c r="C5" s="1"/>
      <c r="D5" s="1"/>
      <c r="E5" s="1" t="s">
        <v>2</v>
      </c>
      <c r="F5" s="1"/>
      <c r="G5" s="1" t="s">
        <v>2</v>
      </c>
      <c r="H5" s="1" t="s">
        <v>2</v>
      </c>
      <c r="I5" s="20"/>
      <c r="J5" s="1" t="s">
        <v>2</v>
      </c>
      <c r="K5" s="1"/>
      <c r="L5" s="1" t="s">
        <v>2</v>
      </c>
      <c r="M5" s="1"/>
      <c r="N5" s="1"/>
      <c r="O5" s="1"/>
      <c r="P5" s="1"/>
      <c r="Q5" s="1"/>
      <c r="R5" s="1"/>
      <c r="S5" s="1"/>
      <c r="T5" s="1"/>
      <c r="U5" s="25"/>
    </row>
    <row r="6">
      <c r="A6" s="1"/>
      <c r="B6" s="5" t="s">
        <v>13</v>
      </c>
      <c r="C6" s="1"/>
      <c r="D6" s="1"/>
      <c r="E6" s="1"/>
      <c r="F6" s="24"/>
      <c r="G6" s="1"/>
      <c r="H6" s="1"/>
      <c r="I6" s="1"/>
      <c r="J6" s="1"/>
      <c r="K6" s="16"/>
      <c r="L6" s="1"/>
      <c r="M6" s="1"/>
      <c r="N6" s="1"/>
      <c r="O6" s="1"/>
      <c r="P6" s="1"/>
      <c r="Q6" s="1"/>
      <c r="R6" s="1"/>
      <c r="S6" s="1"/>
      <c r="T6" s="1"/>
      <c r="U6" s="25"/>
    </row>
    <row r="7">
      <c r="A7" s="1"/>
      <c r="B7" s="22" t="s">
        <v>39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25"/>
    </row>
    <row r="8">
      <c r="A8" s="1"/>
      <c r="B8" s="18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25"/>
    </row>
    <row r="9">
      <c r="A9" s="1"/>
      <c r="B9" s="6" t="s">
        <v>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25"/>
    </row>
    <row r="10">
      <c r="A10" s="1"/>
      <c r="B10" s="11" t="s">
        <v>21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25"/>
    </row>
    <row r="11">
      <c r="A11" s="1"/>
      <c r="B11" s="15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25"/>
    </row>
    <row r="12">
      <c r="A12" s="1"/>
      <c r="B12" s="23" t="s">
        <v>22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25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7" customWidth="1"/>
  </cols>
  <sheetData>
    <row r="1" ht="15.1" customFormat="1"/>
  </sheetData>
  <pageMargins left="0.7" right="0.7" top="0.75" bottom="0.75" header="0.3" footer="0.3"/>
</worksheet>
</file>