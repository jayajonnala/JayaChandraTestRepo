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_1" sheetId="3" r:id="rId3"/>
    <sheet name="TC2_Test_02GR01_001_GR" sheetId="4" r:id="rId4"/>
    <sheet name="DataTransfer_2" sheetId="5" r:id="rId5"/>
    <sheet name="TC1_Test_PRE_02LIV12_009" sheetId="6" r:id="rId6"/>
    <sheet name="TC3_Test_02LIV12_009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<sst xmlns="http://schemas.openxmlformats.org/spreadsheetml/2006/main" uniqueCount="79">
  <si>
    <t>LEGEND</t>
  </si>
  <si>
    <t>DT_SAPTRANSACTIONCODE</t>
  </si>
  <si>
    <t>DN5218859618</t>
  </si>
  <si>
    <t>DT_MIRO_6005_DETAILS</t>
  </si>
  <si>
    <t>DT_MIRO_0010_AMOUNT</t>
  </si>
  <si>
    <t>S_TL_G</t>
  </si>
  <si>
    <t>Data Coming from another test</t>
  </si>
  <si>
    <t>DT_MIRO_0010_REFERENCE</t>
  </si>
  <si>
    <t>DN5236300268</t>
  </si>
  <si>
    <t>DT_MIRO_6000_GET_TEXT_OF_STATUSBAR</t>
  </si>
  <si>
    <t>DT_MIRO_1000_FOR_VALUE_</t>
  </si>
  <si>
    <t>DT_EXPECTEDTRANSACTIONCODE_OCC4</t>
  </si>
  <si>
    <t>Scenario</t>
  </si>
  <si>
    <t>Output Data</t>
  </si>
  <si>
    <t>%blank%</t>
  </si>
  <si>
    <t>DT_MIRO_0010_CALCULATE_TAX</t>
  </si>
  <si>
    <t>DT_MIRO_6000_CHECK_TEXT_OF_STATUSBAR</t>
  </si>
  <si>
    <t>OFF</t>
  </si>
  <si>
    <t>Formulas</t>
  </si>
  <si>
    <t>200</t>
  </si>
  <si>
    <t>GR02</t>
  </si>
  <si>
    <t>DT_TRANSACTION</t>
  </si>
  <si>
    <t>ON</t>
  </si>
  <si>
    <t>DT_EXPECTEDVALUE</t>
  </si>
  <si>
    <t>DT_MIRO_1000_COMPANY_CODE_OCC2</t>
  </si>
  <si>
    <t>DT_IDOC_OUTPUT</t>
  </si>
  <si>
    <t>DT_SAPSYSTEM</t>
  </si>
  <si>
    <t>AUTOAB</t>
  </si>
  <si>
    <t>DT_MIRO_6150_INVOICE_DOCUMENT_NO</t>
  </si>
  <si>
    <t>Input Data</t>
  </si>
  <si>
    <t>DT_SAPLANGUAGE</t>
  </si>
  <si>
    <t>DT_SAPOPTIONS</t>
  </si>
  <si>
    <t>0</t>
  </si>
  <si>
    <t>S</t>
  </si>
  <si>
    <t>WE09</t>
  </si>
  <si>
    <t>DT_MIRO_1000_FISCAL_YEAR</t>
  </si>
  <si>
    <t>110,57-</t>
  </si>
  <si>
    <t>DT_MIRO_200_GETCELLVALUE_OF_GRIDCELL_0_DOCNR_OUTPUT</t>
  </si>
  <si>
    <t>5433e12d8593075d578f80933855dbe114bdf586c91e5197</t>
  </si>
  <si>
    <t>DT_CREATED_ON_TO</t>
  </si>
  <si>
    <t>DT_MIRO_200_GETCELLVALUE_OF_GRIDCELL_0_DOCNR</t>
  </si>
  <si>
    <t>DT_MIRO_6000_OKCD_OCC2</t>
  </si>
  <si>
    <t>Verifications</t>
  </si>
  <si>
    <t>Execution Control Data</t>
  </si>
  <si>
    <t>DT_MIRO_0150_UNPL_DEL_CSTS</t>
  </si>
  <si>
    <t>DT_MIRO_1000_DOCUMENT</t>
  </si>
  <si>
    <t>Row_Number</t>
  </si>
  <si>
    <t>DT_MIRO_0010_INVOICE_DATE</t>
  </si>
  <si>
    <t>DT_MIRO_100_CHECK_ICONNAME_OF_CURRENT_STATUS</t>
  </si>
  <si>
    <t>DT_GET_AMOUNT_OUTPUT</t>
  </si>
  <si>
    <t>Script</t>
  </si>
  <si>
    <t>EN</t>
  </si>
  <si>
    <t>MIRO</t>
  </si>
  <si>
    <t>DT_MIRO_6212_RM08MLFSNR</t>
  </si>
  <si>
    <t>DT_EXPECTEDTRANSACTIONCODE_OCC2</t>
  </si>
  <si>
    <t>DT_MIRO_120_CHECK_TEXT_OF_STATUSBAR</t>
  </si>
  <si>
    <t>DT_MIRO_6000_GET_TEXT_OF_STATUSBAR_OUTPUT</t>
  </si>
  <si>
    <t>DT_EXPECTEDTRANSACTIONCODE</t>
  </si>
  <si>
    <t>MIR4</t>
  </si>
  <si>
    <t>DT_MIRO_1000_COMPANY_CODE</t>
  </si>
  <si>
    <t>DT_EXPECTEDVALUE_OCC2</t>
  </si>
  <si>
    <t>J1GP01</t>
  </si>
  <si>
    <t>AT_3_12_07 LIV Local Vendor DSD Expenses on Total</t>
  </si>
  <si>
    <t>Fixed Data</t>
  </si>
  <si>
    <t>R1E - SAP RETAIL Pre-Production EUROPE</t>
  </si>
  <si>
    <t>DT_SAPPASSWORD</t>
  </si>
  <si>
    <t>/ZMDIV_MIRO</t>
  </si>
  <si>
    <t>ZMDIV_MIRO</t>
  </si>
  <si>
    <t>DT_MIRO_100_CREATED_BY</t>
  </si>
  <si>
    <t>Login Information</t>
  </si>
  <si>
    <t>DT_SAPUSER</t>
  </si>
  <si>
    <t>2</t>
  </si>
  <si>
    <t>DT_MIRO_6005_BASIC_DATA</t>
  </si>
  <si>
    <t>DT_MIRO_100_OKCD</t>
  </si>
  <si>
    <t>DT_EXPECTEDTRANSACTIONCODE_OCC3</t>
  </si>
  <si>
    <t>DT_SAPCLIENT</t>
  </si>
  <si>
    <t>DT_MIRO_6000_OKCD</t>
  </si>
  <si>
    <t>DT_MIRO_100_VARIANT</t>
  </si>
  <si>
    <t>DT_MIRO_1000_TEST_MODE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</si>
</sst>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1" fillId="0" borderId="0" xfId="0" applyBorder="1" applyProtection="1">
      <protection locked="0"/>
    </xf>
    <xf numFmtId="164" fontId="1" fillId="3" borderId="1" xfId="0" applyNumberFormat="1" applyFill="1" applyBorder="1" applyProtection="1">
      <protection locked="0"/>
    </xf>
    <xf numFmtId="0" fontId="4" fillId="5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1" fillId="0" borderId="1" xfId="0" applyNumberFormat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12_009_LIV_Loc_Vend_DSD_Expenses_on_Total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P13"/>
  <sheetViews>
    <sheetView workbookViewId="0">
      <pane xSplit="1" ySplit="0" topLeftCell="N2" activePane="topRight"/>
      <selection activeCell="N2" sqref="N2"/>
      <selection pane="topRight" activeCell="N2" sqref="N2"/>
    </sheetView>
  </sheetViews>
  <sheetFormatPr defaultColWidth="9.125" defaultRowHeight="14.25"/>
  <cols>
    <col min="1" max="1" width="12.5" style="13" customWidth="1"/>
    <col min="2" max="2" width="46" style="13" customWidth="1"/>
    <col min="3" max="3" width="38.125" style="13" customWidth="1"/>
    <col min="4" max="4" width="15" style="13" customWidth="1"/>
    <col min="5" max="5" width="13.625" style="13" customWidth="1"/>
    <col min="6" max="6" width="48" style="13" customWidth="1"/>
    <col min="7" max="7" width="18.625" style="13" customWidth="1"/>
    <col min="8" max="8" width="16.75" style="13" customWidth="1"/>
    <col min="9" max="9" width="27.125" style="13" customWidth="1"/>
    <col min="10" max="10" width="33.375" style="13" customWidth="1"/>
    <col min="11" max="12" width="30.875" style="13" customWidth="1"/>
    <col min="13" max="13" width="29" style="13" customWidth="1"/>
    <col min="14" max="14" width="26.875" style="13" customWidth="1"/>
    <col min="15" max="15" width="30.875" style="13" customWidth="1"/>
    <col min="16" max="16" width="27.875" style="13" customWidth="1"/>
    <col min="17" max="17" width="23.25" style="13" customWidth="1"/>
    <col min="18" max="18" width="31" style="13" customWidth="1"/>
    <col min="19" max="19" width="27" style="13" customWidth="1"/>
    <col min="20" max="20" width="23.5" style="13" customWidth="1"/>
    <col min="21" max="21" width="20.75" style="13" customWidth="1"/>
    <col min="22" max="22" width="41.125" style="13" customWidth="1"/>
    <col min="23" max="23" width="43.5" style="13" customWidth="1"/>
    <col min="24" max="24" width="20.5" style="13" customWidth="1"/>
    <col min="25" max="25" width="39.25" style="13" customWidth="1"/>
    <col min="26" max="26" width="22.625" style="13" customWidth="1"/>
    <col min="27" max="28" width="26.875" style="13" customWidth="1"/>
    <col min="29" max="29" width="27.375" style="13" customWidth="1"/>
    <col min="30" max="30" width="26.625" style="13" customWidth="1"/>
    <col min="31" max="31" width="53.875" style="13" customWidth="1"/>
    <col min="32" max="32" width="19.5" style="13" customWidth="1"/>
    <col min="33" max="33" width="39.25" style="13" customWidth="1"/>
    <col min="34" max="34" width="38.375" style="13" customWidth="1"/>
    <col min="35" max="35" width="52.25" style="13" customWidth="1"/>
    <col min="36" max="36" width="26.375" style="13" customWidth="1"/>
    <col min="37" max="37" width="39.25" style="13" customWidth="1"/>
    <col min="38" max="38" width="36.75" style="13" customWidth="1"/>
    <col min="39" max="39" width="27.875" style="13" customWidth="1"/>
    <col min="40" max="40" width="26.125" style="13" customWidth="1"/>
    <col min="41" max="41" width="26.875" style="13" customWidth="1"/>
    <col min="42" max="42" width="50.75" style="13" customWidth="1"/>
    <col min="43" max="16384" width="9.125" style="13" customWidth="1"/>
  </cols>
  <sheetData>
    <row r="1" ht="12.75" customHeight="1" customFormat="1">
      <c r="A1" t="s">
        <v>46</v>
      </c>
      <c r="B1" t="s">
        <v>12</v>
      </c>
      <c r="C1" t="s">
        <v>26</v>
      </c>
      <c r="D1" t="s">
        <v>75</v>
      </c>
      <c r="E1" t="s">
        <v>70</v>
      </c>
      <c r="F1" t="s">
        <v>65</v>
      </c>
      <c r="G1" t="s">
        <v>30</v>
      </c>
      <c r="H1" t="s">
        <v>31</v>
      </c>
      <c r="I1" t="s">
        <v>1</v>
      </c>
      <c r="J1" t="s">
        <v>57</v>
      </c>
      <c r="K1" t="s">
        <v>59</v>
      </c>
      <c r="L1" t="s">
        <v>21</v>
      </c>
      <c r="M1" t="s">
        <v>47</v>
      </c>
      <c r="N1" t="s">
        <v>7</v>
      </c>
      <c r="O1" t="s">
        <v>15</v>
      </c>
      <c r="P1" t="s">
        <v>53</v>
      </c>
      <c r="Q1" t="s">
        <v>3</v>
      </c>
      <c r="R1" t="s">
        <v>44</v>
      </c>
      <c r="S1" t="s">
        <v>72</v>
      </c>
      <c r="T1" t="s">
        <v>4</v>
      </c>
      <c r="U1" t="s">
        <v>23</v>
      </c>
      <c r="V1" t="s">
        <v>9</v>
      </c>
      <c r="W1" t="s">
        <v>16</v>
      </c>
      <c r="X1" t="s">
        <v>76</v>
      </c>
      <c r="Y1" t="s">
        <v>54</v>
      </c>
      <c r="Z1" t="s">
        <v>77</v>
      </c>
      <c r="AA1" t="s">
        <v>68</v>
      </c>
      <c r="AB1" t="s">
        <v>39</v>
      </c>
      <c r="AC1" t="s">
        <v>10</v>
      </c>
      <c r="AD1" t="s">
        <v>60</v>
      </c>
      <c r="AE1" t="s">
        <v>48</v>
      </c>
      <c r="AF1" t="s">
        <v>73</v>
      </c>
      <c r="AG1" t="s">
        <v>74</v>
      </c>
      <c r="AH1" t="s">
        <v>28</v>
      </c>
      <c r="AI1" t="s">
        <v>40</v>
      </c>
      <c r="AJ1" t="s">
        <v>41</v>
      </c>
      <c r="AK1" t="s">
        <v>11</v>
      </c>
      <c r="AL1" t="s">
        <v>24</v>
      </c>
      <c r="AM1" t="s">
        <v>35</v>
      </c>
      <c r="AN1" t="s">
        <v>45</v>
      </c>
      <c r="AO1" t="s">
        <v>78</v>
      </c>
      <c r="AP1" t="s">
        <v>55</v>
      </c>
    </row>
    <row r="2">
      <c r="A2" s="4">
        <v>1</v>
      </c>
      <c r="B2" s="4" t="s">
        <v>50</v>
      </c>
      <c r="C2" s="2" t="s">
        <v>64</v>
      </c>
      <c r="D2" s="2" t="s">
        <v>19</v>
      </c>
      <c r="E2" s="2" t="s">
        <v>27</v>
      </c>
      <c r="F2" s="2" t="s">
        <v>38</v>
      </c>
      <c r="G2" s="2" t="s">
        <v>51</v>
      </c>
      <c r="H2" s="2" t="s">
        <v>14</v>
      </c>
      <c r="I2" s="1" t="s">
        <v>52</v>
      </c>
      <c r="J2" s="1" t="s">
        <v>52</v>
      </c>
      <c r="K2" s="1" t="s">
        <v>20</v>
      </c>
      <c r="L2" s="1">
        <v>1</v>
      </c>
      <c r="M2" s="14">
        <f ca="1">TODAY()</f>
        <v>45960</v>
      </c>
      <c r="N2" s="3" t="str">
        <f>CONCATENATE("I",P2)</f>
        <v>IDN5218859618</v>
      </c>
      <c r="O2" s="1" t="s">
        <v>22</v>
      </c>
      <c r="P2" s="9" t="s">
        <v>2</v>
      </c>
      <c r="Q2" s="1" t="s">
        <v>71</v>
      </c>
      <c r="R2" s="5">
        <v>30</v>
      </c>
      <c r="S2" s="1" t="s">
        <v>32</v>
      </c>
      <c r="T2" s="5">
        <v>93.25</v>
      </c>
      <c r="U2" s="1" t="s">
        <v>33</v>
      </c>
      <c r="V2" s="12" t="e">
        <f>[1]Output!D2</f>
        <v>#REF!</v>
      </c>
      <c r="W2" s="6" t="e">
        <f>CONCATENATE("Document no. ",V2," created")</f>
        <v>#REF!</v>
      </c>
      <c r="X2" s="1" t="s">
        <v>34</v>
      </c>
      <c r="Y2" s="1" t="s">
        <v>34</v>
      </c>
      <c r="Z2" s="1" t="s">
        <v>66</v>
      </c>
      <c r="AA2" s="1" t="s">
        <v>14</v>
      </c>
      <c r="AB2" s="20">
        <f ca="1">TODAY()</f>
        <v>45960</v>
      </c>
      <c r="AC2" s="3" t="e">
        <f>V2</f>
        <v>#REF!</v>
      </c>
      <c r="AD2" s="1" t="s">
        <v>33</v>
      </c>
      <c r="AE2" s="6" t="s">
        <v>5</v>
      </c>
      <c r="AF2" s="1" t="s">
        <v>58</v>
      </c>
      <c r="AG2" s="1" t="s">
        <v>58</v>
      </c>
      <c r="AH2" s="3" t="e">
        <f>AC2</f>
        <v>#REF!</v>
      </c>
      <c r="AI2" s="10" t="e">
        <f>[1]Output!F2</f>
        <v>#REF!</v>
      </c>
      <c r="AJ2" s="1" t="s">
        <v>61</v>
      </c>
      <c r="AK2" s="1" t="s">
        <v>61</v>
      </c>
      <c r="AL2" s="5" t="s">
        <v>20</v>
      </c>
      <c r="AM2" s="3">
        <f ca="1">YEAR(NOW())</f>
        <v>2025</v>
      </c>
      <c r="AN2" s="3" t="e">
        <f>AI2</f>
        <v>#REF!</v>
      </c>
      <c r="AO2" s="1" t="s">
        <v>17</v>
      </c>
      <c r="AP2" s="11" t="e">
        <f>CONCATENATE("Document PU",(RIGHT(AN2,8))," was posted in company code GR02")</f>
        <v>#REF!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0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8"/>
    </row>
    <row r="4">
      <c r="A4" s="4">
        <v>3</v>
      </c>
      <c r="B4" s="4" t="s">
        <v>62</v>
      </c>
      <c r="C4" s="2" t="s">
        <v>64</v>
      </c>
      <c r="D4" s="2" t="s">
        <v>19</v>
      </c>
      <c r="E4" s="2" t="s">
        <v>27</v>
      </c>
      <c r="F4" s="2" t="s">
        <v>38</v>
      </c>
      <c r="G4" s="2" t="s">
        <v>51</v>
      </c>
      <c r="H4" s="2" t="s">
        <v>14</v>
      </c>
      <c r="I4" s="1" t="s">
        <v>52</v>
      </c>
      <c r="J4" s="1" t="s">
        <v>52</v>
      </c>
      <c r="K4" s="1" t="s">
        <v>20</v>
      </c>
      <c r="L4" s="1">
        <v>1</v>
      </c>
      <c r="M4" s="14">
        <f ca="1">TODAY()</f>
        <v>45960</v>
      </c>
      <c r="N4" s="3" t="str">
        <f>CONCATENATE("I",P4)</f>
        <v>IDN5236300268</v>
      </c>
      <c r="O4" s="1" t="s">
        <v>22</v>
      </c>
      <c r="P4" s="9" t="s">
        <v>8</v>
      </c>
      <c r="Q4" s="1" t="s">
        <v>71</v>
      </c>
      <c r="R4" s="5">
        <v>30</v>
      </c>
      <c r="S4" s="1" t="s">
        <v>32</v>
      </c>
      <c r="T4" s="5">
        <v>93.25</v>
      </c>
      <c r="U4" s="1" t="s">
        <v>33</v>
      </c>
      <c r="V4" s="12" t="e">
        <f>[1]Output!D4</f>
        <v>#REF!</v>
      </c>
      <c r="W4" s="6" t="e">
        <f>CONCATENATE("Document no. ",V4," created")</f>
        <v>#REF!</v>
      </c>
      <c r="X4" s="1" t="s">
        <v>34</v>
      </c>
      <c r="Y4" s="1" t="s">
        <v>34</v>
      </c>
      <c r="Z4" s="1" t="s">
        <v>67</v>
      </c>
      <c r="AA4" s="1" t="s">
        <v>14</v>
      </c>
      <c r="AB4" s="20">
        <f ca="1">TODAY()</f>
        <v>45960</v>
      </c>
      <c r="AC4" s="3" t="e">
        <f>V4</f>
        <v>#REF!</v>
      </c>
      <c r="AD4" s="1" t="s">
        <v>33</v>
      </c>
      <c r="AE4" s="6" t="s">
        <v>5</v>
      </c>
      <c r="AF4" s="1" t="s">
        <v>58</v>
      </c>
      <c r="AG4" s="1" t="s">
        <v>58</v>
      </c>
      <c r="AH4" s="3" t="e">
        <f>AC4</f>
        <v>#REF!</v>
      </c>
      <c r="AI4" s="10" t="e">
        <f>[1]Output!F4</f>
        <v>#REF!</v>
      </c>
      <c r="AJ4" s="1" t="s">
        <v>61</v>
      </c>
      <c r="AK4" s="1" t="s">
        <v>61</v>
      </c>
      <c r="AL4" s="5" t="s">
        <v>20</v>
      </c>
      <c r="AM4" s="3">
        <f ca="1">YEAR(NOW())</f>
        <v>2025</v>
      </c>
      <c r="AN4" s="3" t="e">
        <f>AI4</f>
        <v>#REF!</v>
      </c>
      <c r="AO4" s="1" t="s">
        <v>17</v>
      </c>
      <c r="AP4" s="11" t="e">
        <f>CONCATENATE("Document PU",(RIGHT(AN4,8))," was posted in company code GR02")</f>
        <v>#REF!</v>
      </c>
    </row>
    <row r="5">
      <c r="A5" s="1"/>
      <c r="B5" s="1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5">
        <v>148.36000000000001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8"/>
    </row>
    <row r="6">
      <c r="A6" s="1"/>
      <c r="B6" s="18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8"/>
    </row>
    <row r="7">
      <c r="A7" s="1"/>
      <c r="B7" s="19" t="s">
        <v>29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8"/>
    </row>
    <row r="8">
      <c r="A8" s="1"/>
      <c r="B8" s="16" t="s">
        <v>63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8"/>
    </row>
    <row r="9">
      <c r="A9" s="1"/>
      <c r="B9" s="21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8"/>
    </row>
    <row r="10">
      <c r="A10" s="1"/>
      <c r="B10" s="17" t="s">
        <v>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8"/>
    </row>
    <row r="11">
      <c r="A11" s="1"/>
      <c r="B11" s="6" t="s">
        <v>42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8"/>
    </row>
    <row r="12">
      <c r="A12" s="1"/>
      <c r="B12" s="15" t="s">
        <v>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8"/>
    </row>
    <row r="13">
      <c r="A13" s="1"/>
      <c r="B13" s="22" t="s">
        <v>43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selection activeCell="A2" sqref="A2"/>
    </sheetView>
  </sheetViews>
  <sheetFormatPr defaultColWidth="9.125" defaultRowHeight="14.25"/>
  <cols>
    <col min="1" max="1" width="9.125" style="13" customWidth="1"/>
    <col min="2" max="2" width="47" style="13" bestFit="1" customWidth="1"/>
    <col min="3" max="3" width="26.625" style="13" bestFit="1" customWidth="1"/>
    <col min="4" max="4" width="50.5" style="13" bestFit="1" customWidth="1"/>
    <col min="5" max="5" width="18" style="13" bestFit="1" customWidth="1"/>
    <col min="6" max="6" width="62.875" style="13" bestFit="1" customWidth="1"/>
    <col min="7" max="16384" width="9.125" style="13" customWidth="1"/>
  </cols>
  <sheetData>
    <row r="1" ht="12.75" customHeight="1" customFormat="1">
      <c r="A1" t="s">
        <v>46</v>
      </c>
      <c r="B1" t="s">
        <v>12</v>
      </c>
      <c r="C1" t="s">
        <v>49</v>
      </c>
      <c r="D1" t="s">
        <v>56</v>
      </c>
      <c r="E1" t="s">
        <v>25</v>
      </c>
      <c r="F1" t="s">
        <v>37</v>
      </c>
    </row>
    <row r="2">
      <c r="A2" s="4">
        <v>1</v>
      </c>
      <c r="B2" s="4" t="s">
        <v>50</v>
      </c>
      <c r="C2" s="1"/>
      <c r="D2" s="1"/>
      <c r="E2" s="1"/>
      <c r="F2" s="8"/>
    </row>
    <row r="3">
      <c r="A3" s="1"/>
      <c r="B3" s="1"/>
      <c r="C3" s="1"/>
      <c r="D3" s="1"/>
      <c r="E3" s="1"/>
      <c r="F3" s="8"/>
    </row>
    <row r="4">
      <c r="A4" s="4">
        <v>3</v>
      </c>
      <c r="B4" s="4" t="s">
        <v>62</v>
      </c>
      <c r="C4" s="1" t="s">
        <v>36</v>
      </c>
      <c r="D4" s="1">
        <v>6056580228</v>
      </c>
      <c r="E4" s="1">
        <v>3729096603</v>
      </c>
      <c r="F4" s="8"/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