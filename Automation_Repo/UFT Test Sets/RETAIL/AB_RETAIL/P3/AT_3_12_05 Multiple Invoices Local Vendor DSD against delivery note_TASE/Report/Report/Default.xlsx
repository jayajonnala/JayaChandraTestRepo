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_1" sheetId="3" r:id="rId3"/>
    <sheet name="TC2_Test_02GR01_001_GR" sheetId="4" r:id="rId4"/>
    <sheet name="DataTransfer_2" sheetId="5" r:id="rId5"/>
    <sheet name="TC1_Test_PRE_02LIV12_007" sheetId="6" r:id="rId6"/>
    <sheet name="TC3_Test_02LIV12_007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<sst xmlns="http://schemas.openxmlformats.org/spreadsheetml/2006/main" uniqueCount="87">
  <si>
    <t>Scripting</t>
  </si>
  <si>
    <t>DT_SAPTRANSACTIONCODE</t>
  </si>
  <si>
    <t>DT_MIRO_0010_AMOUNT</t>
  </si>
  <si>
    <t>DT_MIRO_0010_INVOICE_DATE_OCC2</t>
  </si>
  <si>
    <t>DT_EXPECTEDVALUE_OCC3</t>
  </si>
  <si>
    <t>S_TL_G</t>
  </si>
  <si>
    <t>DT_MIRO_1000_FOR_VALUE__OCC2</t>
  </si>
  <si>
    <t>DT_MIRO_0010_REFERENCE_OCC2</t>
  </si>
  <si>
    <t>DT_MIRO_6000_GET_TEXT_OF_STATUSBAR</t>
  </si>
  <si>
    <t>DT_MIRO_200_GETCELLVALUE_OF_GRIDCELL_0_DOCNR_OCC2</t>
  </si>
  <si>
    <t>DT_EXPECTEDTRANSACTIONCODE_OCC4</t>
  </si>
  <si>
    <t>Scenario</t>
  </si>
  <si>
    <t>%blank%</t>
  </si>
  <si>
    <t>DT_MIRO_0010_CALCULATE_TAX</t>
  </si>
  <si>
    <t>OFF</t>
  </si>
  <si>
    <t>DT_MIRO_6000_CHECK_TEXT_OF_STATUSBAR</t>
  </si>
  <si>
    <t>DT_MIRO_100_VARIANT_OCC2</t>
  </si>
  <si>
    <t>200</t>
  </si>
  <si>
    <t>GR02</t>
  </si>
  <si>
    <t>ON</t>
  </si>
  <si>
    <t>DT_EXPECTEDVALUE</t>
  </si>
  <si>
    <t>DT_EXPECTEDVALUE_OCC4</t>
  </si>
  <si>
    <t>DT_GET_AMOUNT_OUTPUT1</t>
  </si>
  <si>
    <t>24,53-</t>
  </si>
  <si>
    <t>DT_MIRO_6000_GET_TEXT_OF_STATUSBAR_OCC2_OUTPUT</t>
  </si>
  <si>
    <t>DT_IDOC_OUTPUT1</t>
  </si>
  <si>
    <t>DT_SAPSYSTEM</t>
  </si>
  <si>
    <t>AUTOAB</t>
  </si>
  <si>
    <t>DT_MIRO_0010_REFERENCE_OCC3</t>
  </si>
  <si>
    <t>DT_MIRO_6000_GET_TEXT_OF_STATUSBAR_OCC2</t>
  </si>
  <si>
    <t>DT_MIRO_100_CHECK_ICONNAME_OF_CURRENT_STATUS_OCC2</t>
  </si>
  <si>
    <t>DT_MIRO_6150_INVOICE_DOCUMENT_NO</t>
  </si>
  <si>
    <t>DT_SAPLANGUAGE</t>
  </si>
  <si>
    <t>DT_SAPOPTIONS</t>
  </si>
  <si>
    <t>S</t>
  </si>
  <si>
    <t>DT_MIRO_0010_AMOUNT_OCC2</t>
  </si>
  <si>
    <t>WE09</t>
  </si>
  <si>
    <t>DT_MIRO_200_GETCELLVALUE_OF_GRIDCELL_0_DOCNR_OUTPUT</t>
  </si>
  <si>
    <t>AT_3_12_05 Multiple Invoices Local Vendor DSD against delivery note</t>
  </si>
  <si>
    <t>5433e12d8593075d578f80933855dbe114bdf586c91e5197</t>
  </si>
  <si>
    <t>DN5236299975</t>
  </si>
  <si>
    <t>DT_MIRO_200_GETCELLVALUE_OF_GRIDCELL_0_DOCNR</t>
  </si>
  <si>
    <t>DT_MIRO_6000_OKCD_OCC2</t>
  </si>
  <si>
    <t>DT_MIRO_200_GETCELLVALUE_OF_GRIDCELL_0_DOCNR_OCC2_OUTPUT</t>
  </si>
  <si>
    <t>DT_MIRO_1000_DOCUMENT</t>
  </si>
  <si>
    <t>DT_GET_AMOUNT_OUTPUT2</t>
  </si>
  <si>
    <t>DT_IDOC_OUTPUT2</t>
  </si>
  <si>
    <t>Row_Number</t>
  </si>
  <si>
    <t>DT_MIRO_0010_INVOICE_DATE</t>
  </si>
  <si>
    <t>DT_MIRO_6310_SAPLMR1MTC_MR1M</t>
  </si>
  <si>
    <t>DT_MIRO_6212_RM08MLFSNR_OCC2</t>
  </si>
  <si>
    <t>DT_MIRO_100_CHECK_ICONNAME_OF_CURRENT_STATUS</t>
  </si>
  <si>
    <t>DT_MIRO_100_CREATED_BY_OCC2</t>
  </si>
  <si>
    <t>EN</t>
  </si>
  <si>
    <t>MIRO</t>
  </si>
  <si>
    <t>DT_MIRO_6212_RM08MLFSNR</t>
  </si>
  <si>
    <t>DT_EXPECTEDTRANSACTIONCODE_OCC2</t>
  </si>
  <si>
    <t>DT_MIRO_100_OKCD_OCC2</t>
  </si>
  <si>
    <t>DT_MIRO_6000_GET_TEXT_OF_STATUSBAR_OUTPUT</t>
  </si>
  <si>
    <t>DT_EXPECTEDTRANSACTIONCODE</t>
  </si>
  <si>
    <t>DN5203526369</t>
  </si>
  <si>
    <t>DT_MIRO_1000_FOR_VALUE</t>
  </si>
  <si>
    <t>MIR4</t>
  </si>
  <si>
    <t>DT_MIRO_6000_OKCD_OCC3</t>
  </si>
  <si>
    <t>DT_MIRO_1000_COMPANY_CODE</t>
  </si>
  <si>
    <t>DT_EXPECTEDVALUE_OCC2</t>
  </si>
  <si>
    <t>DT_MIRO_6000_CHECK_TEXT_OF_STATUSBAR_OCC2</t>
  </si>
  <si>
    <t>DT_MIRO_6150_INVOICE_DOCUMENT_NO_OCC2</t>
  </si>
  <si>
    <t>J1GP01</t>
  </si>
  <si>
    <t>DT_MIRO_1000_TO</t>
  </si>
  <si>
    <t>2,55-</t>
  </si>
  <si>
    <t>R1E - SAP RETAIL Pre-Production EUROPE</t>
  </si>
  <si>
    <t>DT_SAPPASSWORD</t>
  </si>
  <si>
    <t>/ZMDIV_MIRO</t>
  </si>
  <si>
    <t>DT_MIRO_100_CREATED_BY</t>
  </si>
  <si>
    <t>ZMDIV_MIRO</t>
  </si>
  <si>
    <t>DT_MIRO_120_CHECK_TEXT_OF_DOCUMENT_PU40001272_WAS_POSTED_IN_COMPANY_CODE_GR02</t>
  </si>
  <si>
    <t>DT_SAPUSER</t>
  </si>
  <si>
    <t>56d01c6a26c9b08c448097c699</t>
  </si>
  <si>
    <t>DT_MIRO_0010_CALCULATE_TAX_OCC2</t>
  </si>
  <si>
    <t>DT_MIRO_100_OKCD</t>
  </si>
  <si>
    <t>DT_EXPECTEDTRANSACTIONCODE_OCC3</t>
  </si>
  <si>
    <t>DT_MIRO_120_CHECK_TEXT_OF_DOCUMENT_PU40001271_WAS_POSTED_IN_COMPANY_CODE_GR02</t>
  </si>
  <si>
    <t>DT_SAPCLIENT</t>
  </si>
  <si>
    <t>DT_MIRO_6000_OKCD</t>
  </si>
  <si>
    <t>DT_MIRO_100_VARIANT</t>
  </si>
  <si>
    <t>DT_MIRO_1000_TEST_MODE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</si>
</sst>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164" fontId="1" fillId="2" borderId="1" xfId="0" applyNumberForma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7" borderId="1" xfId="0" applyFont="1" applyFill="1" applyBorder="1" applyAlignment="1" applyProtection="1">
      <alignment wrapText="1"/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3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07_Multiple_Invoices_Loc_Vend_DSD_against_Deliv_not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C6"/>
  <sheetViews>
    <sheetView topLeftCell="K1" workbookViewId="0">
      <selection activeCell="K2" sqref="K2"/>
    </sheetView>
  </sheetViews>
  <sheetFormatPr defaultColWidth="9.125" defaultRowHeight="14.25"/>
  <cols>
    <col min="1" max="1" width="12.5" style="14" customWidth="1"/>
    <col min="2" max="2" width="58.25" style="14" customWidth="1"/>
    <col min="3" max="3" width="38.125" style="14" customWidth="1"/>
    <col min="4" max="4" width="15" style="14" customWidth="1"/>
    <col min="5" max="5" width="13.625" style="14" customWidth="1"/>
    <col min="6" max="6" width="48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1" width="30.875" style="14" customWidth="1"/>
    <col min="12" max="12" width="29" style="14" customWidth="1"/>
    <col min="13" max="13" width="30.875" style="14" customWidth="1"/>
    <col min="14" max="14" width="32.75" style="14" customWidth="1"/>
    <col min="15" max="15" width="27.875" style="14" customWidth="1"/>
    <col min="16" max="16" width="34.375" style="14" customWidth="1"/>
    <col min="17" max="17" width="23.5" style="14" customWidth="1"/>
    <col min="18" max="18" width="20.75" style="14" customWidth="1"/>
    <col min="19" max="19" width="41.125" style="14" customWidth="1"/>
    <col min="20" max="20" width="43.5" style="14" customWidth="1"/>
    <col min="21" max="21" width="34.875" style="14" customWidth="1"/>
    <col min="22" max="22" width="32.75" style="14" customWidth="1"/>
    <col min="23" max="23" width="36.75" style="14" customWidth="1"/>
    <col min="24" max="24" width="33.75" style="14" customWidth="1"/>
    <col min="25" max="25" width="29.375" style="14" customWidth="1"/>
    <col min="26" max="26" width="26.625" style="14" customWidth="1"/>
    <col min="27" max="27" width="47" style="14" customWidth="1"/>
    <col min="28" max="28" width="49.375" style="14" customWidth="1"/>
    <col min="29" max="29" width="20.5" style="14" customWidth="1"/>
    <col min="30" max="30" width="39.25" style="14" customWidth="1"/>
    <col min="31" max="31" width="22.625" style="14" customWidth="1"/>
    <col min="32" max="32" width="26.875" style="14" customWidth="1"/>
    <col min="33" max="33" width="27.375" style="14" customWidth="1"/>
    <col min="34" max="34" width="26.625" style="14" customWidth="1"/>
    <col min="35" max="35" width="53.875" style="14" customWidth="1"/>
    <col min="36" max="36" width="19.5" style="14" customWidth="1"/>
    <col min="37" max="37" width="28.5" style="14" customWidth="1"/>
    <col min="38" max="38" width="32.75" style="14" customWidth="1"/>
    <col min="39" max="39" width="33.25" style="14" customWidth="1"/>
    <col min="40" max="40" width="26.625" style="14" customWidth="1"/>
    <col min="41" max="41" width="59.75" style="14" customWidth="1"/>
    <col min="42" max="42" width="25.375" style="14" customWidth="1"/>
    <col min="43" max="43" width="39.25" style="14" customWidth="1"/>
    <col min="44" max="44" width="38.375" style="14" customWidth="1"/>
    <col min="45" max="45" width="52.25" style="14" customWidth="1"/>
    <col min="46" max="46" width="26.375" style="14" customWidth="1"/>
    <col min="47" max="47" width="44.25" style="14" customWidth="1"/>
    <col min="48" max="48" width="58.125" style="14" customWidth="1"/>
    <col min="49" max="49" width="26.375" style="14" customWidth="1"/>
    <col min="50" max="50" width="39.25" style="14" customWidth="1"/>
    <col min="51" max="51" width="26.125" style="14" customWidth="1"/>
    <col min="52" max="52" width="18" style="14" customWidth="1"/>
    <col min="53" max="53" width="26.875" style="14" customWidth="1"/>
    <col min="54" max="55" width="92.5" style="14" customWidth="1"/>
    <col min="56" max="16384" width="9.125" style="14" customWidth="1"/>
  </cols>
  <sheetData>
    <row r="1" ht="12.75" customHeight="1" customFormat="1">
      <c r="A1" t="s">
        <v>47</v>
      </c>
      <c r="B1" t="s">
        <v>11</v>
      </c>
      <c r="C1" t="s">
        <v>26</v>
      </c>
      <c r="D1" t="s">
        <v>83</v>
      </c>
      <c r="E1" t="s">
        <v>77</v>
      </c>
      <c r="F1" t="s">
        <v>72</v>
      </c>
      <c r="G1" t="s">
        <v>32</v>
      </c>
      <c r="H1" t="s">
        <v>33</v>
      </c>
      <c r="I1" t="s">
        <v>1</v>
      </c>
      <c r="J1" t="s">
        <v>59</v>
      </c>
      <c r="K1" t="s">
        <v>64</v>
      </c>
      <c r="L1" t="s">
        <v>48</v>
      </c>
      <c r="M1" t="s">
        <v>13</v>
      </c>
      <c r="N1" t="s">
        <v>7</v>
      </c>
      <c r="O1" t="s">
        <v>55</v>
      </c>
      <c r="P1" t="s">
        <v>49</v>
      </c>
      <c r="Q1" t="s">
        <v>2</v>
      </c>
      <c r="R1" t="s">
        <v>20</v>
      </c>
      <c r="S1" t="s">
        <v>8</v>
      </c>
      <c r="T1" t="s">
        <v>15</v>
      </c>
      <c r="U1" t="s">
        <v>3</v>
      </c>
      <c r="V1" t="s">
        <v>28</v>
      </c>
      <c r="W1" t="s">
        <v>79</v>
      </c>
      <c r="X1" t="s">
        <v>50</v>
      </c>
      <c r="Y1" t="s">
        <v>35</v>
      </c>
      <c r="Z1" t="s">
        <v>65</v>
      </c>
      <c r="AA1" t="s">
        <v>29</v>
      </c>
      <c r="AB1" t="s">
        <v>66</v>
      </c>
      <c r="AC1" t="s">
        <v>84</v>
      </c>
      <c r="AD1" t="s">
        <v>56</v>
      </c>
      <c r="AE1" t="s">
        <v>85</v>
      </c>
      <c r="AF1" t="s">
        <v>74</v>
      </c>
      <c r="AG1" t="s">
        <v>61</v>
      </c>
      <c r="AH1" t="s">
        <v>4</v>
      </c>
      <c r="AI1" t="s">
        <v>51</v>
      </c>
      <c r="AJ1" t="s">
        <v>80</v>
      </c>
      <c r="AK1" t="s">
        <v>16</v>
      </c>
      <c r="AL1" t="s">
        <v>52</v>
      </c>
      <c r="AM1" t="s">
        <v>6</v>
      </c>
      <c r="AN1" t="s">
        <v>21</v>
      </c>
      <c r="AO1" t="s">
        <v>30</v>
      </c>
      <c r="AP1" t="s">
        <v>57</v>
      </c>
      <c r="AQ1" t="s">
        <v>81</v>
      </c>
      <c r="AR1" t="s">
        <v>31</v>
      </c>
      <c r="AS1" t="s">
        <v>41</v>
      </c>
      <c r="AT1" t="s">
        <v>42</v>
      </c>
      <c r="AU1" t="s">
        <v>67</v>
      </c>
      <c r="AV1" t="s">
        <v>9</v>
      </c>
      <c r="AW1" t="s">
        <v>63</v>
      </c>
      <c r="AX1" t="s">
        <v>10</v>
      </c>
      <c r="AY1" t="s">
        <v>44</v>
      </c>
      <c r="AZ1" t="s">
        <v>69</v>
      </c>
      <c r="BA1" t="s">
        <v>86</v>
      </c>
      <c r="BB1" t="s">
        <v>82</v>
      </c>
      <c r="BC1" t="s">
        <v>76</v>
      </c>
    </row>
    <row r="2">
      <c r="A2" s="5">
        <v>1</v>
      </c>
      <c r="B2" s="5" t="s">
        <v>0</v>
      </c>
      <c r="C2" s="3" t="s">
        <v>71</v>
      </c>
      <c r="D2" s="3" t="s">
        <v>17</v>
      </c>
      <c r="E2" s="3" t="s">
        <v>27</v>
      </c>
      <c r="F2" s="3" t="s">
        <v>39</v>
      </c>
      <c r="G2" s="3" t="s">
        <v>53</v>
      </c>
      <c r="H2" s="3" t="s">
        <v>12</v>
      </c>
      <c r="I2" s="1" t="s">
        <v>54</v>
      </c>
      <c r="J2" s="1" t="s">
        <v>54</v>
      </c>
      <c r="K2" s="1" t="s">
        <v>18</v>
      </c>
      <c r="L2" s="7">
        <f ca="1">TODAY()</f>
        <v>45960</v>
      </c>
      <c r="M2" s="1" t="s">
        <v>19</v>
      </c>
      <c r="N2" s="2" t="str">
        <f>CONCATENATE("I1",O2)</f>
        <v>I1</v>
      </c>
      <c r="O2" s="10"/>
      <c r="P2" s="1" t="s">
        <v>14</v>
      </c>
      <c r="Q2" s="8">
        <v>19.620000000000001</v>
      </c>
      <c r="R2" s="1" t="s">
        <v>34</v>
      </c>
      <c r="S2" s="6" t="e">
        <f>[1]Output!E2</f>
        <v>#REF!</v>
      </c>
      <c r="T2" s="4" t="e">
        <f>CONCATENATE("Document no. ",S2," created")</f>
        <v>#REF!</v>
      </c>
      <c r="U2" s="7">
        <f ca="1">L2</f>
        <v>45960</v>
      </c>
      <c r="V2" s="11" t="str">
        <f>CONCATENATE("I2",O2)</f>
        <v>I2</v>
      </c>
      <c r="W2" s="1" t="s">
        <v>19</v>
      </c>
      <c r="X2" s="2">
        <f>O2</f>
        <v>0</v>
      </c>
      <c r="Y2" s="8">
        <v>2.5499999999999998</v>
      </c>
      <c r="Z2" s="1" t="s">
        <v>34</v>
      </c>
      <c r="AA2" s="6" t="e">
        <f>[1]Output!F2</f>
        <v>#REF!</v>
      </c>
      <c r="AB2" s="4" t="e">
        <f>CONCATENATE("Document no. ",AA2," created")</f>
        <v>#REF!</v>
      </c>
      <c r="AC2" s="1" t="s">
        <v>36</v>
      </c>
      <c r="AD2" s="1" t="s">
        <v>36</v>
      </c>
      <c r="AE2" s="1" t="s">
        <v>73</v>
      </c>
      <c r="AF2" s="1" t="s">
        <v>12</v>
      </c>
      <c r="AG2" s="2" t="e">
        <f>S2</f>
        <v>#REF!</v>
      </c>
      <c r="AH2" s="1" t="s">
        <v>34</v>
      </c>
      <c r="AI2" s="4" t="s">
        <v>5</v>
      </c>
      <c r="AJ2" s="1" t="s">
        <v>36</v>
      </c>
      <c r="AK2" s="1" t="s">
        <v>75</v>
      </c>
      <c r="AL2" s="1" t="s">
        <v>12</v>
      </c>
      <c r="AM2" s="2" t="e">
        <f>AA2</f>
        <v>#REF!</v>
      </c>
      <c r="AN2" s="1" t="s">
        <v>34</v>
      </c>
      <c r="AO2" s="4" t="s">
        <v>5</v>
      </c>
      <c r="AP2" s="1" t="s">
        <v>62</v>
      </c>
      <c r="AQ2" s="1" t="s">
        <v>62</v>
      </c>
      <c r="AR2" s="2" t="e">
        <f>AG2</f>
        <v>#REF!</v>
      </c>
      <c r="AS2" s="6" t="e">
        <f>[1]Output!I2</f>
        <v>#REF!</v>
      </c>
      <c r="AT2" s="1" t="s">
        <v>62</v>
      </c>
      <c r="AU2" s="2" t="e">
        <f>AM2</f>
        <v>#REF!</v>
      </c>
      <c r="AV2" s="6" t="e">
        <f>[1]Output!J2</f>
        <v>#REF!</v>
      </c>
      <c r="AW2" s="1" t="s">
        <v>68</v>
      </c>
      <c r="AX2" s="1" t="s">
        <v>68</v>
      </c>
      <c r="AY2" s="2" t="e">
        <f>AS2</f>
        <v>#REF!</v>
      </c>
      <c r="AZ2" s="2" t="e">
        <f>AV2</f>
        <v>#REF!</v>
      </c>
      <c r="BA2" s="1" t="s">
        <v>14</v>
      </c>
      <c r="BB2" s="4" t="e">
        <f t="shared" si="0" ref="BB2:BC2">CONCATENATE("Document PU",(RIGHT(AY2,8))," was posted in company code GR02")</f>
        <v>#REF!</v>
      </c>
      <c r="BC2" s="13" t="e">
        <f t="shared" si="0"/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2"/>
    </row>
    <row r="4">
      <c r="A4" s="5">
        <v>3</v>
      </c>
      <c r="B4" s="5" t="s">
        <v>38</v>
      </c>
      <c r="C4" s="3" t="s">
        <v>71</v>
      </c>
      <c r="D4" s="3" t="s">
        <v>17</v>
      </c>
      <c r="E4" s="3" t="s">
        <v>27</v>
      </c>
      <c r="F4" s="3" t="s">
        <v>39</v>
      </c>
      <c r="G4" s="3" t="s">
        <v>53</v>
      </c>
      <c r="H4" s="3" t="s">
        <v>12</v>
      </c>
      <c r="I4" s="1" t="s">
        <v>54</v>
      </c>
      <c r="J4" s="1" t="s">
        <v>54</v>
      </c>
      <c r="K4" s="1" t="s">
        <v>18</v>
      </c>
      <c r="L4" s="7">
        <f ca="1">TODAY()</f>
        <v>45960</v>
      </c>
      <c r="M4" s="1" t="s">
        <v>19</v>
      </c>
      <c r="N4" s="2" t="str">
        <f>CONCATENATE("I1",O4)</f>
        <v>I1DN5203526369</v>
      </c>
      <c r="O4" s="10" t="s">
        <v>60</v>
      </c>
      <c r="P4" s="1" t="s">
        <v>14</v>
      </c>
      <c r="Q4" s="8">
        <v>19.620000000000001</v>
      </c>
      <c r="R4" s="1" t="s">
        <v>34</v>
      </c>
      <c r="S4" s="6" t="e">
        <f>[1]Output!E4</f>
        <v>#REF!</v>
      </c>
      <c r="T4" s="4" t="e">
        <f>CONCATENATE("Document no. ",S4," created")</f>
        <v>#REF!</v>
      </c>
      <c r="U4" s="7">
        <f ca="1">L4</f>
        <v>45960</v>
      </c>
      <c r="V4" s="11" t="str">
        <f>CONCATENATE("I2",O4)</f>
        <v>I2DN5203526369</v>
      </c>
      <c r="W4" s="1" t="s">
        <v>19</v>
      </c>
      <c r="X4" s="2" t="str">
        <f>O4</f>
        <v>DN5203526369</v>
      </c>
      <c r="Y4" s="8">
        <v>2.5499999999999998</v>
      </c>
      <c r="Z4" s="1" t="s">
        <v>34</v>
      </c>
      <c r="AA4" s="6" t="e">
        <f>[1]Output!F4</f>
        <v>#REF!</v>
      </c>
      <c r="AB4" s="4" t="e">
        <f>CONCATENATE("Document no. ",AA4," created")</f>
        <v>#REF!</v>
      </c>
      <c r="AC4" s="1" t="s">
        <v>36</v>
      </c>
      <c r="AD4" s="1" t="s">
        <v>36</v>
      </c>
      <c r="AE4" s="1" t="s">
        <v>73</v>
      </c>
      <c r="AF4" s="1" t="s">
        <v>12</v>
      </c>
      <c r="AG4" s="2" t="e">
        <f>S4</f>
        <v>#REF!</v>
      </c>
      <c r="AH4" s="1" t="s">
        <v>34</v>
      </c>
      <c r="AI4" s="4" t="s">
        <v>5</v>
      </c>
      <c r="AJ4" s="1" t="s">
        <v>36</v>
      </c>
      <c r="AK4" s="1" t="s">
        <v>73</v>
      </c>
      <c r="AL4" s="1" t="s">
        <v>12</v>
      </c>
      <c r="AM4" s="2" t="e">
        <f>AA4</f>
        <v>#REF!</v>
      </c>
      <c r="AN4" s="1" t="s">
        <v>34</v>
      </c>
      <c r="AO4" s="4" t="s">
        <v>5</v>
      </c>
      <c r="AP4" s="1" t="s">
        <v>62</v>
      </c>
      <c r="AQ4" s="1" t="s">
        <v>62</v>
      </c>
      <c r="AR4" s="2" t="e">
        <f>AG4</f>
        <v>#REF!</v>
      </c>
      <c r="AS4" s="6" t="e">
        <f>[1]Output!I4</f>
        <v>#REF!</v>
      </c>
      <c r="AT4" s="1" t="s">
        <v>62</v>
      </c>
      <c r="AU4" s="2" t="e">
        <f>AM4</f>
        <v>#REF!</v>
      </c>
      <c r="AV4" s="6" t="e">
        <f>[1]Output!J4</f>
        <v>#REF!</v>
      </c>
      <c r="AW4" s="1" t="s">
        <v>68</v>
      </c>
      <c r="AX4" s="1" t="s">
        <v>68</v>
      </c>
      <c r="AY4" s="2" t="e">
        <f>AS4</f>
        <v>#REF!</v>
      </c>
      <c r="AZ4" s="2" t="e">
        <f>AV4</f>
        <v>#REF!</v>
      </c>
      <c r="BA4" s="1" t="s">
        <v>14</v>
      </c>
      <c r="BB4" s="4" t="e">
        <f t="shared" si="1" ref="BB4:BC4">CONCATENATE("Document PU",(RIGHT(AY4,8))," was posted in company code GR02")</f>
        <v>#REF!</v>
      </c>
      <c r="BC4" s="13" t="e">
        <f t="shared" si="1"/>
        <v>#REF!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2"/>
    </row>
    <row r="6">
      <c r="A6" s="5">
        <v>5</v>
      </c>
      <c r="B6" s="5" t="s">
        <v>38</v>
      </c>
      <c r="C6" s="3" t="s">
        <v>71</v>
      </c>
      <c r="D6" s="3" t="s">
        <v>17</v>
      </c>
      <c r="E6" s="3" t="s">
        <v>27</v>
      </c>
      <c r="F6" s="15" t="s">
        <v>78</v>
      </c>
      <c r="G6" s="3" t="s">
        <v>53</v>
      </c>
      <c r="H6" s="3" t="s">
        <v>12</v>
      </c>
      <c r="I6" s="1" t="s">
        <v>54</v>
      </c>
      <c r="J6" s="1" t="s">
        <v>54</v>
      </c>
      <c r="K6" s="1" t="s">
        <v>18</v>
      </c>
      <c r="L6" s="7">
        <f ca="1">TODAY()</f>
        <v>45960</v>
      </c>
      <c r="M6" s="1" t="s">
        <v>19</v>
      </c>
      <c r="N6" s="2" t="str">
        <f>CONCATENATE("I1",O6)</f>
        <v>I1DN5236299975</v>
      </c>
      <c r="O6" s="10" t="s">
        <v>40</v>
      </c>
      <c r="P6" s="1" t="s">
        <v>14</v>
      </c>
      <c r="Q6" s="8">
        <v>19.620000000000001</v>
      </c>
      <c r="R6" s="1" t="s">
        <v>34</v>
      </c>
      <c r="S6" s="6" t="e">
        <f>[1]Output!E6</f>
        <v>#REF!</v>
      </c>
      <c r="T6" s="4" t="e">
        <f>CONCATENATE("Document no. ",S6," created")</f>
        <v>#REF!</v>
      </c>
      <c r="U6" s="7">
        <f ca="1">L6</f>
        <v>45960</v>
      </c>
      <c r="V6" s="11" t="str">
        <f>CONCATENATE("I2",O6)</f>
        <v>I2DN5236299975</v>
      </c>
      <c r="W6" s="1" t="s">
        <v>19</v>
      </c>
      <c r="X6" s="2" t="str">
        <f>O6</f>
        <v>DN5236299975</v>
      </c>
      <c r="Y6" s="8">
        <v>2.5499999999999998</v>
      </c>
      <c r="Z6" s="1" t="s">
        <v>34</v>
      </c>
      <c r="AA6" s="6" t="e">
        <f>[1]Output!F6</f>
        <v>#REF!</v>
      </c>
      <c r="AB6" s="4" t="e">
        <f>CONCATENATE("Document no. ",AA6," created")</f>
        <v>#REF!</v>
      </c>
      <c r="AC6" s="1" t="s">
        <v>36</v>
      </c>
      <c r="AD6" s="1" t="s">
        <v>36</v>
      </c>
      <c r="AE6" s="1" t="s">
        <v>73</v>
      </c>
      <c r="AF6" s="1" t="s">
        <v>12</v>
      </c>
      <c r="AG6" s="2" t="e">
        <f>S6</f>
        <v>#REF!</v>
      </c>
      <c r="AH6" s="1" t="s">
        <v>34</v>
      </c>
      <c r="AI6" s="4" t="s">
        <v>5</v>
      </c>
      <c r="AJ6" s="1" t="s">
        <v>36</v>
      </c>
      <c r="AK6" s="1" t="s">
        <v>73</v>
      </c>
      <c r="AL6" s="1" t="s">
        <v>12</v>
      </c>
      <c r="AM6" s="2" t="e">
        <f>AA6</f>
        <v>#REF!</v>
      </c>
      <c r="AN6" s="1" t="s">
        <v>34</v>
      </c>
      <c r="AO6" s="4" t="s">
        <v>5</v>
      </c>
      <c r="AP6" s="1" t="s">
        <v>62</v>
      </c>
      <c r="AQ6" s="1" t="s">
        <v>62</v>
      </c>
      <c r="AR6" s="2" t="e">
        <f>AG6</f>
        <v>#REF!</v>
      </c>
      <c r="AS6" s="6" t="e">
        <f>[1]Output!I6</f>
        <v>#REF!</v>
      </c>
      <c r="AT6" s="1" t="s">
        <v>62</v>
      </c>
      <c r="AU6" s="2" t="e">
        <f>AM6</f>
        <v>#REF!</v>
      </c>
      <c r="AV6" s="6" t="e">
        <f>[1]Output!J6</f>
        <v>#REF!</v>
      </c>
      <c r="AW6" s="1" t="s">
        <v>68</v>
      </c>
      <c r="AX6" s="1" t="s">
        <v>68</v>
      </c>
      <c r="AY6" s="2" t="e">
        <f>AS6</f>
        <v>#REF!</v>
      </c>
      <c r="AZ6" s="2" t="e">
        <f>AV6</f>
        <v>#REF!</v>
      </c>
      <c r="BA6" s="1" t="s">
        <v>14</v>
      </c>
      <c r="BB6" s="4" t="e">
        <f t="shared" si="2" ref="BB6:BC6">CONCATENATE("Document PU",(RIGHT(AY6,8))," was posted in company code GR02")</f>
        <v>#REF!</v>
      </c>
      <c r="BC6" s="13" t="e">
        <f t="shared" si="2"/>
        <v>#REF!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J6"/>
  <sheetViews>
    <sheetView topLeftCell="E1" workbookViewId="0">
      <selection activeCell="E2" sqref="E2"/>
    </sheetView>
  </sheetViews>
  <sheetFormatPr defaultColWidth="9.125" defaultRowHeight="14.25"/>
  <cols>
    <col min="1" max="1" width="9.125" style="14" customWidth="1"/>
    <col min="2" max="2" width="59.625" style="14" bestFit="1" customWidth="1"/>
    <col min="3" max="4" width="27.625" style="14" bestFit="1" customWidth="1"/>
    <col min="5" max="5" width="50.5" style="14" bestFit="1" customWidth="1"/>
    <col min="6" max="6" width="56.875" style="14" bestFit="1" customWidth="1"/>
    <col min="7" max="8" width="19" style="14" bestFit="1" customWidth="1"/>
    <col min="9" max="9" width="62.875" style="14" bestFit="1" customWidth="1"/>
    <col min="10" max="10" width="69.25" style="14" bestFit="1" customWidth="1"/>
    <col min="11" max="16384" width="9.125" style="14" customWidth="1"/>
  </cols>
  <sheetData>
    <row r="1" ht="12.75" customHeight="1" customFormat="1">
      <c r="A1" t="s">
        <v>47</v>
      </c>
      <c r="B1" t="s">
        <v>11</v>
      </c>
      <c r="C1" t="s">
        <v>22</v>
      </c>
      <c r="D1" t="s">
        <v>45</v>
      </c>
      <c r="E1" t="s">
        <v>58</v>
      </c>
      <c r="F1" t="s">
        <v>24</v>
      </c>
      <c r="G1" t="s">
        <v>25</v>
      </c>
      <c r="H1" t="s">
        <v>46</v>
      </c>
      <c r="I1" t="s">
        <v>37</v>
      </c>
      <c r="J1" t="s">
        <v>43</v>
      </c>
    </row>
    <row r="2">
      <c r="A2" s="5">
        <v>1</v>
      </c>
      <c r="B2" s="5" t="s">
        <v>0</v>
      </c>
      <c r="C2" s="1"/>
      <c r="D2" s="1"/>
      <c r="E2" s="1"/>
      <c r="F2" s="1"/>
      <c r="G2" s="1"/>
      <c r="H2" s="1"/>
      <c r="I2" s="1"/>
      <c r="J2" s="12"/>
    </row>
    <row r="3">
      <c r="A3" s="1"/>
      <c r="B3" s="1"/>
      <c r="C3" s="1"/>
      <c r="D3" s="1"/>
      <c r="E3" s="1"/>
      <c r="F3" s="1"/>
      <c r="G3" s="1"/>
      <c r="H3" s="1"/>
      <c r="I3" s="1"/>
      <c r="J3" s="12"/>
    </row>
    <row r="4">
      <c r="A4" s="5">
        <v>3</v>
      </c>
      <c r="B4" s="5" t="s">
        <v>38</v>
      </c>
      <c r="C4" s="1"/>
      <c r="D4" s="1"/>
      <c r="E4" s="1"/>
      <c r="F4" s="1"/>
      <c r="G4" s="1"/>
      <c r="H4" s="1"/>
      <c r="I4" s="1"/>
      <c r="J4" s="12"/>
    </row>
    <row r="5">
      <c r="A5" s="1"/>
      <c r="B5" s="1"/>
      <c r="C5" s="1"/>
      <c r="D5" s="1"/>
      <c r="E5" s="1"/>
      <c r="F5" s="1"/>
      <c r="G5" s="1"/>
      <c r="H5" s="1"/>
      <c r="I5" s="1"/>
      <c r="J5" s="12"/>
    </row>
    <row r="6">
      <c r="A6" s="5">
        <v>5</v>
      </c>
      <c r="B6" s="5" t="s">
        <v>38</v>
      </c>
      <c r="C6" s="1" t="s">
        <v>23</v>
      </c>
      <c r="D6" s="1" t="s">
        <v>70</v>
      </c>
      <c r="E6" s="1">
        <v>6056580164</v>
      </c>
      <c r="F6" s="1">
        <v>6056580235</v>
      </c>
      <c r="G6" s="1">
        <v>3755172594</v>
      </c>
      <c r="H6" s="1">
        <v>3755181800</v>
      </c>
      <c r="I6" s="1"/>
      <c r="J6" s="12">
        <v>5140022450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9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