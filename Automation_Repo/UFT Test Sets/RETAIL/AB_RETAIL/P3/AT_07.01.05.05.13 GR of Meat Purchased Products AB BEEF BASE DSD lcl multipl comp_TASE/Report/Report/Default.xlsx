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_1" sheetId="3" r:id="rId3"/>
    <sheet name="DataTransfer_2" sheetId="4" r:id="rId4"/>
    <sheet name="DataTransfer_3" sheetId="5" r:id="rId5"/>
    <sheet name="TC1_Test_PRE_PO_created" sheetId="6" r:id="rId6"/>
    <sheet name="TC2_Test_07.01.05.05.10" sheetId="7" r:id="rId7"/>
    <sheet name="TC3_Test_PRE_Get_2" sheetId="8" r:id="rId8"/>
    <sheet name="TC4_Test_07.01.05.05.13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<sst xmlns="http://schemas.openxmlformats.org/spreadsheetml/2006/main" uniqueCount="69">
  <si>
    <t/>
  </si>
  <si>
    <t>DT_SAPTRANSACTIONCODE</t>
  </si>
  <si>
    <t>GP01</t>
  </si>
  <si>
    <t>Logon Information</t>
  </si>
  <si>
    <t>MEK3</t>
  </si>
  <si>
    <t>=Output!D4</t>
  </si>
  <si>
    <t>F</t>
  </si>
  <si>
    <t>Fix</t>
  </si>
  <si>
    <t>=Output!D8</t>
  </si>
  <si>
    <t>Scenario</t>
  </si>
  <si>
    <t>Input Value</t>
  </si>
  <si>
    <t>mb51</t>
  </si>
  <si>
    <t>DT_MEK3_1000_MOVEMENT_TYPE</t>
  </si>
  <si>
    <t>%blank%</t>
  </si>
  <si>
    <t>DT_QUANTITY</t>
  </si>
  <si>
    <t>DT_MEK3_0500_CHECK_GETCELLVALUE_OF_GRIDCELL_0_ERFMG</t>
  </si>
  <si>
    <t>Formulas</t>
  </si>
  <si>
    <t>Data from other test</t>
  </si>
  <si>
    <t>200</t>
  </si>
  <si>
    <t>GR02</t>
  </si>
  <si>
    <t>DT_MEK3_0500_CHECK_GETCELLVALUE_OF_GRIDCELL_0_MBLNR</t>
  </si>
  <si>
    <t>DT_SAPSYSTEM</t>
  </si>
  <si>
    <t>AUTOAB</t>
  </si>
  <si>
    <t>zlos</t>
  </si>
  <si>
    <t>G</t>
  </si>
  <si>
    <t>DT_SAPLANGUAGE</t>
  </si>
  <si>
    <t>DT_SAPOPTIONS</t>
  </si>
  <si>
    <t>DT_MEK3_0100_CONDITION_TYPE</t>
  </si>
  <si>
    <t>=Output!D5</t>
  </si>
  <si>
    <t>=Output!D9</t>
  </si>
  <si>
    <t>Row</t>
  </si>
  <si>
    <t>DT_MEK3_1000_ARTICLE_OCC1</t>
  </si>
  <si>
    <t>4,802-</t>
  </si>
  <si>
    <t>DT_MEK3_1000_DOCUMENT_HEADER_TEXT</t>
  </si>
  <si>
    <t>DT_MEK3_1993_GET_TEXT_OF_TABLECELL_AMOUNT_0_OUTPUT</t>
  </si>
  <si>
    <t>DT_MEK3_0500_CHECK_GETCELLVALUE_OF_GRIDCELL_0_MBLNR_OUTPUT</t>
  </si>
  <si>
    <t>AT_07.01.05.05.13 GR of Meat Purchased Products AB BEEF BASE DSD lcl multipl comp</t>
  </si>
  <si>
    <t>=Output!D2</t>
  </si>
  <si>
    <t>H</t>
  </si>
  <si>
    <t>EN</t>
  </si>
  <si>
    <t>0,550</t>
  </si>
  <si>
    <t>=Output!D6</t>
  </si>
  <si>
    <t>5070164065</t>
  </si>
  <si>
    <t>5070164036</t>
  </si>
  <si>
    <t>3901579685</t>
  </si>
  <si>
    <t>DT_MEK3_1000_PURCH_ORGANIZATION</t>
  </si>
  <si>
    <t>DT_MEK3_1000_MIGO_DOC</t>
  </si>
  <si>
    <t>5714df9a2d8f4901e0b9ca32aa</t>
  </si>
  <si>
    <t>DT_MEK3_0100_OKCD</t>
  </si>
  <si>
    <t>DT_MEK3_1000_COMPANY_CODE</t>
  </si>
  <si>
    <t>R1E - SAP RETAIL Pre-Production EUROPE</t>
  </si>
  <si>
    <t>DT_SAPPASSWORD</t>
  </si>
  <si>
    <t>DT_MEK3_1993_GET_TEXT_OF_TABLECELL_AMOUNT_0</t>
  </si>
  <si>
    <t>DT_MIGO_DOC</t>
  </si>
  <si>
    <t>=Output!D3</t>
  </si>
  <si>
    <t xml:space="preserve">8,940 </t>
  </si>
  <si>
    <t>E</t>
  </si>
  <si>
    <t>I</t>
  </si>
  <si>
    <t>Checks</t>
  </si>
  <si>
    <t>Output Value</t>
  </si>
  <si>
    <t>DT_SAPUSER</t>
  </si>
  <si>
    <t>DT_MEK3_1000_ARTICLE</t>
  </si>
  <si>
    <t>DT_MEK3_1000_SITE</t>
  </si>
  <si>
    <t>3,929-</t>
  </si>
  <si>
    <t>=Output!D7</t>
  </si>
  <si>
    <t>DT_SAPCLIENT</t>
  </si>
  <si>
    <t>DT_BOM_QTY_MODIFIER</t>
  </si>
  <si>
    <t>G001</t>
  </si>
  <si>
    <t>Y</t>
  </si>
</sst>
</file>

<file path=xl/styles.xml><?xml version="1.0" encoding="utf-8"?>
<styleSheet xmlns="http://schemas.openxmlformats.org/spreadsheetml/2006/main">
  <numFmts count="1">
    <numFmt numFmtId="164" formatCode="#,###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0" xfId="0" applyBorder="1" applyProtection="1">
      <protection locked="0"/>
    </xf>
    <xf numFmtId="2" fontId="1" fillId="5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2" xfId="0" applyNumberFormat="1" applyBorder="1" applyProtection="1">
      <protection locked="0"/>
    </xf>
    <xf numFmtId="164" fontId="3" fillId="6" borderId="1" xfId="0" applyNumberFormat="1" applyFont="1" applyFill="1" applyBorder="1" applyProtection="1">
      <protection locked="0"/>
    </xf>
    <xf numFmtId="49" fontId="3" fillId="6" borderId="1" xfId="0" applyNumberFormat="1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7.01.05.05.13%20GR%20of%20Meat%20Purchased%20Products%20AB%20BEEF%20BASE%20DSD%20lcl%20multi%20comp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18"/>
  <sheetViews>
    <sheetView zoomScale="70" workbookViewId="0">
      <pane xSplit="1" ySplit="0" topLeftCell="Y2" activePane="topRight"/>
      <selection activeCell="Y2" sqref="Y2"/>
      <selection pane="topRight" activeCell="Y2" sqref="Y2"/>
    </sheetView>
  </sheetViews>
  <sheetFormatPr defaultColWidth="9.125" defaultRowHeight="14.25"/>
  <cols>
    <col min="1" max="1" width="17.5" style="8" customWidth="1"/>
    <col min="2" max="2" width="77" style="8" customWidth="1"/>
    <col min="3" max="3" width="38.5" style="8" customWidth="1"/>
    <col min="4" max="4" width="15" style="8" customWidth="1"/>
    <col min="5" max="5" width="13.625" style="8" customWidth="1"/>
    <col min="6" max="6" width="26.375" style="8" customWidth="1"/>
    <col min="7" max="7" width="18.625" style="8" customWidth="1"/>
    <col min="8" max="8" width="16.75" style="8" customWidth="1"/>
    <col min="9" max="9" width="27.125" style="8" customWidth="1"/>
    <col min="10" max="10" width="31.875" style="8" customWidth="1"/>
    <col min="11" max="11" width="37.25" style="8" customWidth="1"/>
    <col min="12" max="12" width="23.375" style="8" customWidth="1"/>
    <col min="13" max="13" width="52.5" style="8" customWidth="1"/>
    <col min="14" max="14" width="26.125" style="8" customWidth="1"/>
    <col min="15" max="15" width="21" style="8" customWidth="1"/>
    <col min="16" max="16" width="29.75" style="8" customWidth="1"/>
    <col min="17" max="17" width="19.75" style="8" customWidth="1"/>
    <col min="18" max="18" width="32.25" style="8" customWidth="1"/>
    <col min="19" max="19" width="31.375" style="8" customWidth="1"/>
    <col min="20" max="20" width="14.375" style="8" customWidth="1"/>
    <col min="21" max="21" width="26.25" style="8" customWidth="1"/>
    <col min="22" max="22" width="41" style="8" customWidth="1"/>
    <col min="23" max="23" width="14.25" style="8" customWidth="1"/>
    <col min="24" max="24" width="61.625" style="8" customWidth="1"/>
    <col min="25" max="25" width="61.375" style="8" customWidth="1"/>
    <col min="26" max="16384" width="9.125" style="8" customWidth="1"/>
  </cols>
  <sheetData>
    <row r="1" ht="12.75" customHeight="1" customFormat="1">
      <c r="A1" t="s">
        <v>30</v>
      </c>
      <c r="B1" t="s">
        <v>9</v>
      </c>
      <c r="C1" t="s">
        <v>21</v>
      </c>
      <c r="D1" t="s">
        <v>65</v>
      </c>
      <c r="E1" t="s">
        <v>60</v>
      </c>
      <c r="F1" t="s">
        <v>51</v>
      </c>
      <c r="G1" t="s">
        <v>25</v>
      </c>
      <c r="H1" t="s">
        <v>26</v>
      </c>
      <c r="I1" t="s">
        <v>1</v>
      </c>
      <c r="J1" t="s">
        <v>27</v>
      </c>
      <c r="K1" t="s">
        <v>45</v>
      </c>
      <c r="L1" t="s">
        <v>61</v>
      </c>
      <c r="M1" t="s">
        <v>52</v>
      </c>
      <c r="N1" t="s">
        <v>66</v>
      </c>
      <c r="O1" t="s">
        <v>48</v>
      </c>
      <c r="P1" t="s">
        <v>31</v>
      </c>
      <c r="Q1" t="s">
        <v>62</v>
      </c>
      <c r="R1" t="s">
        <v>12</v>
      </c>
      <c r="S1" t="s">
        <v>49</v>
      </c>
      <c r="T1" t="s">
        <v>53</v>
      </c>
      <c r="U1" t="s">
        <v>46</v>
      </c>
      <c r="V1" t="s">
        <v>33</v>
      </c>
      <c r="W1" t="s">
        <v>14</v>
      </c>
      <c r="X1" t="s">
        <v>15</v>
      </c>
      <c r="Y1" t="s">
        <v>20</v>
      </c>
      <c r="Z1" t="s">
        <v>68</v>
      </c>
    </row>
    <row r="2">
      <c r="A2" s="1">
        <v>1</v>
      </c>
      <c r="B2" s="1" t="s">
        <v>36</v>
      </c>
      <c r="C2" s="3" t="s">
        <v>50</v>
      </c>
      <c r="D2" s="3" t="s">
        <v>18</v>
      </c>
      <c r="E2" s="3" t="s">
        <v>22</v>
      </c>
      <c r="F2" s="3" t="s">
        <v>47</v>
      </c>
      <c r="G2" s="3" t="s">
        <v>39</v>
      </c>
      <c r="H2" s="3" t="s">
        <v>0</v>
      </c>
      <c r="I2" s="2" t="s">
        <v>4</v>
      </c>
      <c r="J2" s="6" t="s">
        <v>23</v>
      </c>
      <c r="K2" s="4" t="s">
        <v>2</v>
      </c>
      <c r="L2" s="4">
        <v>7245700</v>
      </c>
      <c r="M2" s="9" t="e">
        <f>[1]Output!C2</f>
        <v>#REF!</v>
      </c>
      <c r="N2" s="9"/>
      <c r="O2" s="2" t="s">
        <v>11</v>
      </c>
      <c r="P2" s="7">
        <f t="shared" si="0" ref="P2:P9">L2</f>
        <v>7245700</v>
      </c>
      <c r="Q2" s="4" t="s">
        <v>67</v>
      </c>
      <c r="R2" s="6">
        <v>101</v>
      </c>
      <c r="S2" s="4" t="s">
        <v>19</v>
      </c>
      <c r="T2" s="4">
        <v>5070164065</v>
      </c>
      <c r="U2" s="6">
        <f t="shared" si="1" ref="U2:U4">T2</f>
        <v>5070164065</v>
      </c>
      <c r="V2" s="6" t="s">
        <v>13</v>
      </c>
      <c r="W2" s="4">
        <v>150</v>
      </c>
      <c r="X2" s="13" t="str">
        <f>TEXT(W2,"##")</f>
        <v>150</v>
      </c>
      <c r="Y2" s="2" t="s">
        <v>37</v>
      </c>
      <c r="Z2" s="11"/>
    </row>
    <row r="3">
      <c r="A3" s="1">
        <v>2</v>
      </c>
      <c r="B3" s="1" t="s">
        <v>36</v>
      </c>
      <c r="C3" s="3" t="s">
        <v>50</v>
      </c>
      <c r="D3" s="3" t="s">
        <v>18</v>
      </c>
      <c r="E3" s="3" t="s">
        <v>22</v>
      </c>
      <c r="F3" s="3" t="s">
        <v>47</v>
      </c>
      <c r="G3" s="3" t="s">
        <v>39</v>
      </c>
      <c r="H3" s="3" t="s">
        <v>0</v>
      </c>
      <c r="I3" s="2" t="s">
        <v>4</v>
      </c>
      <c r="J3" s="6" t="s">
        <v>23</v>
      </c>
      <c r="K3" s="4" t="str">
        <f t="shared" si="2" ref="K3:K9">K2</f>
        <v>GP01</v>
      </c>
      <c r="L3" s="4">
        <f>L2</f>
        <v>7245700</v>
      </c>
      <c r="M3" s="9" t="e">
        <f>[1]Output!C3</f>
        <v>#REF!</v>
      </c>
      <c r="N3" s="9"/>
      <c r="O3" s="2" t="s">
        <v>11</v>
      </c>
      <c r="P3" s="7">
        <f t="shared" si="0"/>
        <v>7245700</v>
      </c>
      <c r="Q3" s="4" t="str">
        <f t="shared" si="3" ref="Q3:Q9">Q2</f>
        <v>G001</v>
      </c>
      <c r="R3" s="6">
        <v>319</v>
      </c>
      <c r="S3" s="4" t="str">
        <f t="shared" si="4" ref="S3:T9">S2</f>
        <v>GR02</v>
      </c>
      <c r="T3" s="7">
        <f t="shared" si="4"/>
        <v>5070164065</v>
      </c>
      <c r="U3" s="6">
        <f t="shared" si="1"/>
        <v>5070164065</v>
      </c>
      <c r="V3" s="6" t="s">
        <v>13</v>
      </c>
      <c r="W3" s="4">
        <f t="shared" si="5" ref="W3:W4">W2</f>
        <v>150</v>
      </c>
      <c r="X3" s="13" t="str">
        <f>TEXT(W3,"##-")</f>
        <v>150-</v>
      </c>
      <c r="Y3" s="2" t="s">
        <v>54</v>
      </c>
      <c r="Z3" s="11"/>
    </row>
    <row r="4">
      <c r="A4" s="1">
        <v>3</v>
      </c>
      <c r="B4" s="1" t="s">
        <v>36</v>
      </c>
      <c r="C4" s="3" t="s">
        <v>50</v>
      </c>
      <c r="D4" s="3" t="s">
        <v>18</v>
      </c>
      <c r="E4" s="3" t="s">
        <v>22</v>
      </c>
      <c r="F4" s="3" t="s">
        <v>47</v>
      </c>
      <c r="G4" s="3" t="s">
        <v>39</v>
      </c>
      <c r="H4" s="3" t="s">
        <v>0</v>
      </c>
      <c r="I4" s="2" t="s">
        <v>4</v>
      </c>
      <c r="J4" s="6" t="s">
        <v>23</v>
      </c>
      <c r="K4" s="4" t="str">
        <f t="shared" si="2"/>
        <v>GP01</v>
      </c>
      <c r="L4" s="4">
        <f>L2</f>
        <v>7245700</v>
      </c>
      <c r="M4" s="9" t="e">
        <f>[1]Output!C4</f>
        <v>#REF!</v>
      </c>
      <c r="N4" s="9"/>
      <c r="O4" s="2" t="s">
        <v>11</v>
      </c>
      <c r="P4" s="7">
        <f t="shared" si="0"/>
        <v>7245700</v>
      </c>
      <c r="Q4" s="4" t="str">
        <f t="shared" si="3"/>
        <v>G001</v>
      </c>
      <c r="R4" s="6">
        <v>317</v>
      </c>
      <c r="S4" s="4" t="str">
        <f t="shared" si="4"/>
        <v>GR02</v>
      </c>
      <c r="T4" s="7">
        <f t="shared" si="4"/>
        <v>5070164065</v>
      </c>
      <c r="U4" s="6">
        <f t="shared" si="1"/>
        <v>5070164065</v>
      </c>
      <c r="V4" s="6" t="s">
        <v>13</v>
      </c>
      <c r="W4" s="4">
        <f t="shared" si="5"/>
        <v>150</v>
      </c>
      <c r="X4" s="13" t="e">
        <f>TEXT((M4*W4)/100,"#.##,#00")</f>
        <v>#REF!</v>
      </c>
      <c r="Y4" s="2" t="s">
        <v>5</v>
      </c>
      <c r="Z4" s="11"/>
    </row>
    <row r="5">
      <c r="A5" s="1">
        <v>4</v>
      </c>
      <c r="B5" s="1" t="s">
        <v>36</v>
      </c>
      <c r="C5" s="3" t="s">
        <v>50</v>
      </c>
      <c r="D5" s="3" t="s">
        <v>18</v>
      </c>
      <c r="E5" s="3" t="s">
        <v>22</v>
      </c>
      <c r="F5" s="3" t="s">
        <v>47</v>
      </c>
      <c r="G5" s="3" t="s">
        <v>39</v>
      </c>
      <c r="H5" s="3" t="s">
        <v>0</v>
      </c>
      <c r="I5" s="2" t="s">
        <v>4</v>
      </c>
      <c r="J5" s="6" t="s">
        <v>23</v>
      </c>
      <c r="K5" s="4" t="str">
        <f t="shared" si="2"/>
        <v>GP01</v>
      </c>
      <c r="L5" s="4">
        <f>L2</f>
        <v>7245700</v>
      </c>
      <c r="M5" s="9" t="e">
        <f>[1]Output!C5</f>
        <v>#REF!</v>
      </c>
      <c r="N5" s="9"/>
      <c r="O5" s="2" t="s">
        <v>11</v>
      </c>
      <c r="P5" s="7">
        <f t="shared" si="0"/>
        <v>7245700</v>
      </c>
      <c r="Q5" s="4" t="str">
        <f t="shared" si="3"/>
        <v>G001</v>
      </c>
      <c r="R5" s="6">
        <v>926</v>
      </c>
      <c r="S5" s="4" t="str">
        <f t="shared" si="4"/>
        <v>GR02</v>
      </c>
      <c r="T5" s="7">
        <f t="shared" si="4"/>
        <v>5070164065</v>
      </c>
      <c r="U5" s="6" t="s">
        <v>13</v>
      </c>
      <c r="V5" s="6" t="s">
        <v>13</v>
      </c>
      <c r="W5" s="4">
        <v>150</v>
      </c>
      <c r="X5" s="13" t="e">
        <f>TEXT((M5*W5)/100,"#.##,#00-")</f>
        <v>#REF!</v>
      </c>
      <c r="Y5" s="2" t="s">
        <v>28</v>
      </c>
      <c r="Z5" s="11"/>
    </row>
    <row r="6">
      <c r="A6" s="1">
        <v>5</v>
      </c>
      <c r="B6" s="1" t="s">
        <v>36</v>
      </c>
      <c r="C6" s="3" t="s">
        <v>50</v>
      </c>
      <c r="D6" s="3" t="s">
        <v>18</v>
      </c>
      <c r="E6" s="3" t="s">
        <v>22</v>
      </c>
      <c r="F6" s="3" t="s">
        <v>47</v>
      </c>
      <c r="G6" s="3" t="s">
        <v>39</v>
      </c>
      <c r="H6" s="3" t="s">
        <v>0</v>
      </c>
      <c r="I6" s="2" t="s">
        <v>4</v>
      </c>
      <c r="J6" s="6" t="s">
        <v>23</v>
      </c>
      <c r="K6" s="4" t="str">
        <f t="shared" si="2"/>
        <v>GP01</v>
      </c>
      <c r="L6" s="4">
        <v>7074523</v>
      </c>
      <c r="M6" s="9" t="e">
        <f>M2</f>
        <v>#REF!</v>
      </c>
      <c r="N6" s="9" t="s">
        <v>40</v>
      </c>
      <c r="O6" s="2" t="s">
        <v>11</v>
      </c>
      <c r="P6" s="7">
        <f t="shared" si="0"/>
        <v>7074523</v>
      </c>
      <c r="Q6" s="4" t="str">
        <f t="shared" si="3"/>
        <v>G001</v>
      </c>
      <c r="R6" s="6">
        <v>319</v>
      </c>
      <c r="S6" s="4" t="str">
        <f t="shared" si="4"/>
        <v>GR02</v>
      </c>
      <c r="T6" s="7">
        <f t="shared" si="4"/>
        <v>5070164065</v>
      </c>
      <c r="U6" s="6">
        <f t="shared" si="6" ref="U6:U7">T6</f>
        <v>5070164065</v>
      </c>
      <c r="V6" s="6" t="s">
        <v>13</v>
      </c>
      <c r="W6" s="4">
        <v>150</v>
      </c>
      <c r="X6" s="13" t="e">
        <f t="shared" si="7" ref="X6:X7">TEXT(ROUND(W6*N6,3),"0,000")</f>
        <v>#VALUE!</v>
      </c>
      <c r="Y6" s="2" t="s">
        <v>41</v>
      </c>
      <c r="Z6" s="11"/>
    </row>
    <row r="7">
      <c r="A7" s="1">
        <v>6</v>
      </c>
      <c r="B7" s="1" t="s">
        <v>36</v>
      </c>
      <c r="C7" s="3" t="s">
        <v>50</v>
      </c>
      <c r="D7" s="3" t="s">
        <v>18</v>
      </c>
      <c r="E7" s="3" t="s">
        <v>22</v>
      </c>
      <c r="F7" s="3" t="s">
        <v>47</v>
      </c>
      <c r="G7" s="3" t="s">
        <v>39</v>
      </c>
      <c r="H7" s="3" t="s">
        <v>0</v>
      </c>
      <c r="I7" s="2" t="s">
        <v>4</v>
      </c>
      <c r="J7" s="6" t="s">
        <v>23</v>
      </c>
      <c r="K7" s="4" t="str">
        <f t="shared" si="2"/>
        <v>GP01</v>
      </c>
      <c r="L7" s="4">
        <v>7074524</v>
      </c>
      <c r="M7" s="9" t="e">
        <f>M4</f>
        <v>#REF!</v>
      </c>
      <c r="N7" s="9"/>
      <c r="O7" s="2" t="s">
        <v>11</v>
      </c>
      <c r="P7" s="7">
        <f t="shared" si="0"/>
        <v>7074524</v>
      </c>
      <c r="Q7" s="4" t="str">
        <f t="shared" si="3"/>
        <v>G001</v>
      </c>
      <c r="R7" s="6">
        <v>317</v>
      </c>
      <c r="S7" s="4" t="str">
        <f t="shared" si="4"/>
        <v>GR02</v>
      </c>
      <c r="T7" s="7">
        <f t="shared" si="4"/>
        <v>5070164065</v>
      </c>
      <c r="U7" s="6">
        <f t="shared" si="6"/>
        <v>5070164065</v>
      </c>
      <c r="V7" s="6" t="s">
        <v>13</v>
      </c>
      <c r="W7" s="4">
        <f t="shared" si="8" ref="W7:W9">W6</f>
        <v>150</v>
      </c>
      <c r="X7" s="13" t="str">
        <f t="shared" si="7"/>
        <v>0,000</v>
      </c>
      <c r="Y7" s="2" t="s">
        <v>64</v>
      </c>
      <c r="Z7" s="11"/>
    </row>
    <row r="8">
      <c r="A8" s="1">
        <v>7</v>
      </c>
      <c r="B8" s="1" t="s">
        <v>36</v>
      </c>
      <c r="C8" s="3" t="s">
        <v>50</v>
      </c>
      <c r="D8" s="3" t="s">
        <v>18</v>
      </c>
      <c r="E8" s="3" t="s">
        <v>22</v>
      </c>
      <c r="F8" s="3" t="s">
        <v>47</v>
      </c>
      <c r="G8" s="3" t="s">
        <v>39</v>
      </c>
      <c r="H8" s="3" t="s">
        <v>0</v>
      </c>
      <c r="I8" s="2" t="s">
        <v>4</v>
      </c>
      <c r="J8" s="6" t="s">
        <v>23</v>
      </c>
      <c r="K8" s="4" t="str">
        <f t="shared" si="2"/>
        <v>GP01</v>
      </c>
      <c r="L8" s="4">
        <f t="shared" si="9" ref="L8:L9">L6</f>
        <v>7074523</v>
      </c>
      <c r="M8" s="9" t="e">
        <f>M4</f>
        <v>#REF!</v>
      </c>
      <c r="N8" s="9" t="str">
        <f>"0,550"</f>
        <v>0,550</v>
      </c>
      <c r="O8" s="2" t="s">
        <v>11</v>
      </c>
      <c r="P8" s="7">
        <f t="shared" si="0"/>
        <v>7074523</v>
      </c>
      <c r="Q8" s="4" t="str">
        <f t="shared" si="3"/>
        <v>G001</v>
      </c>
      <c r="R8" s="6">
        <v>319</v>
      </c>
      <c r="S8" s="4" t="str">
        <f t="shared" si="4"/>
        <v>GR02</v>
      </c>
      <c r="T8" s="7">
        <f t="shared" si="4"/>
        <v>5070164065</v>
      </c>
      <c r="U8" s="6" t="s">
        <v>13</v>
      </c>
      <c r="V8" s="6" t="s">
        <v>13</v>
      </c>
      <c r="W8" s="4">
        <f t="shared" si="8"/>
        <v>150</v>
      </c>
      <c r="X8" s="14" t="s">
        <v>32</v>
      </c>
      <c r="Y8" s="2" t="s">
        <v>8</v>
      </c>
      <c r="Z8" s="11"/>
    </row>
    <row r="9">
      <c r="A9" s="1">
        <v>8</v>
      </c>
      <c r="B9" s="1" t="s">
        <v>36</v>
      </c>
      <c r="C9" s="3" t="s">
        <v>50</v>
      </c>
      <c r="D9" s="3" t="s">
        <v>18</v>
      </c>
      <c r="E9" s="3" t="s">
        <v>22</v>
      </c>
      <c r="F9" s="3" t="s">
        <v>47</v>
      </c>
      <c r="G9" s="3" t="s">
        <v>39</v>
      </c>
      <c r="H9" s="3" t="s">
        <v>0</v>
      </c>
      <c r="I9" s="2" t="s">
        <v>4</v>
      </c>
      <c r="J9" s="6" t="s">
        <v>23</v>
      </c>
      <c r="K9" s="4" t="str">
        <f t="shared" si="2"/>
        <v>GP01</v>
      </c>
      <c r="L9" s="4">
        <f t="shared" si="9"/>
        <v>7074524</v>
      </c>
      <c r="M9" s="9" t="e">
        <f>M6</f>
        <v>#REF!</v>
      </c>
      <c r="N9" s="9" t="str">
        <f>"0,450"</f>
        <v>0,450</v>
      </c>
      <c r="O9" s="2" t="s">
        <v>11</v>
      </c>
      <c r="P9" s="7">
        <f t="shared" si="0"/>
        <v>7074524</v>
      </c>
      <c r="Q9" s="4" t="str">
        <f t="shared" si="3"/>
        <v>G001</v>
      </c>
      <c r="R9" s="6">
        <v>317</v>
      </c>
      <c r="S9" s="4" t="str">
        <f t="shared" si="4"/>
        <v>GR02</v>
      </c>
      <c r="T9" s="7">
        <f t="shared" si="4"/>
        <v>5070164065</v>
      </c>
      <c r="U9" s="6" t="s">
        <v>13</v>
      </c>
      <c r="V9" s="7" t="str">
        <f>T8&amp;"*"</f>
        <v>5070164065*</v>
      </c>
      <c r="W9" s="4">
        <f t="shared" si="8"/>
        <v>150</v>
      </c>
      <c r="X9" s="14" t="s">
        <v>63</v>
      </c>
      <c r="Y9" s="2" t="s">
        <v>29</v>
      </c>
      <c r="Z9" s="1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7" t="str">
        <f>T10&amp;"*"</f>
        <v>*</v>
      </c>
      <c r="W10" s="1"/>
      <c r="X10" s="1"/>
      <c r="Y10" s="1"/>
      <c r="Z10" s="1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>
        <f>8.73/150</f>
        <v>0.058200000000000002</v>
      </c>
      <c r="Y11" s="1"/>
      <c r="Z11" s="11"/>
    </row>
    <row r="12">
      <c r="A12" s="1"/>
      <c r="B12" s="3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>
        <v>5.8500000000000005</v>
      </c>
      <c r="Y12" s="1"/>
      <c r="Z12" s="11"/>
    </row>
    <row r="13">
      <c r="A13" s="1"/>
      <c r="B13" s="7" t="s">
        <v>16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1"/>
    </row>
    <row r="14">
      <c r="A14" s="1"/>
      <c r="B14" s="15" t="s">
        <v>58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6"/>
      <c r="S14" s="1"/>
      <c r="T14" s="1"/>
      <c r="U14" s="1"/>
      <c r="V14" s="1"/>
      <c r="W14" s="1"/>
      <c r="X14" s="1"/>
      <c r="Y14" s="1"/>
      <c r="Z14" s="11"/>
    </row>
    <row r="15">
      <c r="A15" s="1"/>
      <c r="B15" s="1" t="s">
        <v>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1"/>
    </row>
    <row r="16">
      <c r="A16" s="1"/>
      <c r="B16" s="10" t="s">
        <v>59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1"/>
    </row>
    <row r="17">
      <c r="A17" s="1"/>
      <c r="B17" s="6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1"/>
    </row>
    <row r="18">
      <c r="A18" s="1"/>
      <c r="B18" s="4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1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I9"/>
  <sheetViews>
    <sheetView topLeftCell="C1" workbookViewId="0">
      <selection activeCell="C2" sqref="C2"/>
    </sheetView>
  </sheetViews>
  <sheetFormatPr defaultColWidth="9.125" defaultRowHeight="14.25"/>
  <cols>
    <col min="1" max="1" width="9.125" style="8" customWidth="1"/>
    <col min="2" max="2" width="95.25" style="8" bestFit="1" customWidth="1"/>
    <col min="3" max="3" width="61.5" style="8" bestFit="1" customWidth="1"/>
    <col min="4" max="4" width="62.625" style="8" bestFit="1" customWidth="1"/>
    <col min="5" max="16384" width="9.125" style="8" customWidth="1"/>
  </cols>
  <sheetData>
    <row r="1" ht="12.75" customHeight="1" customFormat="1">
      <c r="A1" t="s">
        <v>30</v>
      </c>
      <c r="B1" t="s">
        <v>9</v>
      </c>
      <c r="C1" t="s">
        <v>34</v>
      </c>
      <c r="D1" t="s">
        <v>35</v>
      </c>
      <c r="E1" t="s">
        <v>56</v>
      </c>
      <c r="F1" t="s">
        <v>6</v>
      </c>
      <c r="G1" t="s">
        <v>24</v>
      </c>
      <c r="H1" t="s">
        <v>38</v>
      </c>
      <c r="I1" t="s">
        <v>57</v>
      </c>
    </row>
    <row r="2">
      <c r="A2" s="1">
        <v>1</v>
      </c>
      <c r="B2" s="1" t="s">
        <v>36</v>
      </c>
      <c r="C2" s="2" t="s">
        <v>55</v>
      </c>
      <c r="D2" s="2" t="s">
        <v>42</v>
      </c>
      <c r="E2" s="2"/>
      <c r="F2" s="2"/>
      <c r="G2" s="2"/>
      <c r="H2" s="2"/>
      <c r="I2" s="12"/>
    </row>
    <row r="3">
      <c r="A3" s="1">
        <v>2</v>
      </c>
      <c r="B3" s="1" t="s">
        <v>36</v>
      </c>
      <c r="C3" s="2" t="s">
        <v>55</v>
      </c>
      <c r="D3" s="2" t="s">
        <v>42</v>
      </c>
      <c r="E3" s="2"/>
      <c r="F3" s="2"/>
      <c r="G3" s="2"/>
      <c r="H3" s="2"/>
      <c r="I3" s="12"/>
    </row>
    <row r="4">
      <c r="A4" s="1">
        <v>3</v>
      </c>
      <c r="B4" s="1" t="s">
        <v>36</v>
      </c>
      <c r="C4" s="2" t="s">
        <v>55</v>
      </c>
      <c r="D4" s="2" t="s">
        <v>43</v>
      </c>
      <c r="E4" s="2"/>
      <c r="F4" s="2"/>
      <c r="G4" s="2"/>
      <c r="H4" s="2"/>
      <c r="I4" s="12"/>
    </row>
    <row r="5">
      <c r="A5" s="1">
        <v>4</v>
      </c>
      <c r="B5" s="1" t="s">
        <v>36</v>
      </c>
      <c r="C5" s="2" t="s">
        <v>55</v>
      </c>
      <c r="D5" s="2" t="s">
        <v>44</v>
      </c>
      <c r="E5" s="2"/>
      <c r="F5" s="2"/>
      <c r="G5" s="2"/>
      <c r="H5" s="2"/>
      <c r="I5" s="12"/>
    </row>
    <row r="6">
      <c r="A6" s="1">
        <v>5</v>
      </c>
      <c r="B6" s="1" t="s">
        <v>36</v>
      </c>
      <c r="C6" s="2"/>
      <c r="D6" s="2"/>
      <c r="E6" s="2"/>
      <c r="F6" s="2"/>
      <c r="G6" s="2"/>
      <c r="H6" s="2"/>
      <c r="I6" s="12"/>
    </row>
    <row r="7">
      <c r="A7" s="1">
        <v>6</v>
      </c>
      <c r="B7" s="1" t="s">
        <v>36</v>
      </c>
      <c r="C7" s="2"/>
      <c r="D7" s="2"/>
      <c r="E7" s="2"/>
      <c r="F7" s="2"/>
      <c r="G7" s="2"/>
      <c r="H7" s="2"/>
      <c r="I7" s="12"/>
    </row>
    <row r="8">
      <c r="A8" s="1">
        <v>7</v>
      </c>
      <c r="B8" s="1" t="s">
        <v>36</v>
      </c>
      <c r="C8" s="2"/>
      <c r="D8" s="2"/>
      <c r="E8" s="2"/>
      <c r="F8" s="2"/>
      <c r="G8" s="2"/>
      <c r="H8" s="2"/>
      <c r="I8" s="12"/>
    </row>
    <row r="9">
      <c r="A9" s="1">
        <v>8</v>
      </c>
      <c r="B9" s="1" t="s">
        <v>36</v>
      </c>
      <c r="C9" s="2"/>
      <c r="D9" s="2"/>
      <c r="E9" s="2"/>
      <c r="F9" s="2"/>
      <c r="G9" s="2"/>
      <c r="H9" s="2"/>
      <c r="I9" s="12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