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_1" sheetId="3" r:id="rId3"/>
    <sheet name="TC1_Test_PRE_02LIV12_005" sheetId="4" r:id="rId4"/>
    <sheet name="TC2_Test_02LIV12_005_LIV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<sst xmlns="http://schemas.openxmlformats.org/spreadsheetml/2006/main" uniqueCount="62">
  <si>
    <t/>
  </si>
  <si>
    <t>DT_SAPTRANSACTIONCODE</t>
  </si>
  <si>
    <t>DT_MIRO_0010_AMOUNT</t>
  </si>
  <si>
    <t>DN5236300071</t>
  </si>
  <si>
    <t>DT_DOC_NUM</t>
  </si>
  <si>
    <t>DT_PU_NUM</t>
  </si>
  <si>
    <t>DT_MIRO_200_GRIDCELL_0_DOC_NUMBER_OUTPUT</t>
  </si>
  <si>
    <t>Verifications Date</t>
  </si>
  <si>
    <t>Data Coming from another test</t>
  </si>
  <si>
    <t>DT_MIRO_0010_REFERENCE</t>
  </si>
  <si>
    <t>DT_EXPECTEDTRANSACTIONCODE_OCC4</t>
  </si>
  <si>
    <t>Output Data</t>
  </si>
  <si>
    <t>DT_MIRO_0010_CALCULATE_TAX</t>
  </si>
  <si>
    <t>DT_MIRO_6000_CHECK_TEXT_OF_STATUSBAR</t>
  </si>
  <si>
    <t>%blank%</t>
  </si>
  <si>
    <t>OFF</t>
  </si>
  <si>
    <t>200</t>
  </si>
  <si>
    <t>GR02</t>
  </si>
  <si>
    <t>ON</t>
  </si>
  <si>
    <t>SESSION_MANAGER</t>
  </si>
  <si>
    <t>DT_ME21N_6020_RM08MREFERENZBELEGTYP</t>
  </si>
  <si>
    <t>DT_SAPSYSTEM</t>
  </si>
  <si>
    <t>AUTOAB</t>
  </si>
  <si>
    <t>Input Data</t>
  </si>
  <si>
    <t>DT_SAPLANGUAGE</t>
  </si>
  <si>
    <t>DT_SAPOPTIONS</t>
  </si>
  <si>
    <t>5433e12d8593075d578f80933855dbe114bdf586c91e5197</t>
  </si>
  <si>
    <t>Formulas Date</t>
  </si>
  <si>
    <t>Verifications</t>
  </si>
  <si>
    <t>Execution Control Data</t>
  </si>
  <si>
    <t>DT_ACC_DOC_NR</t>
  </si>
  <si>
    <t>DT_MIRO_1000_DOCUMENT</t>
  </si>
  <si>
    <t>DT_MIRO_0010_INVOICE_DATE</t>
  </si>
  <si>
    <t>DT_GET_AMOUNT_OUTPUT</t>
  </si>
  <si>
    <t>EN</t>
  </si>
  <si>
    <t>MIRO</t>
  </si>
  <si>
    <t>DT_MIRO_6212_RM08MLFSNR</t>
  </si>
  <si>
    <t>DT_EXPECTEDTRANSACTIONCODE_OCC2</t>
  </si>
  <si>
    <t>DT_MIRO_120_CHECK_TEXT_OF_STATUSBAR</t>
  </si>
  <si>
    <t>DT_PU_NUM_OUTPUT</t>
  </si>
  <si>
    <t>Formulas General</t>
  </si>
  <si>
    <t>DT_EXPECTEDTRANSACTIONCODE</t>
  </si>
  <si>
    <t>MIR4</t>
  </si>
  <si>
    <t>DT_MIRO_1000_COMPANY_CODE</t>
  </si>
  <si>
    <t>DT_GET_AMOUNT_VALUE</t>
  </si>
  <si>
    <t>J1GP01</t>
  </si>
  <si>
    <t>DT_MIRO_1000_TO</t>
  </si>
  <si>
    <t>R1E - SAP RETAIL Pre-Production EUROPE</t>
  </si>
  <si>
    <t>Fixed Data</t>
  </si>
  <si>
    <t>DT_SAPPASSWORD</t>
  </si>
  <si>
    <t>mir4</t>
  </si>
  <si>
    <t>PU40022427</t>
  </si>
  <si>
    <t>Login Information</t>
  </si>
  <si>
    <t>DT_SAPUSER</t>
  </si>
  <si>
    <t>DT_MIRO_100_OKCD</t>
  </si>
  <si>
    <t>DT_EXPECTEDTRANSACTIONCODE_OCC3</t>
  </si>
  <si>
    <t>552,05-</t>
  </si>
  <si>
    <t>DT_DOC_NUM_OUTPUT</t>
  </si>
  <si>
    <t>DT_SAPCLIENT</t>
  </si>
  <si>
    <t>DT_MIRO_200_GRIDCELL_0_DOC_NUMBER</t>
  </si>
  <si>
    <t>DT_MIRO_6000_OKCD</t>
  </si>
  <si>
    <t>DT_MIRO_1000_TEST_MODE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</si>
</sst>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164" fontId="3" fillId="5" borderId="1" xfId="0" applyNumberFormat="1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LIV12_005_LIV_Loc_Vend_Invoice_w_Prior_Vendor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16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38.125" style="5" customWidth="1"/>
    <col min="2" max="2" width="15" style="5" customWidth="1"/>
    <col min="3" max="3" width="13.625" style="5" customWidth="1"/>
    <col min="4" max="4" width="48" style="5" customWidth="1"/>
    <col min="5" max="5" width="18.625" style="5" customWidth="1"/>
    <col min="6" max="6" width="16.75" style="5" customWidth="1"/>
    <col min="7" max="7" width="27.125" style="5" customWidth="1"/>
    <col min="8" max="8" width="33.375" style="5" customWidth="1"/>
    <col min="9" max="9" width="30.875" style="5" customWidth="1"/>
    <col min="10" max="10" width="29" style="5" customWidth="1"/>
    <col min="11" max="11" width="26.875" style="5" customWidth="1"/>
    <col min="12" max="12" width="27.875" style="5" customWidth="1"/>
    <col min="13" max="14" width="30.875" style="5" customWidth="1"/>
    <col min="15" max="15" width="23.75" style="5" customWidth="1"/>
    <col min="16" max="16" width="17.75" style="5" customWidth="1"/>
    <col min="17" max="17" width="43.5" style="5" customWidth="1"/>
    <col min="18" max="18" width="39.25" style="5" customWidth="1"/>
    <col min="19" max="19" width="19.5" style="5" customWidth="1"/>
    <col min="20" max="20" width="39.25" style="5" customWidth="1"/>
    <col min="21" max="21" width="39.625" style="5" customWidth="1"/>
    <col min="22" max="22" width="20.5" style="5" customWidth="1"/>
    <col min="23" max="23" width="39.25" style="5" customWidth="1"/>
    <col min="24" max="24" width="17.125" style="5" customWidth="1"/>
    <col min="25" max="25" width="26.125" style="5" customWidth="1"/>
    <col min="26" max="26" width="18" style="5" customWidth="1"/>
    <col min="27" max="27" width="26.875" style="5" customWidth="1"/>
    <col min="28" max="28" width="26.125" style="5" customWidth="1"/>
    <col min="29" max="29" width="53" style="5" customWidth="1"/>
    <col min="30" max="16384" width="9.125" style="5" customWidth="1"/>
  </cols>
  <sheetData>
    <row r="1" ht="12.75" customHeight="1" customFormat="1">
      <c r="A1" t="s">
        <v>21</v>
      </c>
      <c r="B1" t="s">
        <v>58</v>
      </c>
      <c r="C1" t="s">
        <v>53</v>
      </c>
      <c r="D1" t="s">
        <v>49</v>
      </c>
      <c r="E1" t="s">
        <v>24</v>
      </c>
      <c r="F1" t="s">
        <v>25</v>
      </c>
      <c r="G1" t="s">
        <v>1</v>
      </c>
      <c r="H1" t="s">
        <v>41</v>
      </c>
      <c r="I1" t="s">
        <v>43</v>
      </c>
      <c r="J1" t="s">
        <v>32</v>
      </c>
      <c r="K1" t="s">
        <v>9</v>
      </c>
      <c r="L1" t="s">
        <v>36</v>
      </c>
      <c r="M1" t="s">
        <v>12</v>
      </c>
      <c r="N1" t="s">
        <v>44</v>
      </c>
      <c r="O1" t="s">
        <v>2</v>
      </c>
      <c r="P1" t="s">
        <v>4</v>
      </c>
      <c r="Q1" t="s">
        <v>13</v>
      </c>
      <c r="R1" t="s">
        <v>37</v>
      </c>
      <c r="S1" t="s">
        <v>54</v>
      </c>
      <c r="T1" t="s">
        <v>55</v>
      </c>
      <c r="U1" t="s">
        <v>59</v>
      </c>
      <c r="V1" t="s">
        <v>60</v>
      </c>
      <c r="W1" t="s">
        <v>10</v>
      </c>
      <c r="X1" t="s">
        <v>30</v>
      </c>
      <c r="Y1" t="s">
        <v>31</v>
      </c>
      <c r="Z1" t="s">
        <v>46</v>
      </c>
      <c r="AA1" t="s">
        <v>61</v>
      </c>
      <c r="AB1" t="s">
        <v>5</v>
      </c>
      <c r="AC1" t="s">
        <v>38</v>
      </c>
      <c r="AD1" t="s">
        <v>20</v>
      </c>
    </row>
    <row r="2">
      <c r="A2" s="3" t="s">
        <v>47</v>
      </c>
      <c r="B2" s="3" t="s">
        <v>16</v>
      </c>
      <c r="C2" s="11" t="s">
        <v>22</v>
      </c>
      <c r="D2" s="11" t="s">
        <v>26</v>
      </c>
      <c r="E2" s="3" t="s">
        <v>34</v>
      </c>
      <c r="F2" s="3" t="s">
        <v>0</v>
      </c>
      <c r="G2" s="1" t="s">
        <v>35</v>
      </c>
      <c r="H2" s="1" t="s">
        <v>35</v>
      </c>
      <c r="I2" s="1" t="s">
        <v>17</v>
      </c>
      <c r="J2" s="7">
        <f ca="1">TODAY()</f>
        <v>45960</v>
      </c>
      <c r="K2" s="10" t="s">
        <v>3</v>
      </c>
      <c r="L2" s="12" t="str">
        <f>K2</f>
        <v>DN5236300071</v>
      </c>
      <c r="M2" s="1" t="s">
        <v>18</v>
      </c>
      <c r="N2" s="2" t="e">
        <f>[1]Output!A2</f>
        <v>#REF!</v>
      </c>
      <c r="O2" s="9" t="e">
        <f>LEFT(N2,LEN(N2)-1)</f>
        <v>#REF!</v>
      </c>
      <c r="P2" s="2" t="e">
        <f>[1]Output!B2</f>
        <v>#REF!</v>
      </c>
      <c r="Q2" s="8" t="e">
        <f>CONCATENATE("Document no. ",P2," created")</f>
        <v>#REF!</v>
      </c>
      <c r="R2" s="1" t="s">
        <v>19</v>
      </c>
      <c r="S2" s="1" t="s">
        <v>50</v>
      </c>
      <c r="T2" s="1" t="s">
        <v>42</v>
      </c>
      <c r="U2" s="1" t="e">
        <f>[1]Output!C2</f>
        <v>#REF!</v>
      </c>
      <c r="V2" s="1" t="s">
        <v>45</v>
      </c>
      <c r="W2" s="1" t="s">
        <v>45</v>
      </c>
      <c r="X2" s="2" t="e">
        <f>[1]Output!C2</f>
        <v>#REF!</v>
      </c>
      <c r="Y2" s="12" t="e">
        <f>X2</f>
        <v>#REF!</v>
      </c>
      <c r="Z2" s="1" t="s">
        <v>14</v>
      </c>
      <c r="AA2" s="1" t="s">
        <v>15</v>
      </c>
      <c r="AB2" s="2" t="e">
        <f>[1]Output!D2</f>
        <v>#REF!</v>
      </c>
      <c r="AC2" s="8" t="e">
        <f>CONCATENATE("Document ",AB2," was posted in company code ",I2)</f>
        <v>#REF!</v>
      </c>
      <c r="AD2" s="6">
        <v>2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6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6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6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6"/>
    </row>
    <row r="7">
      <c r="A7" s="13" t="s">
        <v>52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6"/>
    </row>
    <row r="8">
      <c r="A8" s="19" t="s">
        <v>23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6"/>
    </row>
    <row r="9">
      <c r="A9" s="14" t="s">
        <v>48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6"/>
    </row>
    <row r="10">
      <c r="A10" s="15" t="s">
        <v>11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6"/>
    </row>
    <row r="11">
      <c r="A11" s="7" t="s">
        <v>27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6"/>
    </row>
    <row r="12">
      <c r="A12" s="9" t="s">
        <v>40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6"/>
    </row>
    <row r="13">
      <c r="A13" s="17" t="s">
        <v>28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6"/>
    </row>
    <row r="14">
      <c r="A14" s="16" t="s">
        <v>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6"/>
    </row>
    <row r="15">
      <c r="A15" s="10" t="s">
        <v>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6"/>
    </row>
    <row r="16">
      <c r="A16" s="18" t="s">
        <v>29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6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125" defaultRowHeight="14.25"/>
  <cols>
    <col min="1" max="1" width="26.625" style="5" bestFit="1" customWidth="1"/>
    <col min="2" max="2" width="23.125" style="5" bestFit="1" customWidth="1"/>
    <col min="3" max="3" width="63.625" style="5" bestFit="1" customWidth="1"/>
    <col min="4" max="16384" width="9.125" style="5" customWidth="1"/>
  </cols>
  <sheetData>
    <row r="1" ht="12.75" customHeight="1" customFormat="1">
      <c r="A1" t="s">
        <v>33</v>
      </c>
      <c r="B1" t="s">
        <v>57</v>
      </c>
      <c r="C1" t="s">
        <v>6</v>
      </c>
      <c r="D1" t="s">
        <v>39</v>
      </c>
    </row>
    <row r="2">
      <c r="A2" s="1" t="s">
        <v>56</v>
      </c>
      <c r="B2" s="1">
        <v>6056579431</v>
      </c>
      <c r="C2" s="1"/>
      <c r="D2" s="6" t="s">
        <v>51</v>
      </c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4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