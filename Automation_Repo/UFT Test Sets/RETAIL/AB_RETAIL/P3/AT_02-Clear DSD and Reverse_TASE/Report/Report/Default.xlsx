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4"/>
  </bookViews>
  <sheets>
    <sheet name="Global" sheetId="1" r:id="rId1"/>
    <sheet name="RunTimeResultFolderCreation" sheetId="2" r:id="rId2"/>
    <sheet name="DataTransfer" sheetId="3" r:id="rId3"/>
    <sheet name="TC1_Test_02GR03_004_Loc" sheetId="4" r:id="rId4"/>
    <sheet name="DataTransfer_2" sheetId="5" r:id="rId5"/>
    <sheet name="TC2_Test_02GR03_004" sheetId="6" r:id="rId6"/>
    <sheet name="TC3_Test_02GR02_002" sheetId="7" r:id="rId7"/>
    <sheet name="TC4_Test_02GR04_002" sheetId="8" r:id="rId8"/>
    <sheet name="TC5_Test_02GR03_004" sheetId="9" r:id="rId9"/>
    <sheet name="TC6_Test_02GR03_007" sheetId="10" r:id="rId10"/>
    <sheet name="TC7_Test_02GR04_003" sheetId="11" r:id="rId11"/>
    <sheet name="DataTransfer_3" sheetId="12" r:id="rId12"/>
    <sheet name="TC8_Test_02GR02_001_Clear" sheetId="13" r:id="rId13"/>
    <sheet name="DataTransfer_4" sheetId="14" r:id="rId14"/>
    <sheet name="TC9_Test_02GR04_001" sheetId="15" r:id="rId15"/>
  </sheets>
  <externalReferences>
    <externalReference r:id="rId19"/>
  </externalReferences>
  <calcPr calcId="40001"/>
</workbook>
</file>

<file path=xl/sharedStrings.xml><?xml version="1.0" encoding="utf-8"?>
<sst xmlns="http://schemas.openxmlformats.org/spreadsheetml/2006/main" uniqueCount="84">
  <si>
    <t>Scripting</t>
  </si>
  <si>
    <t/>
  </si>
  <si>
    <t>DT_SAPTRANSACTIONCODE</t>
  </si>
  <si>
    <t>Document no. 9400000121 created</t>
  </si>
  <si>
    <t>Document no. 9400020762 created</t>
  </si>
  <si>
    <t>DT_MR11SHOW_100_IDOC_TREE_CONTROLINT_SEG_CONTROL_OCC2</t>
  </si>
  <si>
    <t>33</t>
  </si>
  <si>
    <t>DT_MR11SHOW_500_OKCD</t>
  </si>
  <si>
    <t>DT_MR11SHOW_100_CREATED_BY_OCC2</t>
  </si>
  <si>
    <t>Data passed to port OK</t>
  </si>
  <si>
    <t>DT_MR11SHOW_100_IDOC_TREE_CONTROLINT_SEG_CONTROL_OCC6</t>
  </si>
  <si>
    <t>19</t>
  </si>
  <si>
    <t>Document no. 9400921554 created</t>
  </si>
  <si>
    <t>5fe225d0456082020b824408337c7c87f62b51ff86a457a8</t>
  </si>
  <si>
    <t>54f033efd9696def930e8710a560be6bd1a2404dac8febf2082a</t>
  </si>
  <si>
    <t>DT_MR11SHOW_100_ACCT_MAINT_DOCUMENT</t>
  </si>
  <si>
    <t>Scenario</t>
  </si>
  <si>
    <t>%blank%</t>
  </si>
  <si>
    <t>3</t>
  </si>
  <si>
    <t>DT_MR11SHOW_100_IDOC_TREE_CONTROLINT_SEG_CONTROL_OCC11</t>
  </si>
  <si>
    <t>DT_MR11SHOW_100_IDOC_TREE_CONTROLINT_SEG_CONTROL_OCC15</t>
  </si>
  <si>
    <t>7</t>
  </si>
  <si>
    <t>200</t>
  </si>
  <si>
    <t>DT_MR11SHOW_100_IDOC_TREE_CONTROLINT_SEG_CONTROL</t>
  </si>
  <si>
    <t>DT_MR11SHOW_100_IDOC_TREE_CONTROLINT_SEG_CONTROL_OCC3</t>
  </si>
  <si>
    <t>DT_IDOC_NUMBER</t>
  </si>
  <si>
    <t>DT_SAPSYSTEM</t>
  </si>
  <si>
    <t>RG2</t>
  </si>
  <si>
    <t>AUTOAB</t>
  </si>
  <si>
    <t>Document no. 9400000115 created</t>
  </si>
  <si>
    <t>DT_MR11SHOW_1000_FOR_VALUE_</t>
  </si>
  <si>
    <t>DT_MR11SHOW_100_IDOC_TREE_CONTROLINT_SEG_CONTROL_OCC7</t>
  </si>
  <si>
    <t>Document no. 9400833913 created</t>
  </si>
  <si>
    <t>RGS - SAP RETAIL Staging GLOBAL</t>
  </si>
  <si>
    <t>DT_SAPLANGUAGE</t>
  </si>
  <si>
    <t>DT_SAPOPTIONS</t>
  </si>
  <si>
    <t>WE09</t>
  </si>
  <si>
    <t>DT_MR11SHOW_1000_LOGICAL_MESSAGE_OCC4</t>
  </si>
  <si>
    <t>0</t>
  </si>
  <si>
    <t>5357b5f3d93536319381f29be85ab0e2660e6c8ed3cb</t>
  </si>
  <si>
    <t>Document no. 9400020221 created</t>
  </si>
  <si>
    <t>DT_MR11SHOW_VARIANT</t>
  </si>
  <si>
    <t>4</t>
  </si>
  <si>
    <t>DT_MR11SHOW_100_IDOC_TREE_CONTROLINT_SEG_CONTROL_OCC12</t>
  </si>
  <si>
    <t>DT_MR11SHOW_100_IDOC_TREE_CONTROLINT_SEG_CONTROL_OCC16</t>
  </si>
  <si>
    <t>03-Clear Franchising and Reverse</t>
  </si>
  <si>
    <t>RSB</t>
  </si>
  <si>
    <t>Document no. 9400000118 created</t>
  </si>
  <si>
    <t>DT_MR11SHOW_100_IDOC_TREE_CONTROLINT_SEG_CONTROL_OCC4</t>
  </si>
  <si>
    <t>Document no. 9400921611 created</t>
  </si>
  <si>
    <t>Document no. 9400921622 created</t>
  </si>
  <si>
    <t>Row_Number</t>
  </si>
  <si>
    <t>DSM RG2</t>
  </si>
  <si>
    <t>Document no. 9400000119 created</t>
  </si>
  <si>
    <t>ZMDIV_MR11</t>
  </si>
  <si>
    <t>DT_MR11SHOW_120_CHECK_TEXT_OF_DATA_PASSED_TO_PORT_OK</t>
  </si>
  <si>
    <t>DT_MR11SHOW_100_IDOC_TREE_CONTROLINT_SEG_CONTROL_OCC8</t>
  </si>
  <si>
    <t>EN</t>
  </si>
  <si>
    <t>DT_EXPECTEDTRANSACTIONCODE_OCC2</t>
  </si>
  <si>
    <t>1</t>
  </si>
  <si>
    <t>DT_EXPECTEDTRANSACTIONCODE</t>
  </si>
  <si>
    <t>5</t>
  </si>
  <si>
    <t>DT_MR11SHOW_100_IDOC_TREE_CONTROLINT_SEG_CONTROL_OCC13</t>
  </si>
  <si>
    <t>DT_MR11SHOW_100_IDOC_TREE_CONTROLINT_SEG_CONTROL_OCC17</t>
  </si>
  <si>
    <t>DSM RSB</t>
  </si>
  <si>
    <t>MR11SHOW</t>
  </si>
  <si>
    <t>DT_MR11SHOW_500_GETCELLVALUE_OF_GRIDCELL_0_CMF_TEXT</t>
  </si>
  <si>
    <t>DT_MR11SHOW_100_IDOC_TREE_CONTROLINT_SEG_CONTROL_OCC5</t>
  </si>
  <si>
    <t>R1E - SAP RETAIL Pre-Production EUROPE</t>
  </si>
  <si>
    <t>DT_SAPPASSWORD</t>
  </si>
  <si>
    <t>/ZMDIV_MIRO</t>
  </si>
  <si>
    <t>DT_MR11SHOW_100_IDOC_TREE_CONTROLINT_SEG_CONTROL_OCC9</t>
  </si>
  <si>
    <t>DT_MSG_TEXT_OUTPUT</t>
  </si>
  <si>
    <t>DT_SAPUSER</t>
  </si>
  <si>
    <t>rreye</t>
  </si>
  <si>
    <t>DT_MR11SHOW_100_FISCAL_YEAR</t>
  </si>
  <si>
    <t>DT_MR11SHOW_200_POSTING_DATE_OCC3</t>
  </si>
  <si>
    <t>2</t>
  </si>
  <si>
    <t>02-Clear DSD and Reverse</t>
  </si>
  <si>
    <t>DT_SAPCLIENT</t>
  </si>
  <si>
    <t>Document no. 9400000120 created</t>
  </si>
  <si>
    <t>6</t>
  </si>
  <si>
    <t>DT_MR11SHOW_100_IDOC_TREE_CONTROLINT_SEG_CONTROL_OCC10</t>
  </si>
  <si>
    <t>DT_MR11SHOW_100_IDOC_TREE_CONTROLINT_SEG_CONTROL_OCC14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</si>
</sst>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164" fontId="1" fillId="3" borderId="1" xfId="0" applyNumberForma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8" borderId="1" xfId="0" applyFill="1" applyBorder="1" applyProtection="1">
      <protection locked="0"/>
    </xf>
    <xf numFmtId="0" fontId="1" fillId="4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6" Type="http://schemas.openxmlformats.org/officeDocument/2006/relationships/theme" Target="theme/theme1.xml" /><Relationship Id="rId17" Type="http://schemas.openxmlformats.org/officeDocument/2006/relationships/styles" Target="styles.xml" /><Relationship Id="rId1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2GR04_001_Clear_Rev_LocVend_Int_Store_GR_DelivNot_cont_TradGood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L17"/>
  <sheetViews>
    <sheetView topLeftCell="G1" workbookViewId="0">
      <selection activeCell="G2" sqref="G2"/>
    </sheetView>
  </sheetViews>
  <sheetFormatPr defaultColWidth="9.125" defaultRowHeight="14.25"/>
  <cols>
    <col min="1" max="1" width="12.5" style="11" customWidth="1"/>
    <col min="2" max="2" width="28.875" style="11" customWidth="1"/>
    <col min="3" max="3" width="38.125" style="11" customWidth="1"/>
    <col min="4" max="4" width="15" style="11" customWidth="1"/>
    <col min="5" max="5" width="13.625" style="11" customWidth="1"/>
    <col min="6" max="6" width="50.5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43.875" style="11" customWidth="1"/>
    <col min="12" max="12" width="32.75" style="11" customWidth="1"/>
    <col min="13" max="13" width="40.625" style="11" customWidth="1"/>
    <col min="14" max="14" width="61.125" style="11" customWidth="1"/>
    <col min="15" max="15" width="25.375" style="11" customWidth="1"/>
    <col min="16" max="16" width="39.25" style="11" customWidth="1"/>
    <col min="17" max="17" width="38.625" style="11" customWidth="1"/>
    <col min="18" max="18" width="24.5" style="11" customWidth="1"/>
    <col min="19" max="19" width="45" style="11" customWidth="1"/>
    <col min="20" max="20" width="33.25" style="11" customWidth="1"/>
    <col min="21" max="21" width="64" style="11" customWidth="1"/>
    <col min="22" max="22" width="58.875" style="11" customWidth="1"/>
    <col min="23" max="30" width="64.75" style="11" customWidth="1"/>
    <col min="31" max="38" width="65.75" style="11" customWidth="1"/>
    <col min="39" max="16384" width="9.125" style="11" customWidth="1"/>
  </cols>
  <sheetData>
    <row r="1" ht="12.75" customHeight="1" customFormat="1">
      <c r="A1" t="s">
        <v>51</v>
      </c>
      <c r="B1" t="s">
        <v>16</v>
      </c>
      <c r="C1" t="s">
        <v>26</v>
      </c>
      <c r="D1" t="s">
        <v>79</v>
      </c>
      <c r="E1" t="s">
        <v>73</v>
      </c>
      <c r="F1" t="s">
        <v>69</v>
      </c>
      <c r="G1" t="s">
        <v>34</v>
      </c>
      <c r="H1" t="s">
        <v>35</v>
      </c>
      <c r="I1" t="s">
        <v>2</v>
      </c>
      <c r="J1" t="s">
        <v>60</v>
      </c>
      <c r="K1" t="s">
        <v>15</v>
      </c>
      <c r="L1" t="s">
        <v>75</v>
      </c>
      <c r="M1" t="s">
        <v>76</v>
      </c>
      <c r="N1" t="s">
        <v>66</v>
      </c>
      <c r="O1" t="s">
        <v>7</v>
      </c>
      <c r="P1" t="s">
        <v>58</v>
      </c>
      <c r="Q1" t="s">
        <v>8</v>
      </c>
      <c r="R1" t="s">
        <v>41</v>
      </c>
      <c r="S1" t="s">
        <v>37</v>
      </c>
      <c r="T1" t="s">
        <v>30</v>
      </c>
      <c r="U1" t="s">
        <v>55</v>
      </c>
      <c r="V1" t="s">
        <v>23</v>
      </c>
      <c r="W1" t="s">
        <v>5</v>
      </c>
      <c r="X1" t="s">
        <v>24</v>
      </c>
      <c r="Y1" t="s">
        <v>48</v>
      </c>
      <c r="Z1" t="s">
        <v>67</v>
      </c>
      <c r="AA1" t="s">
        <v>10</v>
      </c>
      <c r="AB1" t="s">
        <v>31</v>
      </c>
      <c r="AC1" t="s">
        <v>56</v>
      </c>
      <c r="AD1" t="s">
        <v>71</v>
      </c>
      <c r="AE1" t="s">
        <v>82</v>
      </c>
      <c r="AF1" t="s">
        <v>19</v>
      </c>
      <c r="AG1" t="s">
        <v>43</v>
      </c>
      <c r="AH1" t="s">
        <v>62</v>
      </c>
      <c r="AI1" t="s">
        <v>83</v>
      </c>
      <c r="AJ1" t="s">
        <v>20</v>
      </c>
      <c r="AK1" t="s">
        <v>44</v>
      </c>
      <c r="AL1" t="s">
        <v>63</v>
      </c>
    </row>
    <row r="2">
      <c r="A2" s="9">
        <v>1</v>
      </c>
      <c r="B2" s="9" t="s">
        <v>0</v>
      </c>
      <c r="C2" s="2" t="s">
        <v>68</v>
      </c>
      <c r="D2" s="2" t="s">
        <v>22</v>
      </c>
      <c r="E2" s="2" t="s">
        <v>28</v>
      </c>
      <c r="F2" s="2" t="s">
        <v>13</v>
      </c>
      <c r="G2" s="2" t="s">
        <v>57</v>
      </c>
      <c r="H2" s="1" t="s">
        <v>1</v>
      </c>
      <c r="I2" s="1" t="s">
        <v>65</v>
      </c>
      <c r="J2" s="1" t="s">
        <v>65</v>
      </c>
      <c r="K2" s="14">
        <v>9400000166</v>
      </c>
      <c r="L2" s="4">
        <f ca="1">YEAR(NOW())</f>
        <v>2025</v>
      </c>
      <c r="M2" s="7">
        <f ca="1">NOW()</f>
        <v>45959.117952077439</v>
      </c>
      <c r="N2" s="6" t="e">
        <f>[1]Output!A2</f>
        <v>#REF!</v>
      </c>
      <c r="O2" s="1" t="s">
        <v>36</v>
      </c>
      <c r="P2" s="1" t="s">
        <v>36</v>
      </c>
      <c r="Q2" s="1" t="s">
        <v>17</v>
      </c>
      <c r="R2" s="5" t="s">
        <v>70</v>
      </c>
      <c r="S2" s="5" t="s">
        <v>54</v>
      </c>
      <c r="T2" s="4" t="e">
        <f>MID(N2,14,10)</f>
        <v>#REF!</v>
      </c>
      <c r="U2" s="8" t="s">
        <v>9</v>
      </c>
      <c r="V2" s="1" t="s">
        <v>59</v>
      </c>
      <c r="W2" s="1" t="s">
        <v>77</v>
      </c>
      <c r="X2" s="1" t="s">
        <v>18</v>
      </c>
      <c r="Y2" s="1" t="s">
        <v>42</v>
      </c>
      <c r="Z2" s="1" t="s">
        <v>61</v>
      </c>
      <c r="AA2" s="1" t="s">
        <v>81</v>
      </c>
      <c r="AB2" s="1" t="s">
        <v>11</v>
      </c>
      <c r="AC2" s="1" t="s">
        <v>6</v>
      </c>
      <c r="AD2" s="1" t="s">
        <v>38</v>
      </c>
      <c r="AE2" s="1" t="s">
        <v>59</v>
      </c>
      <c r="AF2" s="1" t="s">
        <v>77</v>
      </c>
      <c r="AG2" s="1" t="s">
        <v>18</v>
      </c>
      <c r="AH2" s="1" t="s">
        <v>42</v>
      </c>
      <c r="AI2" s="1" t="s">
        <v>61</v>
      </c>
      <c r="AJ2" s="1" t="s">
        <v>81</v>
      </c>
      <c r="AK2" s="1" t="s">
        <v>21</v>
      </c>
      <c r="AL2" s="12" t="s">
        <v>38</v>
      </c>
    </row>
    <row r="3">
      <c r="A3" s="9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 t="s">
        <v>70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2"/>
    </row>
    <row r="4">
      <c r="A4" s="9">
        <v>3</v>
      </c>
      <c r="B4" s="9" t="s">
        <v>78</v>
      </c>
      <c r="C4" s="2" t="s">
        <v>68</v>
      </c>
      <c r="D4" s="2" t="s">
        <v>22</v>
      </c>
      <c r="E4" s="2" t="s">
        <v>28</v>
      </c>
      <c r="F4" s="2" t="s">
        <v>13</v>
      </c>
      <c r="G4" s="2" t="s">
        <v>57</v>
      </c>
      <c r="H4" s="1" t="s">
        <v>1</v>
      </c>
      <c r="I4" s="1" t="s">
        <v>65</v>
      </c>
      <c r="J4" s="1" t="s">
        <v>65</v>
      </c>
      <c r="K4" s="10">
        <v>9400921621</v>
      </c>
      <c r="L4" s="4">
        <f ca="1" t="shared" si="0" ref="L4:L8">YEAR(NOW())</f>
        <v>2025</v>
      </c>
      <c r="M4" s="7">
        <f ca="1" t="shared" si="1" ref="M4:M8">NOW()</f>
        <v>45959.117952077439</v>
      </c>
      <c r="N4" s="6" t="e">
        <f>[1]Output!A4</f>
        <v>#REF!</v>
      </c>
      <c r="O4" s="1" t="s">
        <v>36</v>
      </c>
      <c r="P4" s="1" t="s">
        <v>36</v>
      </c>
      <c r="Q4" s="1" t="s">
        <v>17</v>
      </c>
      <c r="R4" s="5" t="s">
        <v>70</v>
      </c>
      <c r="S4" s="5" t="s">
        <v>54</v>
      </c>
      <c r="T4" s="4" t="e">
        <f t="shared" si="2" ref="T4:T8">MID(N4,14,10)</f>
        <v>#REF!</v>
      </c>
      <c r="U4" s="8" t="s">
        <v>9</v>
      </c>
      <c r="V4" s="1" t="s">
        <v>59</v>
      </c>
      <c r="W4" s="1" t="s">
        <v>77</v>
      </c>
      <c r="X4" s="1" t="s">
        <v>18</v>
      </c>
      <c r="Y4" s="1" t="s">
        <v>42</v>
      </c>
      <c r="Z4" s="1" t="s">
        <v>61</v>
      </c>
      <c r="AA4" s="1" t="s">
        <v>81</v>
      </c>
      <c r="AB4" s="1" t="s">
        <v>11</v>
      </c>
      <c r="AC4" s="1" t="s">
        <v>6</v>
      </c>
      <c r="AD4" s="1" t="s">
        <v>38</v>
      </c>
      <c r="AE4" s="1" t="s">
        <v>59</v>
      </c>
      <c r="AF4" s="1" t="s">
        <v>77</v>
      </c>
      <c r="AG4" s="1" t="s">
        <v>18</v>
      </c>
      <c r="AH4" s="1" t="s">
        <v>42</v>
      </c>
      <c r="AI4" s="1" t="s">
        <v>61</v>
      </c>
      <c r="AJ4" s="1" t="s">
        <v>81</v>
      </c>
      <c r="AK4" s="1" t="s">
        <v>21</v>
      </c>
      <c r="AL4" s="12" t="s">
        <v>38</v>
      </c>
    </row>
    <row r="5">
      <c r="A5" s="9">
        <v>4</v>
      </c>
      <c r="B5" s="9" t="s">
        <v>78</v>
      </c>
      <c r="C5" s="2" t="s">
        <v>68</v>
      </c>
      <c r="D5" s="2" t="s">
        <v>22</v>
      </c>
      <c r="E5" s="2" t="s">
        <v>28</v>
      </c>
      <c r="F5" s="2" t="s">
        <v>13</v>
      </c>
      <c r="G5" s="2" t="s">
        <v>57</v>
      </c>
      <c r="H5" s="1" t="s">
        <v>1</v>
      </c>
      <c r="I5" s="1" t="s">
        <v>65</v>
      </c>
      <c r="J5" s="1" t="s">
        <v>65</v>
      </c>
      <c r="K5" s="10">
        <v>9400921630</v>
      </c>
      <c r="L5" s="4">
        <f ca="1" t="shared" si="0"/>
        <v>2025</v>
      </c>
      <c r="M5" s="7">
        <f ca="1" t="shared" si="1"/>
        <v>45959.117952077439</v>
      </c>
      <c r="N5" s="6" t="e">
        <f>[1]Output!A5</f>
        <v>#REF!</v>
      </c>
      <c r="O5" s="1" t="s">
        <v>36</v>
      </c>
      <c r="P5" s="1" t="s">
        <v>36</v>
      </c>
      <c r="Q5" s="1" t="s">
        <v>17</v>
      </c>
      <c r="R5" s="5" t="s">
        <v>70</v>
      </c>
      <c r="S5" s="5" t="s">
        <v>54</v>
      </c>
      <c r="T5" s="4" t="e">
        <f t="shared" si="2"/>
        <v>#REF!</v>
      </c>
      <c r="U5" s="8" t="s">
        <v>9</v>
      </c>
      <c r="V5" s="1" t="s">
        <v>59</v>
      </c>
      <c r="W5" s="1" t="s">
        <v>77</v>
      </c>
      <c r="X5" s="1" t="s">
        <v>18</v>
      </c>
      <c r="Y5" s="1" t="s">
        <v>42</v>
      </c>
      <c r="Z5" s="1" t="s">
        <v>61</v>
      </c>
      <c r="AA5" s="1" t="s">
        <v>81</v>
      </c>
      <c r="AB5" s="1" t="s">
        <v>11</v>
      </c>
      <c r="AC5" s="1" t="s">
        <v>6</v>
      </c>
      <c r="AD5" s="1" t="s">
        <v>38</v>
      </c>
      <c r="AE5" s="1" t="s">
        <v>59</v>
      </c>
      <c r="AF5" s="1" t="s">
        <v>77</v>
      </c>
      <c r="AG5" s="1" t="s">
        <v>18</v>
      </c>
      <c r="AH5" s="1" t="s">
        <v>42</v>
      </c>
      <c r="AI5" s="1" t="s">
        <v>61</v>
      </c>
      <c r="AJ5" s="1" t="s">
        <v>81</v>
      </c>
      <c r="AK5" s="1" t="s">
        <v>21</v>
      </c>
      <c r="AL5" s="12" t="s">
        <v>38</v>
      </c>
    </row>
    <row r="6">
      <c r="A6" s="9">
        <v>5</v>
      </c>
      <c r="B6" s="9" t="s">
        <v>78</v>
      </c>
      <c r="C6" s="2" t="s">
        <v>68</v>
      </c>
      <c r="D6" s="2" t="s">
        <v>22</v>
      </c>
      <c r="E6" s="2" t="s">
        <v>28</v>
      </c>
      <c r="F6" s="2" t="s">
        <v>13</v>
      </c>
      <c r="G6" s="2" t="s">
        <v>57</v>
      </c>
      <c r="H6" s="1" t="s">
        <v>1</v>
      </c>
      <c r="I6" s="1" t="s">
        <v>65</v>
      </c>
      <c r="J6" s="1" t="s">
        <v>65</v>
      </c>
      <c r="K6" s="10">
        <v>9400921630</v>
      </c>
      <c r="L6" s="4">
        <f ca="1" t="shared" si="0"/>
        <v>2025</v>
      </c>
      <c r="M6" s="7">
        <f ca="1" t="shared" si="1"/>
        <v>45959.117952077439</v>
      </c>
      <c r="N6" s="6" t="e">
        <f>[1]Output!A6</f>
        <v>#REF!</v>
      </c>
      <c r="O6" s="1" t="s">
        <v>36</v>
      </c>
      <c r="P6" s="1" t="s">
        <v>36</v>
      </c>
      <c r="Q6" s="1" t="s">
        <v>17</v>
      </c>
      <c r="R6" s="5" t="s">
        <v>70</v>
      </c>
      <c r="S6" s="5" t="s">
        <v>54</v>
      </c>
      <c r="T6" s="4" t="e">
        <f t="shared" si="2"/>
        <v>#REF!</v>
      </c>
      <c r="U6" s="8" t="s">
        <v>9</v>
      </c>
      <c r="V6" s="1" t="s">
        <v>59</v>
      </c>
      <c r="W6" s="1" t="s">
        <v>77</v>
      </c>
      <c r="X6" s="1" t="s">
        <v>18</v>
      </c>
      <c r="Y6" s="1" t="s">
        <v>42</v>
      </c>
      <c r="Z6" s="1" t="s">
        <v>61</v>
      </c>
      <c r="AA6" s="1" t="s">
        <v>81</v>
      </c>
      <c r="AB6" s="1" t="s">
        <v>11</v>
      </c>
      <c r="AC6" s="1" t="s">
        <v>6</v>
      </c>
      <c r="AD6" s="1" t="s">
        <v>38</v>
      </c>
      <c r="AE6" s="1" t="s">
        <v>59</v>
      </c>
      <c r="AF6" s="1" t="s">
        <v>77</v>
      </c>
      <c r="AG6" s="1" t="s">
        <v>18</v>
      </c>
      <c r="AH6" s="1" t="s">
        <v>42</v>
      </c>
      <c r="AI6" s="1" t="s">
        <v>61</v>
      </c>
      <c r="AJ6" s="1" t="s">
        <v>81</v>
      </c>
      <c r="AK6" s="1" t="s">
        <v>21</v>
      </c>
      <c r="AL6" s="12" t="s">
        <v>38</v>
      </c>
    </row>
    <row r="7">
      <c r="A7" s="9">
        <v>6</v>
      </c>
      <c r="B7" s="9" t="s">
        <v>78</v>
      </c>
      <c r="C7" s="2" t="s">
        <v>68</v>
      </c>
      <c r="D7" s="2" t="s">
        <v>22</v>
      </c>
      <c r="E7" s="2" t="s">
        <v>28</v>
      </c>
      <c r="F7" s="2" t="s">
        <v>13</v>
      </c>
      <c r="G7" s="2" t="s">
        <v>57</v>
      </c>
      <c r="H7" s="1" t="s">
        <v>1</v>
      </c>
      <c r="I7" s="1" t="s">
        <v>65</v>
      </c>
      <c r="J7" s="1" t="s">
        <v>65</v>
      </c>
      <c r="K7" s="10">
        <v>9400012256</v>
      </c>
      <c r="L7" s="4">
        <f ca="1" t="shared" si="0"/>
        <v>2025</v>
      </c>
      <c r="M7" s="7">
        <f ca="1" t="shared" si="1"/>
        <v>45959.117952077439</v>
      </c>
      <c r="N7" s="6" t="e">
        <f>[1]Output!A7</f>
        <v>#REF!</v>
      </c>
      <c r="O7" s="1" t="s">
        <v>36</v>
      </c>
      <c r="P7" s="1" t="s">
        <v>36</v>
      </c>
      <c r="Q7" s="1" t="s">
        <v>17</v>
      </c>
      <c r="R7" s="5" t="s">
        <v>70</v>
      </c>
      <c r="S7" s="5" t="s">
        <v>54</v>
      </c>
      <c r="T7" s="4" t="e">
        <f t="shared" si="2"/>
        <v>#REF!</v>
      </c>
      <c r="U7" s="8" t="s">
        <v>9</v>
      </c>
      <c r="V7" s="1" t="s">
        <v>59</v>
      </c>
      <c r="W7" s="1" t="s">
        <v>77</v>
      </c>
      <c r="X7" s="1" t="s">
        <v>18</v>
      </c>
      <c r="Y7" s="1" t="s">
        <v>42</v>
      </c>
      <c r="Z7" s="1" t="s">
        <v>61</v>
      </c>
      <c r="AA7" s="1" t="s">
        <v>81</v>
      </c>
      <c r="AB7" s="1" t="s">
        <v>11</v>
      </c>
      <c r="AC7" s="1" t="s">
        <v>6</v>
      </c>
      <c r="AD7" s="1" t="s">
        <v>38</v>
      </c>
      <c r="AE7" s="1" t="s">
        <v>59</v>
      </c>
      <c r="AF7" s="1" t="s">
        <v>77</v>
      </c>
      <c r="AG7" s="1" t="s">
        <v>18</v>
      </c>
      <c r="AH7" s="1" t="s">
        <v>42</v>
      </c>
      <c r="AI7" s="1" t="s">
        <v>61</v>
      </c>
      <c r="AJ7" s="1" t="s">
        <v>81</v>
      </c>
      <c r="AK7" s="1" t="s">
        <v>21</v>
      </c>
      <c r="AL7" s="12" t="s">
        <v>38</v>
      </c>
    </row>
    <row r="8">
      <c r="A8" s="9">
        <v>7</v>
      </c>
      <c r="B8" s="9" t="s">
        <v>45</v>
      </c>
      <c r="C8" s="2" t="s">
        <v>68</v>
      </c>
      <c r="D8" s="2" t="s">
        <v>22</v>
      </c>
      <c r="E8" s="2" t="s">
        <v>28</v>
      </c>
      <c r="F8" s="2" t="s">
        <v>13</v>
      </c>
      <c r="G8" s="2" t="s">
        <v>57</v>
      </c>
      <c r="H8" s="1" t="s">
        <v>1</v>
      </c>
      <c r="I8" s="1" t="s">
        <v>65</v>
      </c>
      <c r="J8" s="1" t="s">
        <v>65</v>
      </c>
      <c r="K8" s="10">
        <v>9400921537</v>
      </c>
      <c r="L8" s="4">
        <f ca="1" t="shared" si="0"/>
        <v>2025</v>
      </c>
      <c r="M8" s="7">
        <f ca="1" t="shared" si="1"/>
        <v>45959.117952077439</v>
      </c>
      <c r="N8" s="6" t="e">
        <f>[1]Output!A8</f>
        <v>#REF!</v>
      </c>
      <c r="O8" s="1" t="s">
        <v>36</v>
      </c>
      <c r="P8" s="1" t="s">
        <v>36</v>
      </c>
      <c r="Q8" s="1" t="s">
        <v>17</v>
      </c>
      <c r="R8" s="5" t="s">
        <v>70</v>
      </c>
      <c r="S8" s="5" t="s">
        <v>54</v>
      </c>
      <c r="T8" s="4" t="e">
        <f t="shared" si="2"/>
        <v>#REF!</v>
      </c>
      <c r="U8" s="8" t="s">
        <v>9</v>
      </c>
      <c r="V8" s="1" t="s">
        <v>59</v>
      </c>
      <c r="W8" s="1" t="s">
        <v>77</v>
      </c>
      <c r="X8" s="1" t="s">
        <v>18</v>
      </c>
      <c r="Y8" s="1" t="s">
        <v>42</v>
      </c>
      <c r="Z8" s="1" t="s">
        <v>61</v>
      </c>
      <c r="AA8" s="1" t="s">
        <v>81</v>
      </c>
      <c r="AB8" s="1" t="s">
        <v>11</v>
      </c>
      <c r="AC8" s="1" t="s">
        <v>6</v>
      </c>
      <c r="AD8" s="1" t="s">
        <v>38</v>
      </c>
      <c r="AE8" s="1" t="s">
        <v>59</v>
      </c>
      <c r="AF8" s="1" t="s">
        <v>77</v>
      </c>
      <c r="AG8" s="1" t="s">
        <v>18</v>
      </c>
      <c r="AH8" s="1" t="s">
        <v>42</v>
      </c>
      <c r="AI8" s="1" t="s">
        <v>61</v>
      </c>
      <c r="AJ8" s="1" t="s">
        <v>81</v>
      </c>
      <c r="AK8" s="1" t="s">
        <v>21</v>
      </c>
      <c r="AL8" s="12" t="s">
        <v>38</v>
      </c>
    </row>
    <row r="9">
      <c r="A9" s="9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5" t="s">
        <v>70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2"/>
    </row>
    <row r="10">
      <c r="A10" s="9">
        <v>9</v>
      </c>
      <c r="B10" s="9" t="s">
        <v>78</v>
      </c>
      <c r="C10" s="2" t="s">
        <v>33</v>
      </c>
      <c r="D10" s="2" t="s">
        <v>22</v>
      </c>
      <c r="E10" s="2" t="s">
        <v>74</v>
      </c>
      <c r="F10" s="2" t="s">
        <v>39</v>
      </c>
      <c r="G10" s="2" t="s">
        <v>57</v>
      </c>
      <c r="H10" s="1" t="s">
        <v>1</v>
      </c>
      <c r="I10" s="1" t="s">
        <v>65</v>
      </c>
      <c r="J10" s="1" t="s">
        <v>65</v>
      </c>
      <c r="K10" s="10">
        <v>9400000103</v>
      </c>
      <c r="L10" s="4">
        <f ca="1" t="shared" si="3" ref="L10:L14">YEAR(NOW())</f>
        <v>2025</v>
      </c>
      <c r="M10" s="7">
        <f ca="1" t="shared" si="4" ref="M10:M14">NOW()</f>
        <v>45959.117952077439</v>
      </c>
      <c r="N10" s="6" t="s">
        <v>47</v>
      </c>
      <c r="O10" s="1" t="s">
        <v>36</v>
      </c>
      <c r="P10" s="1" t="s">
        <v>36</v>
      </c>
      <c r="Q10" s="1" t="s">
        <v>17</v>
      </c>
      <c r="R10" s="5" t="s">
        <v>70</v>
      </c>
      <c r="S10" s="5" t="s">
        <v>54</v>
      </c>
      <c r="T10" s="4" t="str">
        <f t="shared" si="5" ref="T10:T14">MID(N10,14,10)</f>
        <v>9400000118</v>
      </c>
      <c r="U10" s="8" t="s">
        <v>9</v>
      </c>
      <c r="V10" s="1" t="s">
        <v>59</v>
      </c>
      <c r="W10" s="1" t="s">
        <v>77</v>
      </c>
      <c r="X10" s="1" t="s">
        <v>18</v>
      </c>
      <c r="Y10" s="1" t="s">
        <v>42</v>
      </c>
      <c r="Z10" s="1" t="s">
        <v>61</v>
      </c>
      <c r="AA10" s="1" t="s">
        <v>81</v>
      </c>
      <c r="AB10" s="1" t="s">
        <v>11</v>
      </c>
      <c r="AC10" s="1" t="s">
        <v>6</v>
      </c>
      <c r="AD10" s="1" t="s">
        <v>38</v>
      </c>
      <c r="AE10" s="1" t="s">
        <v>59</v>
      </c>
      <c r="AF10" s="1" t="s">
        <v>77</v>
      </c>
      <c r="AG10" s="1" t="s">
        <v>18</v>
      </c>
      <c r="AH10" s="1" t="s">
        <v>42</v>
      </c>
      <c r="AI10" s="1" t="s">
        <v>61</v>
      </c>
      <c r="AJ10" s="1" t="s">
        <v>81</v>
      </c>
      <c r="AK10" s="1" t="s">
        <v>21</v>
      </c>
      <c r="AL10" s="12" t="s">
        <v>38</v>
      </c>
    </row>
    <row r="11">
      <c r="A11" s="9">
        <v>10</v>
      </c>
      <c r="B11" s="9" t="s">
        <v>78</v>
      </c>
      <c r="C11" s="2" t="s">
        <v>33</v>
      </c>
      <c r="D11" s="2" t="s">
        <v>22</v>
      </c>
      <c r="E11" s="2" t="s">
        <v>74</v>
      </c>
      <c r="F11" s="2" t="s">
        <v>39</v>
      </c>
      <c r="G11" s="2" t="s">
        <v>57</v>
      </c>
      <c r="H11" s="1" t="s">
        <v>1</v>
      </c>
      <c r="I11" s="1" t="s">
        <v>65</v>
      </c>
      <c r="J11" s="1" t="s">
        <v>65</v>
      </c>
      <c r="K11" s="10">
        <v>9400000104</v>
      </c>
      <c r="L11" s="4">
        <f ca="1" t="shared" si="3"/>
        <v>2025</v>
      </c>
      <c r="M11" s="7">
        <f ca="1" t="shared" si="4"/>
        <v>45959.117952077439</v>
      </c>
      <c r="N11" s="6" t="s">
        <v>53</v>
      </c>
      <c r="O11" s="1" t="s">
        <v>36</v>
      </c>
      <c r="P11" s="1" t="s">
        <v>36</v>
      </c>
      <c r="Q11" s="1" t="s">
        <v>17</v>
      </c>
      <c r="R11" s="5" t="s">
        <v>70</v>
      </c>
      <c r="S11" s="5" t="s">
        <v>54</v>
      </c>
      <c r="T11" s="4" t="str">
        <f t="shared" si="5"/>
        <v>9400000119</v>
      </c>
      <c r="U11" s="8" t="s">
        <v>9</v>
      </c>
      <c r="V11" s="1" t="s">
        <v>59</v>
      </c>
      <c r="W11" s="1" t="s">
        <v>77</v>
      </c>
      <c r="X11" s="1" t="s">
        <v>18</v>
      </c>
      <c r="Y11" s="1" t="s">
        <v>42</v>
      </c>
      <c r="Z11" s="1" t="s">
        <v>61</v>
      </c>
      <c r="AA11" s="1" t="s">
        <v>81</v>
      </c>
      <c r="AB11" s="1" t="s">
        <v>11</v>
      </c>
      <c r="AC11" s="1" t="s">
        <v>6</v>
      </c>
      <c r="AD11" s="1" t="s">
        <v>38</v>
      </c>
      <c r="AE11" s="1" t="s">
        <v>59</v>
      </c>
      <c r="AF11" s="1" t="s">
        <v>77</v>
      </c>
      <c r="AG11" s="1" t="s">
        <v>18</v>
      </c>
      <c r="AH11" s="1" t="s">
        <v>42</v>
      </c>
      <c r="AI11" s="1" t="s">
        <v>61</v>
      </c>
      <c r="AJ11" s="1" t="s">
        <v>81</v>
      </c>
      <c r="AK11" s="1" t="s">
        <v>21</v>
      </c>
      <c r="AL11" s="12" t="s">
        <v>38</v>
      </c>
    </row>
    <row r="12">
      <c r="A12" s="9">
        <v>11</v>
      </c>
      <c r="B12" s="9" t="s">
        <v>78</v>
      </c>
      <c r="C12" s="2" t="s">
        <v>33</v>
      </c>
      <c r="D12" s="2" t="s">
        <v>22</v>
      </c>
      <c r="E12" s="2" t="s">
        <v>74</v>
      </c>
      <c r="F12" s="2" t="s">
        <v>39</v>
      </c>
      <c r="G12" s="2" t="s">
        <v>57</v>
      </c>
      <c r="H12" s="1" t="s">
        <v>1</v>
      </c>
      <c r="I12" s="1" t="s">
        <v>65</v>
      </c>
      <c r="J12" s="1" t="s">
        <v>65</v>
      </c>
      <c r="K12" s="10">
        <v>9400000116</v>
      </c>
      <c r="L12" s="4">
        <f ca="1" t="shared" si="3"/>
        <v>2025</v>
      </c>
      <c r="M12" s="7">
        <f ca="1" t="shared" si="4"/>
        <v>45959.117952077439</v>
      </c>
      <c r="N12" s="6" t="s">
        <v>80</v>
      </c>
      <c r="O12" s="1" t="s">
        <v>36</v>
      </c>
      <c r="P12" s="1" t="s">
        <v>36</v>
      </c>
      <c r="Q12" s="1" t="s">
        <v>17</v>
      </c>
      <c r="R12" s="5" t="s">
        <v>70</v>
      </c>
      <c r="S12" s="5" t="s">
        <v>54</v>
      </c>
      <c r="T12" s="4" t="str">
        <f t="shared" si="5"/>
        <v>9400000120</v>
      </c>
      <c r="U12" s="8" t="s">
        <v>9</v>
      </c>
      <c r="V12" s="1" t="s">
        <v>59</v>
      </c>
      <c r="W12" s="1" t="s">
        <v>77</v>
      </c>
      <c r="X12" s="1" t="s">
        <v>18</v>
      </c>
      <c r="Y12" s="1" t="s">
        <v>42</v>
      </c>
      <c r="Z12" s="1" t="s">
        <v>61</v>
      </c>
      <c r="AA12" s="1" t="s">
        <v>81</v>
      </c>
      <c r="AB12" s="1" t="s">
        <v>11</v>
      </c>
      <c r="AC12" s="1" t="s">
        <v>6</v>
      </c>
      <c r="AD12" s="1" t="s">
        <v>38</v>
      </c>
      <c r="AE12" s="1" t="s">
        <v>59</v>
      </c>
      <c r="AF12" s="1" t="s">
        <v>77</v>
      </c>
      <c r="AG12" s="1" t="s">
        <v>18</v>
      </c>
      <c r="AH12" s="1" t="s">
        <v>42</v>
      </c>
      <c r="AI12" s="1" t="s">
        <v>61</v>
      </c>
      <c r="AJ12" s="1" t="s">
        <v>81</v>
      </c>
      <c r="AK12" s="1" t="s">
        <v>21</v>
      </c>
      <c r="AL12" s="12" t="s">
        <v>38</v>
      </c>
    </row>
    <row r="13">
      <c r="A13" s="9">
        <v>12</v>
      </c>
      <c r="B13" s="9" t="s">
        <v>78</v>
      </c>
      <c r="C13" s="2" t="s">
        <v>33</v>
      </c>
      <c r="D13" s="2" t="s">
        <v>22</v>
      </c>
      <c r="E13" s="2" t="s">
        <v>74</v>
      </c>
      <c r="F13" s="2" t="s">
        <v>39</v>
      </c>
      <c r="G13" s="2" t="s">
        <v>57</v>
      </c>
      <c r="H13" s="1" t="s">
        <v>1</v>
      </c>
      <c r="I13" s="1" t="s">
        <v>65</v>
      </c>
      <c r="J13" s="1" t="s">
        <v>65</v>
      </c>
      <c r="K13" s="10">
        <v>9400000117</v>
      </c>
      <c r="L13" s="4">
        <f ca="1" t="shared" si="3"/>
        <v>2025</v>
      </c>
      <c r="M13" s="7">
        <f ca="1" t="shared" si="4"/>
        <v>45959.117952077439</v>
      </c>
      <c r="N13" s="6" t="s">
        <v>3</v>
      </c>
      <c r="O13" s="1" t="s">
        <v>36</v>
      </c>
      <c r="P13" s="1" t="s">
        <v>36</v>
      </c>
      <c r="Q13" s="1" t="s">
        <v>17</v>
      </c>
      <c r="R13" s="5" t="s">
        <v>70</v>
      </c>
      <c r="S13" s="5" t="s">
        <v>54</v>
      </c>
      <c r="T13" s="4" t="str">
        <f t="shared" si="5"/>
        <v>9400000121</v>
      </c>
      <c r="U13" s="8" t="s">
        <v>9</v>
      </c>
      <c r="V13" s="1" t="s">
        <v>59</v>
      </c>
      <c r="W13" s="1" t="s">
        <v>77</v>
      </c>
      <c r="X13" s="1" t="s">
        <v>18</v>
      </c>
      <c r="Y13" s="1" t="s">
        <v>42</v>
      </c>
      <c r="Z13" s="1" t="s">
        <v>61</v>
      </c>
      <c r="AA13" s="1" t="s">
        <v>81</v>
      </c>
      <c r="AB13" s="1" t="s">
        <v>11</v>
      </c>
      <c r="AC13" s="1" t="s">
        <v>6</v>
      </c>
      <c r="AD13" s="1" t="s">
        <v>38</v>
      </c>
      <c r="AE13" s="1" t="s">
        <v>59</v>
      </c>
      <c r="AF13" s="1" t="s">
        <v>77</v>
      </c>
      <c r="AG13" s="1" t="s">
        <v>18</v>
      </c>
      <c r="AH13" s="1" t="s">
        <v>42</v>
      </c>
      <c r="AI13" s="1" t="s">
        <v>61</v>
      </c>
      <c r="AJ13" s="1" t="s">
        <v>81</v>
      </c>
      <c r="AK13" s="1" t="s">
        <v>21</v>
      </c>
      <c r="AL13" s="12" t="s">
        <v>38</v>
      </c>
    </row>
    <row r="14">
      <c r="A14" s="9">
        <v>13</v>
      </c>
      <c r="B14" s="9" t="s">
        <v>45</v>
      </c>
      <c r="C14" s="2" t="s">
        <v>33</v>
      </c>
      <c r="D14" s="2" t="s">
        <v>22</v>
      </c>
      <c r="E14" s="2" t="s">
        <v>74</v>
      </c>
      <c r="F14" s="2" t="s">
        <v>39</v>
      </c>
      <c r="G14" s="2" t="s">
        <v>57</v>
      </c>
      <c r="H14" s="1" t="s">
        <v>1</v>
      </c>
      <c r="I14" s="1" t="s">
        <v>65</v>
      </c>
      <c r="J14" s="1" t="s">
        <v>65</v>
      </c>
      <c r="K14" s="10">
        <v>9400000114</v>
      </c>
      <c r="L14" s="4">
        <f ca="1" t="shared" si="3"/>
        <v>2025</v>
      </c>
      <c r="M14" s="7">
        <f ca="1" t="shared" si="4"/>
        <v>45959.117952077439</v>
      </c>
      <c r="N14" s="6" t="s">
        <v>29</v>
      </c>
      <c r="O14" s="1" t="s">
        <v>36</v>
      </c>
      <c r="P14" s="1" t="s">
        <v>36</v>
      </c>
      <c r="Q14" s="1" t="s">
        <v>17</v>
      </c>
      <c r="R14" s="5" t="s">
        <v>70</v>
      </c>
      <c r="S14" s="5" t="s">
        <v>54</v>
      </c>
      <c r="T14" s="4" t="str">
        <f t="shared" si="5"/>
        <v>9400000115</v>
      </c>
      <c r="U14" s="8" t="s">
        <v>9</v>
      </c>
      <c r="V14" s="1" t="s">
        <v>59</v>
      </c>
      <c r="W14" s="1" t="s">
        <v>77</v>
      </c>
      <c r="X14" s="1" t="s">
        <v>18</v>
      </c>
      <c r="Y14" s="1" t="s">
        <v>42</v>
      </c>
      <c r="Z14" s="1" t="s">
        <v>61</v>
      </c>
      <c r="AA14" s="1" t="s">
        <v>81</v>
      </c>
      <c r="AB14" s="1" t="s">
        <v>11</v>
      </c>
      <c r="AC14" s="1" t="s">
        <v>6</v>
      </c>
      <c r="AD14" s="1" t="s">
        <v>38</v>
      </c>
      <c r="AE14" s="1" t="s">
        <v>59</v>
      </c>
      <c r="AF14" s="1" t="s">
        <v>77</v>
      </c>
      <c r="AG14" s="1" t="s">
        <v>18</v>
      </c>
      <c r="AH14" s="1" t="s">
        <v>42</v>
      </c>
      <c r="AI14" s="1" t="s">
        <v>61</v>
      </c>
      <c r="AJ14" s="1" t="s">
        <v>81</v>
      </c>
      <c r="AK14" s="1" t="s">
        <v>21</v>
      </c>
      <c r="AL14" s="12" t="s">
        <v>38</v>
      </c>
    </row>
    <row r="15">
      <c r="A15" s="9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5" t="s">
        <v>70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2"/>
    </row>
    <row r="16">
      <c r="A16" s="9">
        <v>15</v>
      </c>
      <c r="B16" s="13" t="s">
        <v>52</v>
      </c>
      <c r="C16" s="2" t="s">
        <v>27</v>
      </c>
      <c r="D16" s="2" t="s">
        <v>22</v>
      </c>
      <c r="E16" s="2" t="s">
        <v>28</v>
      </c>
      <c r="F16" s="2" t="s">
        <v>14</v>
      </c>
      <c r="G16" s="2" t="s">
        <v>57</v>
      </c>
      <c r="H16" s="1" t="s">
        <v>1</v>
      </c>
      <c r="I16" s="1" t="s">
        <v>65</v>
      </c>
      <c r="J16" s="1" t="s">
        <v>65</v>
      </c>
      <c r="K16" s="10">
        <v>9400020220</v>
      </c>
      <c r="L16" s="4">
        <f ca="1" t="shared" si="6" ref="L16:L17">YEAR(NOW())</f>
        <v>2025</v>
      </c>
      <c r="M16" s="7">
        <f ca="1" t="shared" si="7" ref="M16:M17">NOW()</f>
        <v>45959.117952077439</v>
      </c>
      <c r="N16" s="6" t="s">
        <v>40</v>
      </c>
      <c r="O16" s="1" t="s">
        <v>36</v>
      </c>
      <c r="P16" s="1" t="s">
        <v>36</v>
      </c>
      <c r="Q16" s="1" t="s">
        <v>17</v>
      </c>
      <c r="R16" s="5" t="s">
        <v>70</v>
      </c>
      <c r="S16" s="5" t="s">
        <v>54</v>
      </c>
      <c r="T16" s="4" t="str">
        <f t="shared" si="8" ref="T16:T17">MID(N16,14,10)</f>
        <v>9400020221</v>
      </c>
      <c r="U16" s="8" t="s">
        <v>9</v>
      </c>
      <c r="V16" s="1" t="s">
        <v>59</v>
      </c>
      <c r="W16" s="1" t="s">
        <v>77</v>
      </c>
      <c r="X16" s="1" t="s">
        <v>18</v>
      </c>
      <c r="Y16" s="1" t="s">
        <v>42</v>
      </c>
      <c r="Z16" s="1" t="s">
        <v>61</v>
      </c>
      <c r="AA16" s="1" t="s">
        <v>81</v>
      </c>
      <c r="AB16" s="1" t="s">
        <v>11</v>
      </c>
      <c r="AC16" s="1" t="s">
        <v>6</v>
      </c>
      <c r="AD16" s="1" t="s">
        <v>38</v>
      </c>
      <c r="AE16" s="1" t="s">
        <v>59</v>
      </c>
      <c r="AF16" s="1" t="s">
        <v>77</v>
      </c>
      <c r="AG16" s="1" t="s">
        <v>18</v>
      </c>
      <c r="AH16" s="1" t="s">
        <v>42</v>
      </c>
      <c r="AI16" s="1" t="s">
        <v>61</v>
      </c>
      <c r="AJ16" s="1" t="s">
        <v>81</v>
      </c>
      <c r="AK16" s="1" t="s">
        <v>21</v>
      </c>
      <c r="AL16" s="12" t="s">
        <v>38</v>
      </c>
    </row>
    <row r="17">
      <c r="A17" s="9">
        <v>16</v>
      </c>
      <c r="B17" s="13" t="s">
        <v>64</v>
      </c>
      <c r="C17" s="2" t="s">
        <v>46</v>
      </c>
      <c r="D17" s="2" t="s">
        <v>22</v>
      </c>
      <c r="E17" s="2" t="s">
        <v>28</v>
      </c>
      <c r="F17" s="2" t="s">
        <v>14</v>
      </c>
      <c r="G17" s="2" t="s">
        <v>57</v>
      </c>
      <c r="H17" s="1" t="s">
        <v>1</v>
      </c>
      <c r="I17" s="1" t="s">
        <v>65</v>
      </c>
      <c r="J17" s="1" t="s">
        <v>65</v>
      </c>
      <c r="K17" s="10">
        <v>9400020761</v>
      </c>
      <c r="L17" s="4">
        <f ca="1" t="shared" si="6"/>
        <v>2025</v>
      </c>
      <c r="M17" s="7">
        <f ca="1" t="shared" si="7"/>
        <v>45959.117952077439</v>
      </c>
      <c r="N17" s="6" t="s">
        <v>4</v>
      </c>
      <c r="O17" s="1" t="s">
        <v>36</v>
      </c>
      <c r="P17" s="1" t="s">
        <v>36</v>
      </c>
      <c r="Q17" s="1" t="s">
        <v>17</v>
      </c>
      <c r="R17" s="5" t="s">
        <v>70</v>
      </c>
      <c r="S17" s="5" t="s">
        <v>54</v>
      </c>
      <c r="T17" s="4" t="str">
        <f t="shared" si="8"/>
        <v>9400020762</v>
      </c>
      <c r="U17" s="8" t="s">
        <v>9</v>
      </c>
      <c r="V17" s="1" t="s">
        <v>59</v>
      </c>
      <c r="W17" s="1" t="s">
        <v>77</v>
      </c>
      <c r="X17" s="1" t="s">
        <v>18</v>
      </c>
      <c r="Y17" s="1" t="s">
        <v>42</v>
      </c>
      <c r="Z17" s="1" t="s">
        <v>61</v>
      </c>
      <c r="AA17" s="1" t="s">
        <v>81</v>
      </c>
      <c r="AB17" s="1" t="s">
        <v>11</v>
      </c>
      <c r="AC17" s="1" t="s">
        <v>6</v>
      </c>
      <c r="AD17" s="1" t="s">
        <v>38</v>
      </c>
      <c r="AE17" s="1" t="s">
        <v>59</v>
      </c>
      <c r="AF17" s="1" t="s">
        <v>77</v>
      </c>
      <c r="AG17" s="1" t="s">
        <v>18</v>
      </c>
      <c r="AH17" s="1" t="s">
        <v>42</v>
      </c>
      <c r="AI17" s="1" t="s">
        <v>61</v>
      </c>
      <c r="AJ17" s="1" t="s">
        <v>81</v>
      </c>
      <c r="AK17" s="1" t="s">
        <v>21</v>
      </c>
      <c r="AL17" s="12" t="s">
        <v>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B8"/>
  <sheetViews>
    <sheetView workbookViewId="0">
      <selection activeCell="A2" sqref="A2"/>
    </sheetView>
  </sheetViews>
  <sheetFormatPr defaultColWidth="9.125" defaultRowHeight="14.25"/>
  <cols>
    <col min="1" max="16384" width="9.125" style="11" customWidth="1"/>
  </cols>
  <sheetData>
    <row r="1" ht="12.75" customHeight="1" customFormat="1">
      <c r="A1" t="s">
        <v>72</v>
      </c>
      <c r="B1" t="s">
        <v>25</v>
      </c>
    </row>
    <row r="2">
      <c r="A2" s="1"/>
      <c r="B2" s="12"/>
    </row>
    <row r="3">
      <c r="A3" s="1"/>
      <c r="B3" s="12"/>
    </row>
    <row r="4">
      <c r="A4" s="1" t="s">
        <v>49</v>
      </c>
      <c r="B4" s="12">
        <v>3800696864</v>
      </c>
    </row>
    <row r="5">
      <c r="A5" s="1" t="s">
        <v>50</v>
      </c>
      <c r="B5" s="12">
        <v>3800718886</v>
      </c>
    </row>
    <row r="6">
      <c r="A6" s="1" t="s">
        <v>32</v>
      </c>
      <c r="B6" s="12">
        <v>3173211663</v>
      </c>
    </row>
    <row r="7">
      <c r="A7" s="1"/>
      <c r="B7" s="12"/>
    </row>
    <row r="8">
      <c r="A8" s="1" t="s">
        <v>12</v>
      </c>
      <c r="B8" s="12">
        <v>3729169263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