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PRE_02LIV04_004" sheetId="4" r:id="rId4"/>
    <sheet name="TC2_Test_02LIV04_004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<sst xmlns="http://schemas.openxmlformats.org/spreadsheetml/2006/main" uniqueCount="91">
  <si>
    <t>Scripting</t>
  </si>
  <si>
    <t/>
  </si>
  <si>
    <t>DT_SAPTRANSACTIONCODE</t>
  </si>
  <si>
    <t>14,38</t>
  </si>
  <si>
    <t>DT_MIRO_0010_AMOUNT</t>
  </si>
  <si>
    <t>DT_MIRO_6005_DETAILS</t>
  </si>
  <si>
    <t>DT_MIRO_0150_DOC_TYPE_OCC2</t>
  </si>
  <si>
    <t>DT_EXPECTEDVALUE_OCC3</t>
  </si>
  <si>
    <t>DT_MIRO_0010_REFERENCE</t>
  </si>
  <si>
    <t>DT_TRANSFER</t>
  </si>
  <si>
    <t>DT_MIRO_100_CHECK_TEXT_OF_TABLECELL_FLD_CONT_3</t>
  </si>
  <si>
    <t>DT_EXPECTEDTRANSACTIONCODE_OCC4</t>
  </si>
  <si>
    <t>DT_MIRO_120_OKCD</t>
  </si>
  <si>
    <t>/nexit</t>
  </si>
  <si>
    <t>DT_MIRO_120_GETTEXT_OF_PU_NBR_OUTPUT</t>
  </si>
  <si>
    <t>Scenario</t>
  </si>
  <si>
    <t>DT_MIRO_0010_AMOUNT_RAW</t>
  </si>
  <si>
    <t>DT_MIRO_6310_CHECK_TEXT_OF_TABLECELL_AMOUNT_3</t>
  </si>
  <si>
    <t>%blank%</t>
  </si>
  <si>
    <t>OFF</t>
  </si>
  <si>
    <t>DT_GET_BALANCE_OUTPUT</t>
  </si>
  <si>
    <t>9,75-</t>
  </si>
  <si>
    <t>200</t>
  </si>
  <si>
    <t>GR02</t>
  </si>
  <si>
    <t>ON</t>
  </si>
  <si>
    <t>1,08</t>
  </si>
  <si>
    <t>DT_EXPECTEDVALUE</t>
  </si>
  <si>
    <t>SESSION_MANAGER</t>
  </si>
  <si>
    <t>DT_IDOC_OUTPUT</t>
  </si>
  <si>
    <t>DT_SAPSYSTEM</t>
  </si>
  <si>
    <t>AUTOAB</t>
  </si>
  <si>
    <t>DN5102829078</t>
  </si>
  <si>
    <t>0,00</t>
  </si>
  <si>
    <t>DT_SAPLANGUAGE</t>
  </si>
  <si>
    <t>DT_SAPOPTIONS</t>
  </si>
  <si>
    <t>S</t>
  </si>
  <si>
    <t>WE09</t>
  </si>
  <si>
    <t>DT_EXPECTEDTRANSACTIONCODE_OCC5</t>
  </si>
  <si>
    <t>324-4</t>
  </si>
  <si>
    <t>DT_MIRO_6310_CHECK_TEXT_OF_TABLECELL_AMOUNT_0</t>
  </si>
  <si>
    <t>DT_MIRO_200_GETCELLVALUE_OF_GRIDCELL_0_DOCNR</t>
  </si>
  <si>
    <t>DT_MIRO_6000_OKCD_OCC2</t>
  </si>
  <si>
    <t>DT_MIRO_1000_TEST_MODE_OCC2</t>
  </si>
  <si>
    <t>DT_MIRO_120_GETTEXT_OF_PU_NBR</t>
  </si>
  <si>
    <t>DT_MIRO_6000_INV_NUMBER_OUTPUT</t>
  </si>
  <si>
    <t>3_1_13 LIV Local Vendor DC and DSD Invoice Dry Goods PLUS</t>
  </si>
  <si>
    <t>1,52</t>
  </si>
  <si>
    <t>6,9</t>
  </si>
  <si>
    <t>DT_MIRO_120_CHECK_TEXT_OF_DOCUMENT_PU40000039_WAS_POSTED_IN_COMPANY_CODE_GR04</t>
  </si>
  <si>
    <t>Row_Number</t>
  </si>
  <si>
    <t>DT_MIRO_0010_INVOICE_DATE</t>
  </si>
  <si>
    <t>DT_MIRO_6310_CHECK_TEXT_OF_TABLECELL_PURCHASE_ORDER_0</t>
  </si>
  <si>
    <t>Posted, can be posted</t>
  </si>
  <si>
    <t>DT_MIRO_100_CREATED_BY_OCC2</t>
  </si>
  <si>
    <t>EN</t>
  </si>
  <si>
    <t>MIRO</t>
  </si>
  <si>
    <t>DT_MIRO_6212_RM08MLFSNR</t>
  </si>
  <si>
    <t>DT_MIRO_6000_TRANSACTION_OCC2</t>
  </si>
  <si>
    <t>DT_EXPECTEDTRANSACTIONCODE_OCC2</t>
  </si>
  <si>
    <t>DT_EXPECTEDTRANSACTIONCODE_OCC6</t>
  </si>
  <si>
    <t>DT_EXPECTEDTRANSACTIONCODE</t>
  </si>
  <si>
    <t>DT_MIRO_6310_CHECK_TEXT_OF_TABLECELL_AMOUNT_1</t>
  </si>
  <si>
    <t>MIR4</t>
  </si>
  <si>
    <t>DT_MIRO_1000_FOR_VALUE</t>
  </si>
  <si>
    <t>5423cb59b48d2a9e4424f26ff62c36b9f9791d93519beaa8</t>
  </si>
  <si>
    <t>DT_MIRO_1000_COMPANY_CODE</t>
  </si>
  <si>
    <t>true</t>
  </si>
  <si>
    <t>RG</t>
  </si>
  <si>
    <t>DT_MIRO_6000_CHECK_TEXT_OF_TRANSACTION</t>
  </si>
  <si>
    <t>DT_EXPECTEDVALUE_OCC2</t>
  </si>
  <si>
    <t>J1GP01</t>
  </si>
  <si>
    <t>R1E - SAP RETAIL Pre-Production EUROPE</t>
  </si>
  <si>
    <t>DT_SAPPASSWORD</t>
  </si>
  <si>
    <t>DT_MIRO_6000_INV_NUMBER</t>
  </si>
  <si>
    <t>/ZMDIV_MIRO</t>
  </si>
  <si>
    <t>DT_MIRO_1000_DOCUMENT_OCC2</t>
  </si>
  <si>
    <t>DT_MIRO_200_GETCELLVALUE_DOCNR_OUTPUT</t>
  </si>
  <si>
    <t>DT_SAPUSER</t>
  </si>
  <si>
    <t>DT_MIRO_0010_CALCULATE_TAX_OCC2</t>
  </si>
  <si>
    <t>5100252097</t>
  </si>
  <si>
    <t>2</t>
  </si>
  <si>
    <t>DT_Get_Balance_Amount</t>
  </si>
  <si>
    <t>DT_EXPECTEDTRANSACTIONCODE_OCC3</t>
  </si>
  <si>
    <t>DT_MIRO_100_OKCD</t>
  </si>
  <si>
    <t>DT_SAPCLIENT</t>
  </si>
  <si>
    <t>231-4</t>
  </si>
  <si>
    <t>DT_MIRO_6310_CHECK_TEXT_OF_TABLECELL_AMOUNT_2</t>
  </si>
  <si>
    <t>DT_Set_Balance_Amount</t>
  </si>
  <si>
    <t>DT_MIRO_6000_OKCD</t>
  </si>
  <si>
    <t>DT_MIRO_100_VARIANT</t>
  </si>
  <si>
    <t>PU70006557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</si>
</sst>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0" fillId="0" borderId="0" xfId="0" applyBorder="1" applyProtection="1">
      <protection locked="0"/>
    </xf>
    <xf numFmtId="164" fontId="1" fillId="7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2" fillId="7" borderId="1" xfId="0" applyFont="1" applyFill="1" applyBorder="1" applyProtection="1">
      <protection locked="0"/>
    </xf>
    <xf numFmtId="49" fontId="1" fillId="8" borderId="1" xfId="0" applyNumberFormat="1" applyFill="1" applyBorder="1" applyProtection="1">
      <protection locked="0"/>
    </xf>
    <xf numFmtId="0" fontId="4" fillId="2" borderId="1" xfId="0" applyFont="1" applyFill="1" applyBorder="1" applyAlignment="1" applyProtection="1">
      <alignment wrapText="1"/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04_004_Credit_Note_Triangular_Dry_Goods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Y8"/>
  <sheetViews>
    <sheetView workbookViewId="0">
      <pane xSplit="1" ySplit="0" topLeftCell="V2" activePane="topRight"/>
      <selection activeCell="V2" sqref="V2"/>
      <selection pane="topRight" activeCell="V2" sqref="V2"/>
    </sheetView>
  </sheetViews>
  <sheetFormatPr defaultColWidth="9.125" defaultRowHeight="14.25"/>
  <cols>
    <col min="1" max="1" width="12.5" style="11" customWidth="1"/>
    <col min="2" max="2" width="55.125" style="11" customWidth="1"/>
    <col min="3" max="3" width="38.125" style="11" customWidth="1"/>
    <col min="4" max="4" width="15" style="11" customWidth="1"/>
    <col min="5" max="5" width="13.625" style="11" customWidth="1"/>
    <col min="6" max="6" width="48.5" style="11" customWidth="1"/>
    <col min="7" max="7" width="18.625" style="11" customWidth="1"/>
    <col min="8" max="8" width="16.75" style="11" customWidth="1"/>
    <col min="9" max="9" width="27.125" style="11" customWidth="1"/>
    <col min="10" max="10" width="33.375" style="11" customWidth="1"/>
    <col min="11" max="11" width="30.875" style="11" customWidth="1"/>
    <col min="12" max="12" width="29" style="11" customWidth="1"/>
    <col min="13" max="13" width="26.875" style="11" customWidth="1"/>
    <col min="14" max="14" width="29.25" style="11" customWidth="1"/>
    <col min="15" max="15" width="23.75" style="11" customWidth="1"/>
    <col min="16" max="17" width="36.75" style="11" customWidth="1"/>
    <col min="18" max="18" width="27.875" style="11" customWidth="1"/>
    <col min="19" max="19" width="63.625" style="11" customWidth="1"/>
    <col min="20" max="28" width="53.625" style="11" customWidth="1"/>
    <col min="29" max="29" width="45.5" style="11" customWidth="1"/>
    <col min="30" max="30" width="20.75" style="11" customWidth="1"/>
    <col min="31" max="31" width="41.625" style="11" customWidth="1"/>
    <col min="32" max="32" width="39.25" style="11" customWidth="1"/>
    <col min="33" max="33" width="20.5" style="11" customWidth="1"/>
    <col min="34" max="34" width="39.25" style="11" customWidth="1"/>
    <col min="35" max="35" width="32.75" style="11" customWidth="1"/>
    <col min="36" max="36" width="47.875" style="11" customWidth="1"/>
    <col min="37" max="37" width="27.375" style="11" customWidth="1"/>
    <col min="38" max="38" width="26.625" style="11" customWidth="1"/>
    <col min="39" max="39" width="54.25" style="11" customWidth="1"/>
    <col min="40" max="40" width="19.5" style="11" customWidth="1"/>
    <col min="41" max="41" width="39.25" style="11" customWidth="1"/>
    <col min="42" max="42" width="57.25" style="11" customWidth="1"/>
    <col min="43" max="43" width="26.375" style="11" customWidth="1"/>
    <col min="44" max="44" width="39.25" style="11" customWidth="1"/>
    <col min="45" max="45" width="32" style="11" customWidth="1"/>
    <col min="46" max="46" width="32.75" style="11" customWidth="1"/>
    <col min="47" max="47" width="26.625" style="11" customWidth="1"/>
    <col min="48" max="48" width="40.875" style="11" customWidth="1"/>
    <col min="49" max="49" width="92.5" style="11" customWidth="1"/>
    <col min="50" max="50" width="19.5" style="11" customWidth="1"/>
    <col min="51" max="51" width="39.25" style="11" customWidth="1"/>
    <col min="52" max="16384" width="9.125" style="11" customWidth="1"/>
  </cols>
  <sheetData>
    <row r="1" ht="12.75" customHeight="1" customFormat="1">
      <c r="A1" t="s">
        <v>49</v>
      </c>
      <c r="B1" t="s">
        <v>15</v>
      </c>
      <c r="C1" t="s">
        <v>29</v>
      </c>
      <c r="D1" t="s">
        <v>84</v>
      </c>
      <c r="E1" t="s">
        <v>77</v>
      </c>
      <c r="F1" t="s">
        <v>72</v>
      </c>
      <c r="G1" t="s">
        <v>33</v>
      </c>
      <c r="H1" t="s">
        <v>34</v>
      </c>
      <c r="I1" t="s">
        <v>2</v>
      </c>
      <c r="J1" t="s">
        <v>60</v>
      </c>
      <c r="K1" t="s">
        <v>65</v>
      </c>
      <c r="L1" t="s">
        <v>50</v>
      </c>
      <c r="M1" t="s">
        <v>8</v>
      </c>
      <c r="N1" t="s">
        <v>16</v>
      </c>
      <c r="O1" t="s">
        <v>4</v>
      </c>
      <c r="P1" t="s">
        <v>78</v>
      </c>
      <c r="Q1" t="s">
        <v>9</v>
      </c>
      <c r="R1" t="s">
        <v>56</v>
      </c>
      <c r="S1" t="s">
        <v>51</v>
      </c>
      <c r="T1" t="s">
        <v>39</v>
      </c>
      <c r="U1" t="s">
        <v>61</v>
      </c>
      <c r="V1" t="s">
        <v>86</v>
      </c>
      <c r="W1" t="s">
        <v>17</v>
      </c>
      <c r="X1" t="s">
        <v>57</v>
      </c>
      <c r="Y1" t="s">
        <v>5</v>
      </c>
      <c r="Z1" t="s">
        <v>6</v>
      </c>
      <c r="AA1" t="s">
        <v>81</v>
      </c>
      <c r="AB1" t="s">
        <v>87</v>
      </c>
      <c r="AC1" t="s">
        <v>68</v>
      </c>
      <c r="AD1" t="s">
        <v>26</v>
      </c>
      <c r="AE1" t="s">
        <v>73</v>
      </c>
      <c r="AF1" t="s">
        <v>58</v>
      </c>
      <c r="AG1" t="s">
        <v>88</v>
      </c>
      <c r="AH1" t="s">
        <v>82</v>
      </c>
      <c r="AI1" t="s">
        <v>53</v>
      </c>
      <c r="AJ1" t="s">
        <v>89</v>
      </c>
      <c r="AK1" t="s">
        <v>63</v>
      </c>
      <c r="AL1" t="s">
        <v>69</v>
      </c>
      <c r="AM1" t="s">
        <v>10</v>
      </c>
      <c r="AN1" t="s">
        <v>83</v>
      </c>
      <c r="AO1" t="s">
        <v>11</v>
      </c>
      <c r="AP1" t="s">
        <v>40</v>
      </c>
      <c r="AQ1" t="s">
        <v>41</v>
      </c>
      <c r="AR1" t="s">
        <v>37</v>
      </c>
      <c r="AS1" t="s">
        <v>75</v>
      </c>
      <c r="AT1" t="s">
        <v>42</v>
      </c>
      <c r="AU1" t="s">
        <v>7</v>
      </c>
      <c r="AV1" t="s">
        <v>43</v>
      </c>
      <c r="AW1" t="s">
        <v>48</v>
      </c>
      <c r="AX1" t="s">
        <v>12</v>
      </c>
      <c r="AY1" t="s">
        <v>59</v>
      </c>
    </row>
    <row r="2">
      <c r="A2" s="6">
        <v>2</v>
      </c>
      <c r="B2" s="6" t="s">
        <v>0</v>
      </c>
      <c r="C2" s="4" t="s">
        <v>71</v>
      </c>
      <c r="D2" s="4" t="s">
        <v>22</v>
      </c>
      <c r="E2" s="4" t="s">
        <v>30</v>
      </c>
      <c r="F2" s="4" t="s">
        <v>64</v>
      </c>
      <c r="G2" s="4" t="s">
        <v>54</v>
      </c>
      <c r="H2" s="1" t="s">
        <v>1</v>
      </c>
      <c r="I2" s="1" t="s">
        <v>55</v>
      </c>
      <c r="J2" s="1" t="s">
        <v>55</v>
      </c>
      <c r="K2" s="2" t="s">
        <v>23</v>
      </c>
      <c r="L2" s="10">
        <f ca="1">TODAY()</f>
        <v>45959</v>
      </c>
      <c r="M2" s="2" t="s">
        <v>38</v>
      </c>
      <c r="N2" s="2">
        <v>328.78000000000003</v>
      </c>
      <c r="O2" s="2" t="str">
        <f>SUBSTITUTE(N2,".",",")</f>
        <v>328,78</v>
      </c>
      <c r="P2" s="2" t="s">
        <v>66</v>
      </c>
      <c r="Q2" s="2"/>
      <c r="R2" s="2" t="s">
        <v>85</v>
      </c>
      <c r="S2" s="5">
        <v>5100002058</v>
      </c>
      <c r="T2" s="3">
        <v>76.209999999999994</v>
      </c>
      <c r="U2" s="3">
        <v>122.64</v>
      </c>
      <c r="V2" s="3">
        <v>26.400000000000002</v>
      </c>
      <c r="W2" s="3">
        <v>66.420000000000002</v>
      </c>
      <c r="X2" s="3">
        <v>2</v>
      </c>
      <c r="Y2" s="2" t="s">
        <v>80</v>
      </c>
      <c r="Z2" s="2" t="s">
        <v>67</v>
      </c>
      <c r="AA2" s="2"/>
      <c r="AB2" s="2" t="str">
        <f>MID(AA2,1,5)</f>
        <v/>
      </c>
      <c r="AC2" s="5" t="s">
        <v>52</v>
      </c>
      <c r="AD2" s="1" t="s">
        <v>35</v>
      </c>
      <c r="AE2" s="7" t="e">
        <f>[1]Output!C2</f>
        <v>#REF!</v>
      </c>
      <c r="AF2" s="1" t="s">
        <v>62</v>
      </c>
      <c r="AG2" s="1" t="s">
        <v>36</v>
      </c>
      <c r="AH2" s="1" t="s">
        <v>36</v>
      </c>
      <c r="AI2" s="1" t="s">
        <v>18</v>
      </c>
      <c r="AJ2" s="2" t="s">
        <v>74</v>
      </c>
      <c r="AK2" s="13" t="e">
        <f>AE2</f>
        <v>#REF!</v>
      </c>
      <c r="AL2" s="1" t="s">
        <v>35</v>
      </c>
      <c r="AM2" s="5">
        <f>S2</f>
        <v>5100002058</v>
      </c>
      <c r="AN2" s="1" t="s">
        <v>62</v>
      </c>
      <c r="AO2" s="1" t="s">
        <v>62</v>
      </c>
      <c r="AP2" s="7" t="e">
        <f>[1]Output!E2</f>
        <v>#REF!</v>
      </c>
      <c r="AQ2" s="1" t="s">
        <v>70</v>
      </c>
      <c r="AR2" s="1" t="s">
        <v>70</v>
      </c>
      <c r="AS2" s="8" t="e">
        <f>AP2</f>
        <v>#REF!</v>
      </c>
      <c r="AT2" s="1" t="s">
        <v>19</v>
      </c>
      <c r="AU2" s="1" t="s">
        <v>35</v>
      </c>
      <c r="AV2" s="7" t="e">
        <f>[1]Output!F2</f>
        <v>#REF!</v>
      </c>
      <c r="AW2" s="5" t="e">
        <f>CONCATENATE("Document ",AV2," was posted in company code ",K2)</f>
        <v>#REF!</v>
      </c>
      <c r="AX2" s="1" t="s">
        <v>13</v>
      </c>
      <c r="AY2" s="12" t="s">
        <v>27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2"/>
    </row>
    <row r="4">
      <c r="A4" s="6">
        <v>4</v>
      </c>
      <c r="B4" s="6" t="s">
        <v>45</v>
      </c>
      <c r="C4" s="4" t="s">
        <v>71</v>
      </c>
      <c r="D4" s="4" t="s">
        <v>22</v>
      </c>
      <c r="E4" s="4" t="s">
        <v>30</v>
      </c>
      <c r="F4" s="4" t="s">
        <v>64</v>
      </c>
      <c r="G4" s="4" t="s">
        <v>54</v>
      </c>
      <c r="H4" s="1" t="s">
        <v>1</v>
      </c>
      <c r="I4" s="1" t="s">
        <v>55</v>
      </c>
      <c r="J4" s="1" t="s">
        <v>55</v>
      </c>
      <c r="K4" s="2" t="s">
        <v>23</v>
      </c>
      <c r="L4" s="10">
        <f ca="1">TODAY()</f>
        <v>45959</v>
      </c>
      <c r="M4" s="8" t="str">
        <f>CONCATENATE("IR",R4)</f>
        <v>IRDN5102829078</v>
      </c>
      <c r="N4" s="2" t="s">
        <v>3</v>
      </c>
      <c r="O4" s="2" t="str">
        <f>SUBSTITUTE(N4,".",",")</f>
        <v>14,38</v>
      </c>
      <c r="P4" s="2" t="s">
        <v>24</v>
      </c>
      <c r="Q4" s="14" t="s">
        <v>79</v>
      </c>
      <c r="R4" s="15" t="s">
        <v>31</v>
      </c>
      <c r="S4" s="5" t="str">
        <f>RIGHT(R4,10)</f>
        <v>5102829078</v>
      </c>
      <c r="T4" s="3">
        <v>1</v>
      </c>
      <c r="U4" s="3" t="s">
        <v>46</v>
      </c>
      <c r="V4" s="3" t="s">
        <v>25</v>
      </c>
      <c r="W4" s="3" t="s">
        <v>47</v>
      </c>
      <c r="X4" s="3">
        <v>2</v>
      </c>
      <c r="Y4" s="2" t="s">
        <v>80</v>
      </c>
      <c r="Z4" s="2" t="s">
        <v>67</v>
      </c>
      <c r="AA4" s="2" t="e">
        <f>[1]Output!B4</f>
        <v>#REF!</v>
      </c>
      <c r="AB4" s="2" t="e">
        <f>MID(AA4,1,5)</f>
        <v>#REF!</v>
      </c>
      <c r="AC4" s="5" t="s">
        <v>52</v>
      </c>
      <c r="AD4" s="1" t="s">
        <v>35</v>
      </c>
      <c r="AE4" s="7" t="e">
        <f>[1]Output!C4</f>
        <v>#REF!</v>
      </c>
      <c r="AF4" s="1" t="s">
        <v>62</v>
      </c>
      <c r="AG4" s="1" t="s">
        <v>36</v>
      </c>
      <c r="AH4" s="1" t="s">
        <v>36</v>
      </c>
      <c r="AI4" s="1" t="s">
        <v>18</v>
      </c>
      <c r="AJ4" s="2" t="s">
        <v>74</v>
      </c>
      <c r="AK4" s="13" t="e">
        <f>AE4</f>
        <v>#REF!</v>
      </c>
      <c r="AL4" s="1" t="s">
        <v>35</v>
      </c>
      <c r="AM4" s="5" t="str">
        <f>S4</f>
        <v>5102829078</v>
      </c>
      <c r="AN4" s="1" t="s">
        <v>62</v>
      </c>
      <c r="AO4" s="1" t="s">
        <v>62</v>
      </c>
      <c r="AP4" s="7" t="e">
        <f>[1]Output!E4</f>
        <v>#REF!</v>
      </c>
      <c r="AQ4" s="1" t="s">
        <v>70</v>
      </c>
      <c r="AR4" s="1" t="s">
        <v>70</v>
      </c>
      <c r="AS4" s="8" t="e">
        <f>AP4</f>
        <v>#REF!</v>
      </c>
      <c r="AT4" s="1" t="s">
        <v>19</v>
      </c>
      <c r="AU4" s="1" t="s">
        <v>35</v>
      </c>
      <c r="AV4" s="7" t="e">
        <f>[1]Output!F4</f>
        <v>#REF!</v>
      </c>
      <c r="AW4" s="5" t="e">
        <f>CONCATENATE("Document ",AV4," was posted in company code ",K4)</f>
        <v>#REF!</v>
      </c>
      <c r="AX4" s="1" t="s">
        <v>13</v>
      </c>
      <c r="AY4" s="12" t="s">
        <v>27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>
        <v>11.6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2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2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">
        <v>1.52</v>
      </c>
      <c r="V7" s="3">
        <v>1.0800000000000001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2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2">
        <v>14.380000000000001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selection activeCell="A2" sqref="A2"/>
    </sheetView>
  </sheetViews>
  <sheetFormatPr defaultColWidth="9.125" defaultRowHeight="14.25"/>
  <cols>
    <col min="1" max="1" width="12.375" style="11" bestFit="1" customWidth="1"/>
    <col min="2" max="2" width="27" style="11" bestFit="1" customWidth="1"/>
    <col min="3" max="3" width="36.875" style="11" bestFit="1" customWidth="1"/>
    <col min="4" max="4" width="18" style="11" bestFit="1" customWidth="1"/>
    <col min="5" max="5" width="46.5" style="11" bestFit="1" customWidth="1"/>
    <col min="6" max="6" width="44.875" style="11" bestFit="1" customWidth="1"/>
    <col min="7" max="16384" width="9.125" style="11" customWidth="1"/>
  </cols>
  <sheetData>
    <row r="1" ht="12.75" customHeight="1" customFormat="1">
      <c r="A1" t="s">
        <v>49</v>
      </c>
      <c r="B1" t="s">
        <v>20</v>
      </c>
      <c r="C1" t="s">
        <v>44</v>
      </c>
      <c r="D1" t="s">
        <v>28</v>
      </c>
      <c r="E1" t="s">
        <v>76</v>
      </c>
      <c r="F1" t="s">
        <v>14</v>
      </c>
    </row>
    <row r="2">
      <c r="A2" s="6">
        <v>2</v>
      </c>
      <c r="B2" s="1" t="s">
        <v>32</v>
      </c>
      <c r="C2" s="1"/>
      <c r="D2" s="1"/>
      <c r="E2" s="1"/>
      <c r="F2" s="12"/>
    </row>
    <row r="3">
      <c r="A3" s="1"/>
      <c r="B3" s="1"/>
      <c r="C3" s="1"/>
      <c r="D3" s="1"/>
      <c r="E3" s="1"/>
      <c r="F3" s="12"/>
    </row>
    <row r="4">
      <c r="A4" s="6">
        <v>4</v>
      </c>
      <c r="B4" s="1" t="s">
        <v>21</v>
      </c>
      <c r="C4" s="1">
        <v>6056579511</v>
      </c>
      <c r="D4" s="1">
        <v>3730249673</v>
      </c>
      <c r="E4" s="1">
        <v>5170006557</v>
      </c>
      <c r="F4" s="12" t="s">
        <v>90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9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