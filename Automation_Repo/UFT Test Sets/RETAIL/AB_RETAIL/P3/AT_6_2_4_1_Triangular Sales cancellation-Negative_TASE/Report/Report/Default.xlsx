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Creation" sheetId="2" r:id="rId2"/>
    <sheet name="DT1_DataTransfer_OneValue" sheetId="3" r:id="rId3"/>
    <sheet name="DT2_DataTransfer_OneValue" sheetId="4" r:id="rId4"/>
    <sheet name="TC1_Test_06TS01_001" sheetId="5" r:id="rId5"/>
    <sheet name="TC2_Test_06TS_001_ Manual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<sst xmlns="http://schemas.openxmlformats.org/spreadsheetml/2006/main" uniqueCount="177">
  <si>
    <t>54abbf64761ae81fba4ee84f9e6106f803499f48f4d090e9</t>
  </si>
  <si>
    <t/>
  </si>
  <si>
    <t>DT_SAPTRANSACTIONCODE</t>
  </si>
  <si>
    <t>GP01</t>
  </si>
  <si>
    <t>11</t>
  </si>
  <si>
    <t>G252</t>
  </si>
  <si>
    <t>DT_ME21N_0014_CHECK_MESSAGEPARAMETER_OF_STATUSBAR</t>
  </si>
  <si>
    <t>A01</t>
  </si>
  <si>
    <t>DT_EXPECTEDVALUE_OCC3</t>
  </si>
  <si>
    <t>DT_ME21N_1100_ACT_GDS_MVMNT_DATE</t>
  </si>
  <si>
    <t>DT_EXPECTEDVALUE_OCC7</t>
  </si>
  <si>
    <t>DT_ME21N_0750_CHECK_GETCELLVALUE_OF_GRIDCELL_2_KTONR</t>
  </si>
  <si>
    <t>DT_ME21N_1211_TABLECELL_ARTICLE_1</t>
  </si>
  <si>
    <t>GW32</t>
  </si>
  <si>
    <t>G249</t>
  </si>
  <si>
    <t>DT_ME21N_0500_CHECK_GETCELLVALUE_OF_GRIDCELL_0_LIFNR</t>
  </si>
  <si>
    <t>DT_ME21N_0500_CHECK_GETCELLVALUE_OF_GRIDCELL_0_STATUS</t>
  </si>
  <si>
    <t>DT_ME21N_0100_OKCD</t>
  </si>
  <si>
    <t>DT_ME21N_0104_CHECK_TEXT_OF_TABLECELL_ARTICLE_0</t>
  </si>
  <si>
    <t>MB03</t>
  </si>
  <si>
    <t>DT_ME21N_0750_CHECK_GETCELLVALUE_OF_GRIDCELL_0_KTONR_OCC1</t>
  </si>
  <si>
    <t>DT_ME21N_0500_GETCELLVALUE_OF_GRIDCELL_VBELN_OUTPUT</t>
  </si>
  <si>
    <t>Verifications Date</t>
  </si>
  <si>
    <t>Data Coming from another test</t>
  </si>
  <si>
    <t>DT_ME21N_1211_TABLECELL_SITE_0</t>
  </si>
  <si>
    <t>DT_ME21N_0014_CHECK_TEXT_OF_STATUSBAR</t>
  </si>
  <si>
    <t>DT_ME21N_0001_OKCD</t>
  </si>
  <si>
    <t>DT_ME21N_0500_CHECK_GETCELLVALUE_OF_GRIDCELL_0_AUART</t>
  </si>
  <si>
    <t>DT_EXPECTEDTRANSACTIONCODE_OCC4</t>
  </si>
  <si>
    <t>1 successful and 0 incorrect goods movements</t>
  </si>
  <si>
    <t>DT_EXPECTEDTRANSACTIONCODE_OCC8</t>
  </si>
  <si>
    <t>DT_ME21N_0750_CHECK_TEXT_OF_REFERENCE</t>
  </si>
  <si>
    <t>AT_6_1_1_1 Create for TP Sales (ZTRS)</t>
  </si>
  <si>
    <t>AT_6_2_4_1  Triangular Sales cancellation-Negative</t>
  </si>
  <si>
    <t>Output Data</t>
  </si>
  <si>
    <t>7130850</t>
  </si>
  <si>
    <t>DT_ME21N_0014_OKCD</t>
  </si>
  <si>
    <t>%blank%</t>
  </si>
  <si>
    <t>DT_ME21N_1000_POSTING_DATE_FROM</t>
  </si>
  <si>
    <t>DT_ME21N_0102_TABLECELL_DOCUMENT_0</t>
  </si>
  <si>
    <t>DT_ME21N_0102_CHECK_MESSAGEPARAMETER_OF_STATUSBAR</t>
  </si>
  <si>
    <t>200</t>
  </si>
  <si>
    <t>DT_EXPECTEDVALUE</t>
  </si>
  <si>
    <t>GR02</t>
  </si>
  <si>
    <t>MIGO</t>
  </si>
  <si>
    <t>DT_ME21N_0010_GODEFAULT_TVBWART</t>
  </si>
  <si>
    <t>DT_ME21N_2000_GODYNPROPO_NUMBER</t>
  </si>
  <si>
    <t>DT_ME21N_1000_POSTING_DATE_TO</t>
  </si>
  <si>
    <t>ZTRS</t>
  </si>
  <si>
    <t>ON</t>
  </si>
  <si>
    <t>DT_ME21N_0102_ORDER</t>
  </si>
  <si>
    <t>DT_EXPECTEDVALUE_OCC4</t>
  </si>
  <si>
    <t>DT_ME21N_0100_CREATED_BY</t>
  </si>
  <si>
    <t>DT_ME21N_0600_GRIDCELL_3_VARIANT_NAME</t>
  </si>
  <si>
    <t>DT_ME21N_1000_SHIPPING_PT_RECEIVING_PT</t>
  </si>
  <si>
    <t>DT_ME21N_0120_NO_NAME</t>
  </si>
  <si>
    <t>DT_EXPECTEDVALUE_OCC8</t>
  </si>
  <si>
    <t>DT_ME21N_0102_CHECK_MESSAGEPARAMETER_OF_STATUSBAR_OUTPUT</t>
  </si>
  <si>
    <t>DT_SAPSYSTEM</t>
  </si>
  <si>
    <t>AUTOAB</t>
  </si>
  <si>
    <t>7077817</t>
  </si>
  <si>
    <t>DT_ME21N_0001_CHECK_TEXT_OF_STATUSBAR</t>
  </si>
  <si>
    <t>DT_ME21N_0500_CHECK_TEXT_OF_STATUSBAR</t>
  </si>
  <si>
    <t>DT_ME21N_0500_OKCD</t>
  </si>
  <si>
    <t>DT_ME21N_0120_OKCD</t>
  </si>
  <si>
    <t>DT_ME21N_0104_CHECK_TEXT_OF_TABLECELL_ARTICLE_1</t>
  </si>
  <si>
    <t>/nva03</t>
  </si>
  <si>
    <t>DT_ME21N_0100_TREE_SAPTABLETREECONTROL1</t>
  </si>
  <si>
    <t>Input Data</t>
  </si>
  <si>
    <t>DT_SAPLANGUAGE</t>
  </si>
  <si>
    <t>DT_SAPOPTIONS</t>
  </si>
  <si>
    <t>DT_ME21N_1211_TABLECELL_SITE_1</t>
  </si>
  <si>
    <t>S</t>
  </si>
  <si>
    <t>DT_EXPECTEDTRANSACTIONCODE_OCC1</t>
  </si>
  <si>
    <t>DT_ME21N_0200_CHECK_TEXT_OF_TABLECELL_MOVEMENT_TYPE_0</t>
  </si>
  <si>
    <t>AB_TRIANGULAR</t>
  </si>
  <si>
    <t>@08@</t>
  </si>
  <si>
    <t>DT_EXPECTEDTRANSACTIONCODE_OCC5</t>
  </si>
  <si>
    <t>=Output!G4</t>
  </si>
  <si>
    <t>DT_ME21N_0750_CHECK_GETCELLVALUE_OF_GRIDCELL_1_KTONR</t>
  </si>
  <si>
    <t>11004628</t>
  </si>
  <si>
    <t>SCENARIO</t>
  </si>
  <si>
    <t>DT_ME21N_1211_TABLECELL_PO_QUANTITY_0</t>
  </si>
  <si>
    <t>DT_ME21N_0200_CHECK_TEXT_OF_TABLECELL_ARTICLE_0</t>
  </si>
  <si>
    <t>ZMDSO_TRIANG_SO</t>
  </si>
  <si>
    <t>DT_ME21N_4900_CHECK_TEXT_OF_TABLECELL_ARTICLE_0</t>
  </si>
  <si>
    <t>DT_ME21N_4301_CHECK_TEXT_OF_ORDER_TYPE</t>
  </si>
  <si>
    <t>DT_EXPECTEDTRANSACTIONCODE_OCC9</t>
  </si>
  <si>
    <t>DT_ME21N_0100_TREE_SAPTABLETREECONTROL1_OUTPUT</t>
  </si>
  <si>
    <t>Formulas Date</t>
  </si>
  <si>
    <t>Verifications</t>
  </si>
  <si>
    <t>Execution Control Data</t>
  </si>
  <si>
    <t>DT_EXPECTEDVALUE_OCC1</t>
  </si>
  <si>
    <t>DT_ME21N_0010_GODYNPROREFDOC</t>
  </si>
  <si>
    <t>DT_ME21N_0500_CHECK_GETCELLVALUE_OF_GRIDCELL_0_MBLNR</t>
  </si>
  <si>
    <t>DT_EXPECTEDVALUE_OCC5</t>
  </si>
  <si>
    <t>/nVF01</t>
  </si>
  <si>
    <t>DT_ME21N_0102_CHECK_TEXT_OF_STATUSBAR</t>
  </si>
  <si>
    <t>DT_EXPECTEDTRANSACTIONCODE_OCC10</t>
  </si>
  <si>
    <t>DT_ARTICLE_DOC_NUM_OUTPUT</t>
  </si>
  <si>
    <t>DT_ROW_NO_PO_OUTPUT</t>
  </si>
  <si>
    <t>AT_6_2_3_5 Manual cancellation</t>
  </si>
  <si>
    <t>10001095</t>
  </si>
  <si>
    <t>R01</t>
  </si>
  <si>
    <t>DT_ME21N_1000_DISPLAY_EXISTING_SO</t>
  </si>
  <si>
    <t>DT_ME21N_0102_ORDER_OCC1</t>
  </si>
  <si>
    <t>DT_ME21N_0200_GRIDCELL_0_DOC_NUMBER</t>
  </si>
  <si>
    <t>FB03</t>
  </si>
  <si>
    <t>EN</t>
  </si>
  <si>
    <t>ZR</t>
  </si>
  <si>
    <t>DT_EXPECTEDTRANSACTIONCODE_OCC2</t>
  </si>
  <si>
    <t>DT_ME21N_0600_GRIDCELL_0_VARIANT_NAME</t>
  </si>
  <si>
    <t>DT_ME21N_0500_CHECK_GETCELLVALUE_OF_GRIDCELL_0_XBLNR</t>
  </si>
  <si>
    <t>DT_ME21N_4701_CHECK_TEXT_OF_SOLDTO_PARTY</t>
  </si>
  <si>
    <t>VL06O</t>
  </si>
  <si>
    <t>DT_ME21N_1000_DELIVERY</t>
  </si>
  <si>
    <t>DT_EXPECTEDTRANSACTIONCODE_OCC6</t>
  </si>
  <si>
    <t>DT_VARIANT_USER</t>
  </si>
  <si>
    <t>Formulas General</t>
  </si>
  <si>
    <t>DT_EXPECTEDTRANSACTIONCODE</t>
  </si>
  <si>
    <t>DT_ME21N_1211_TABLECELL_PO_QUANTITY_1</t>
  </si>
  <si>
    <t>DT_ME21N_0200_CHECK_TEXT_OF_TABLECELL_ARTICLE_1</t>
  </si>
  <si>
    <t>DT_ME21N_1000_ACTION</t>
  </si>
  <si>
    <t>AB_TriangularReturns</t>
  </si>
  <si>
    <t>DT_ME21N_0500_CHECK_GETCELLVALUE_OF_GRIDCELL_0_VBELN</t>
  </si>
  <si>
    <t>DT_ME21N_4021_CHECK_TEXT_OF_PO_NUMBER</t>
  </si>
  <si>
    <t>DT_ME21N_4900_CHECK_TEXT_OF_TABLECELL_ARTICLE_1</t>
  </si>
  <si>
    <t>DT_ME21N_4351_CHECK_TEXT_OF_PO_NUMBER</t>
  </si>
  <si>
    <t>11210011</t>
  </si>
  <si>
    <t>Test</t>
  </si>
  <si>
    <t>ME21N</t>
  </si>
  <si>
    <t>DT_ME21N_1221_PURCH_ORG</t>
  </si>
  <si>
    <t>DT_ME21N_1211_TABLECELL_ARTICLE_0</t>
  </si>
  <si>
    <t>10</t>
  </si>
  <si>
    <t>GW20</t>
  </si>
  <si>
    <t>G226</t>
  </si>
  <si>
    <t>DT_EXPECTEDVALUE_OCC2</t>
  </si>
  <si>
    <t>DT_ME21N_0001_CHECK_MESSAGEPARAMETER_OF_STATUSBAR</t>
  </si>
  <si>
    <t>DT_ME21N_0600_GRIDCELL_3_VARIANT_NAME_OCC1</t>
  </si>
  <si>
    <t>true</t>
  </si>
  <si>
    <t>DT_EXPECTEDVALUE_OCC6</t>
  </si>
  <si>
    <t>DT_ME21N_0120_CHECK_TEXT_OF_STATUSBAR</t>
  </si>
  <si>
    <t>DT_ME21N_0102_OKCD</t>
  </si>
  <si>
    <t>Fixed Data</t>
  </si>
  <si>
    <t>R1E - SAP RETAIL Pre-Production EUROPE</t>
  </si>
  <si>
    <t>DT_SAPPASSWORD</t>
  </si>
  <si>
    <t>ZABT</t>
  </si>
  <si>
    <t>E</t>
  </si>
  <si>
    <t>DT_ME21N_1105_VENDOR</t>
  </si>
  <si>
    <t>G04</t>
  </si>
  <si>
    <t>7077822</t>
  </si>
  <si>
    <t>919</t>
  </si>
  <si>
    <t>DT_ME21N_0110_DELIVERY_NOTE</t>
  </si>
  <si>
    <t>DT_ME21N_1000_ARTICLE_DOCUMENT</t>
  </si>
  <si>
    <t>DT_ME21N_1000_ARTICLE_DOC_YEAR</t>
  </si>
  <si>
    <t>DT_ME21N_0750_CHECK_GETCELLVALUE_OF_GRIDCELL_0_KTONR</t>
  </si>
  <si>
    <t>DT_EXPECTEDTRANSACTIONCODE_OCC11</t>
  </si>
  <si>
    <t>ROW</t>
  </si>
  <si>
    <t>Login Information</t>
  </si>
  <si>
    <t>DT_SAPUSER</t>
  </si>
  <si>
    <t>DT_ME21N_1221_COMPANY_CODE</t>
  </si>
  <si>
    <t>DT_ME21N_0111_TABLECELL_FUNCT_0</t>
  </si>
  <si>
    <t>DT_ME21N_0111_TABLECELL_NUMBER_0</t>
  </si>
  <si>
    <t>DT_EXPECTEDTRANSACTIONCODE_OCC3</t>
  </si>
  <si>
    <t>DT_ME21N_4351_CHECK_TEXT_OF_COLLECTIVE_NO</t>
  </si>
  <si>
    <t>DT_ME21N_0100_CHECK_TEXT_OF_TREE_SAPTABLETREECONTROL1</t>
  </si>
  <si>
    <t>DT_EXPECTEDTRANSACTIONCODE_OCC7</t>
  </si>
  <si>
    <t>DT_ME21N_0750_CHECK_GETCELLVALUE_OF_GRIDCELL_1_KTONR_OCC1</t>
  </si>
  <si>
    <t>DT_SAPCLIENT</t>
  </si>
  <si>
    <t>DT_ME21N_1105_MEPO_TOPLINEBSART</t>
  </si>
  <si>
    <t>DT_ME21N_1221_PURCH_GROUP</t>
  </si>
  <si>
    <t>DT_ME21N_0010_GODYNPROACTION</t>
  </si>
  <si>
    <t>DT_ME21N_1000_TEST_MODE</t>
  </si>
  <si>
    <t>VA03</t>
  </si>
  <si>
    <t>VF01</t>
  </si>
  <si>
    <t>11210023</t>
  </si>
  <si>
    <t>DT_PO_NUM_OUTPUT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</si>
</sst>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165" fontId="1" fillId="5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5" borderId="1" xfId="0" applyFont="1" applyFill="1" applyBorder="1" applyProtection="1">
      <protection locked="0"/>
    </xf>
    <xf numFmtId="164" fontId="1" fillId="5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3" borderId="1" xfId="0" quotePrefix="1" applyNumberForma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9" borderId="1" xfId="0" applyNumberForma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10" borderId="1" xfId="0" applyFont="1" applyFill="1" applyBorder="1" applyProtection="1">
      <protection locked="0"/>
    </xf>
    <xf numFmtId="0" fontId="1" fillId="0" borderId="1" xfId="0" applyBorder="1" applyAlignment="1" applyProtection="1">
      <alignment wrapText="1"/>
      <protection locked="0"/>
    </xf>
    <xf numFmtId="164" fontId="1" fillId="5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6TS01_001_Create_for_TP_Sales_ZTR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G22"/>
  <sheetViews>
    <sheetView workbookViewId="0">
      <pane xSplit="1" ySplit="0" topLeftCell="I2" activePane="topRight"/>
      <selection activeCell="I2" sqref="I2"/>
      <selection pane="topRight" activeCell="I2" sqref="I2"/>
    </sheetView>
  </sheetViews>
  <sheetFormatPr defaultColWidth="9.125" defaultRowHeight="14.25"/>
  <cols>
    <col min="1" max="1" width="9.125" style="14" customWidth="1"/>
    <col min="2" max="2" width="44.375" style="14" customWidth="1"/>
    <col min="3" max="3" width="38.125" style="14" customWidth="1"/>
    <col min="4" max="4" width="15" style="14" customWidth="1"/>
    <col min="5" max="5" width="13.625" style="14" customWidth="1"/>
    <col min="6" max="6" width="49" style="14" customWidth="1"/>
    <col min="7" max="7" width="18.625" style="14" customWidth="1"/>
    <col min="8" max="8" width="16.75" style="14" customWidth="1"/>
    <col min="9" max="9" width="27.125" style="14" customWidth="1"/>
    <col min="10" max="10" width="33.375" style="14" customWidth="1"/>
    <col min="11" max="11" width="37.5" style="14" customWidth="1"/>
    <col min="12" max="12" width="20.75" style="14" customWidth="1"/>
    <col min="13" max="13" width="24.75" style="14" customWidth="1"/>
    <col min="14" max="14" width="28.5" style="14" customWidth="1"/>
    <col min="15" max="15" width="31.125" style="14" customWidth="1"/>
    <col min="16" max="16" width="32.25" style="14" customWidth="1"/>
    <col min="17" max="18" width="38.125" style="14" customWidth="1"/>
    <col min="19" max="20" width="43.5" style="14" customWidth="1"/>
    <col min="21" max="22" width="34.5" style="14" customWidth="1"/>
    <col min="23" max="23" width="36.625" style="14" customWidth="1"/>
    <col min="24" max="24" width="38.375" style="14" customWidth="1"/>
    <col min="25" max="25" width="26.625" style="14" customWidth="1"/>
    <col min="26" max="26" width="60.875" style="14" customWidth="1"/>
    <col min="27" max="27" width="53.25" style="14" customWidth="1"/>
    <col min="28" max="28" width="21.875" style="14" customWidth="1"/>
    <col min="29" max="29" width="39.25" style="14" customWidth="1"/>
    <col min="30" max="30" width="34.5" style="14" customWidth="1"/>
    <col min="31" max="31" width="35.25" style="14" customWidth="1"/>
    <col min="32" max="32" width="38.5" style="14" customWidth="1"/>
    <col min="33" max="33" width="39.25" style="14" customWidth="1"/>
    <col min="34" max="34" width="32.25" style="14" customWidth="1"/>
    <col min="35" max="36" width="54.75" style="14" customWidth="1"/>
    <col min="37" max="37" width="63.625" style="14" customWidth="1"/>
    <col min="38" max="38" width="26.625" style="14" customWidth="1"/>
    <col min="39" max="39" width="60.875" style="14" customWidth="1"/>
    <col min="40" max="40" width="44.875" style="14" customWidth="1"/>
    <col min="41" max="41" width="21.875" style="14" customWidth="1"/>
    <col min="42" max="42" width="74.75" style="14" customWidth="1"/>
    <col min="43" max="43" width="43.5" style="14" customWidth="1"/>
    <col min="44" max="44" width="23.75" style="14" customWidth="1"/>
    <col min="45" max="45" width="36.375" style="14" customWidth="1"/>
    <col min="46" max="46" width="35.75" style="14" customWidth="1"/>
    <col min="47" max="48" width="38.375" style="14" customWidth="1"/>
    <col min="49" max="49" width="63.75" style="14" customWidth="1"/>
    <col min="50" max="50" width="61.25" style="14" customWidth="1"/>
    <col min="51" max="51" width="61.625" style="14" customWidth="1"/>
    <col min="52" max="52" width="60.5" style="14" customWidth="1"/>
    <col min="53" max="53" width="26.625" style="14" customWidth="1"/>
    <col min="54" max="54" width="44.875" style="14" customWidth="1"/>
    <col min="55" max="55" width="62.75" style="14" customWidth="1"/>
    <col min="56" max="56" width="28.25" style="14" customWidth="1"/>
    <col min="57" max="57" width="37.875" style="14" customWidth="1"/>
    <col min="58" max="58" width="61.25" style="14" customWidth="1"/>
    <col min="59" max="59" width="21.875" style="14" customWidth="1"/>
    <col min="60" max="60" width="39.25" style="14" customWidth="1"/>
    <col min="61" max="61" width="23.5" style="14" customWidth="1"/>
    <col min="62" max="63" width="26.625" style="14" customWidth="1"/>
    <col min="64" max="64" width="45.125" style="14" customWidth="1"/>
    <col min="65" max="65" width="48.375" style="14" customWidth="1"/>
    <col min="66" max="67" width="54.75" style="14" customWidth="1"/>
    <col min="68" max="68" width="46.125" style="14" customWidth="1"/>
    <col min="69" max="69" width="45.125" style="14" customWidth="1"/>
    <col min="70" max="70" width="48.5" style="14" customWidth="1"/>
    <col min="71" max="71" width="64.375" style="14" customWidth="1"/>
    <col min="72" max="72" width="21.875" style="14" customWidth="1"/>
    <col min="73" max="73" width="39.25" style="14" customWidth="1"/>
    <col min="74" max="74" width="29.25" style="14" customWidth="1"/>
    <col min="75" max="75" width="43.5" style="14" customWidth="1"/>
    <col min="76" max="77" width="49.375" style="14" customWidth="1"/>
    <col min="78" max="78" width="29" style="14" customWidth="1"/>
    <col min="79" max="79" width="26.25" style="14" customWidth="1"/>
    <col min="80" max="80" width="39.5" style="14" customWidth="1"/>
    <col min="81" max="81" width="26.625" style="14" customWidth="1"/>
    <col min="82" max="82" width="44.875" style="14" customWidth="1"/>
    <col min="83" max="83" width="21.875" style="14" customWidth="1"/>
    <col min="84" max="84" width="39.25" style="14" customWidth="1"/>
    <col min="85" max="85" width="41" style="14" customWidth="1"/>
    <col min="86" max="87" width="54.75" style="14" customWidth="1"/>
    <col min="88" max="88" width="26.625" style="14" customWidth="1"/>
    <col min="89" max="89" width="60.875" style="14" customWidth="1"/>
    <col min="90" max="90" width="44.875" style="14" customWidth="1"/>
    <col min="91" max="91" width="21.875" style="14" customWidth="1"/>
    <col min="92" max="92" width="39.25" style="14" customWidth="1"/>
    <col min="93" max="93" width="29.375" style="14" customWidth="1"/>
    <col min="94" max="94" width="26.625" style="14" customWidth="1"/>
    <col min="95" max="95" width="39.25" style="14" customWidth="1"/>
    <col min="96" max="96" width="42" style="14" customWidth="1"/>
    <col min="97" max="97" width="39.25" style="14" customWidth="1"/>
    <col min="98" max="99" width="61.625" style="14" customWidth="1"/>
    <col min="100" max="100" width="44.875" style="14" customWidth="1"/>
    <col min="101" max="101" width="39.25" style="14" customWidth="1"/>
    <col min="102" max="103" width="40.25" style="14" customWidth="1"/>
    <col min="104" max="105" width="67.5" style="14" customWidth="1"/>
    <col min="106" max="106" width="61.625" style="14" customWidth="1"/>
    <col min="107" max="108" width="19.125" style="14" customWidth="1"/>
    <col min="109" max="16384" width="9.125" style="14" customWidth="1"/>
  </cols>
  <sheetData>
    <row r="1" ht="12.75" customHeight="1" customFormat="1">
      <c r="A1" t="s">
        <v>157</v>
      </c>
      <c r="B1" t="s">
        <v>81</v>
      </c>
      <c r="C1" t="s">
        <v>58</v>
      </c>
      <c r="D1" t="s">
        <v>168</v>
      </c>
      <c r="E1" t="s">
        <v>159</v>
      </c>
      <c r="F1" t="s">
        <v>145</v>
      </c>
      <c r="G1" t="s">
        <v>69</v>
      </c>
      <c r="H1" t="s">
        <v>70</v>
      </c>
      <c r="I1" t="s">
        <v>2</v>
      </c>
      <c r="J1" t="s">
        <v>119</v>
      </c>
      <c r="K1" t="s">
        <v>169</v>
      </c>
      <c r="L1" t="s">
        <v>42</v>
      </c>
      <c r="M1" t="s">
        <v>148</v>
      </c>
      <c r="N1" t="s">
        <v>131</v>
      </c>
      <c r="O1" t="s">
        <v>170</v>
      </c>
      <c r="P1" t="s">
        <v>160</v>
      </c>
      <c r="Q1" t="s">
        <v>132</v>
      </c>
      <c r="R1" t="s">
        <v>12</v>
      </c>
      <c r="S1" t="s">
        <v>82</v>
      </c>
      <c r="T1" t="s">
        <v>120</v>
      </c>
      <c r="U1" t="s">
        <v>24</v>
      </c>
      <c r="V1" t="s">
        <v>71</v>
      </c>
      <c r="W1" t="s">
        <v>161</v>
      </c>
      <c r="X1" t="s">
        <v>162</v>
      </c>
      <c r="Y1" t="s">
        <v>92</v>
      </c>
      <c r="Z1" t="s">
        <v>6</v>
      </c>
      <c r="AA1" t="s">
        <v>25</v>
      </c>
      <c r="AB1" t="s">
        <v>36</v>
      </c>
      <c r="AC1" t="s">
        <v>73</v>
      </c>
      <c r="AD1" t="s">
        <v>171</v>
      </c>
      <c r="AE1" t="s">
        <v>93</v>
      </c>
      <c r="AF1" t="s">
        <v>45</v>
      </c>
      <c r="AG1" t="s">
        <v>46</v>
      </c>
      <c r="AH1" t="s">
        <v>152</v>
      </c>
      <c r="AI1" t="s">
        <v>83</v>
      </c>
      <c r="AJ1" t="s">
        <v>121</v>
      </c>
      <c r="AK1" t="s">
        <v>74</v>
      </c>
      <c r="AL1" t="s">
        <v>136</v>
      </c>
      <c r="AM1" t="s">
        <v>137</v>
      </c>
      <c r="AN1" t="s">
        <v>61</v>
      </c>
      <c r="AO1" t="s">
        <v>26</v>
      </c>
      <c r="AP1" t="s">
        <v>110</v>
      </c>
      <c r="AQ1" t="s">
        <v>111</v>
      </c>
      <c r="AR1" t="s">
        <v>122</v>
      </c>
      <c r="AS1" t="s">
        <v>153</v>
      </c>
      <c r="AT1" t="s">
        <v>154</v>
      </c>
      <c r="AU1" t="s">
        <v>38</v>
      </c>
      <c r="AV1" t="s">
        <v>47</v>
      </c>
      <c r="AW1" t="s">
        <v>94</v>
      </c>
      <c r="AX1" t="s">
        <v>112</v>
      </c>
      <c r="AY1" t="s">
        <v>27</v>
      </c>
      <c r="AZ1" t="s">
        <v>15</v>
      </c>
      <c r="BA1" t="s">
        <v>8</v>
      </c>
      <c r="BB1" t="s">
        <v>62</v>
      </c>
      <c r="BC1" t="s">
        <v>16</v>
      </c>
      <c r="BD1" t="s">
        <v>172</v>
      </c>
      <c r="BE1" t="s">
        <v>104</v>
      </c>
      <c r="BF1" t="s">
        <v>124</v>
      </c>
      <c r="BG1" t="s">
        <v>63</v>
      </c>
      <c r="BH1" t="s">
        <v>163</v>
      </c>
      <c r="BI1" t="s">
        <v>50</v>
      </c>
      <c r="BJ1" t="s">
        <v>51</v>
      </c>
      <c r="BK1" t="s">
        <v>95</v>
      </c>
      <c r="BL1" t="s">
        <v>125</v>
      </c>
      <c r="BM1" t="s">
        <v>113</v>
      </c>
      <c r="BN1" t="s">
        <v>85</v>
      </c>
      <c r="BO1" t="s">
        <v>126</v>
      </c>
      <c r="BP1" t="s">
        <v>86</v>
      </c>
      <c r="BQ1" t="s">
        <v>127</v>
      </c>
      <c r="BR1" t="s">
        <v>164</v>
      </c>
      <c r="BS1" t="s">
        <v>165</v>
      </c>
      <c r="BT1" t="s">
        <v>17</v>
      </c>
      <c r="BU1" t="s">
        <v>28</v>
      </c>
      <c r="BV1" t="s">
        <v>52</v>
      </c>
      <c r="BW1" t="s">
        <v>53</v>
      </c>
      <c r="BX1" t="s">
        <v>138</v>
      </c>
      <c r="BY1" t="s">
        <v>54</v>
      </c>
      <c r="BZ1" t="s">
        <v>115</v>
      </c>
      <c r="CA1" t="s">
        <v>55</v>
      </c>
      <c r="CB1" t="s">
        <v>9</v>
      </c>
      <c r="CC1" t="s">
        <v>140</v>
      </c>
      <c r="CD1" t="s">
        <v>141</v>
      </c>
      <c r="CE1" t="s">
        <v>64</v>
      </c>
      <c r="CF1" t="s">
        <v>77</v>
      </c>
      <c r="CG1" t="s">
        <v>39</v>
      </c>
      <c r="CH1" t="s">
        <v>18</v>
      </c>
      <c r="CI1" t="s">
        <v>65</v>
      </c>
      <c r="CJ1" t="s">
        <v>10</v>
      </c>
      <c r="CK1" t="s">
        <v>40</v>
      </c>
      <c r="CL1" t="s">
        <v>97</v>
      </c>
      <c r="CM1" t="s">
        <v>142</v>
      </c>
      <c r="CN1" t="s">
        <v>116</v>
      </c>
      <c r="CO1" t="s">
        <v>105</v>
      </c>
      <c r="CP1" t="s">
        <v>56</v>
      </c>
      <c r="CQ1" t="s">
        <v>166</v>
      </c>
      <c r="CR1" t="s">
        <v>106</v>
      </c>
      <c r="CS1" t="s">
        <v>30</v>
      </c>
      <c r="CT1" t="s">
        <v>155</v>
      </c>
      <c r="CU1" t="s">
        <v>79</v>
      </c>
      <c r="CV1" t="s">
        <v>31</v>
      </c>
      <c r="CW1" t="s">
        <v>87</v>
      </c>
      <c r="CX1" t="s">
        <v>98</v>
      </c>
      <c r="CY1" t="s">
        <v>156</v>
      </c>
      <c r="CZ1" t="s">
        <v>20</v>
      </c>
      <c r="DA1" t="s">
        <v>167</v>
      </c>
      <c r="DB1" t="s">
        <v>11</v>
      </c>
      <c r="DC1" t="s">
        <v>117</v>
      </c>
      <c r="DD1" t="s">
        <v>67</v>
      </c>
      <c r="DE1" t="s">
        <v>21</v>
      </c>
      <c r="DF1" t="s">
        <v>88</v>
      </c>
      <c r="DG1" t="s">
        <v>57</v>
      </c>
    </row>
    <row r="2">
      <c r="A2" s="1">
        <v>2</v>
      </c>
      <c r="B2" s="1" t="s">
        <v>129</v>
      </c>
      <c r="C2" s="4" t="s">
        <v>144</v>
      </c>
      <c r="D2" s="4" t="s">
        <v>41</v>
      </c>
      <c r="E2" s="4" t="s">
        <v>59</v>
      </c>
      <c r="F2" s="4" t="s">
        <v>0</v>
      </c>
      <c r="G2" s="4" t="s">
        <v>108</v>
      </c>
      <c r="H2" s="4" t="s">
        <v>1</v>
      </c>
      <c r="I2" s="1" t="s">
        <v>130</v>
      </c>
      <c r="J2" s="1" t="s">
        <v>130</v>
      </c>
      <c r="K2" s="1" t="s">
        <v>146</v>
      </c>
      <c r="L2" s="1" t="s">
        <v>147</v>
      </c>
      <c r="M2" s="3" t="s">
        <v>102</v>
      </c>
      <c r="N2" s="3" t="s">
        <v>3</v>
      </c>
      <c r="O2" s="3" t="s">
        <v>149</v>
      </c>
      <c r="P2" s="3" t="s">
        <v>43</v>
      </c>
      <c r="Q2" s="3" t="s">
        <v>60</v>
      </c>
      <c r="R2" s="15" t="s">
        <v>35</v>
      </c>
      <c r="S2" s="3" t="s">
        <v>133</v>
      </c>
      <c r="T2" s="3" t="s">
        <v>4</v>
      </c>
      <c r="U2" s="3" t="s">
        <v>134</v>
      </c>
      <c r="V2" s="3" t="s">
        <v>134</v>
      </c>
      <c r="W2" s="3" t="s">
        <v>109</v>
      </c>
      <c r="X2" s="3" t="s">
        <v>14</v>
      </c>
      <c r="Y2" s="1" t="s">
        <v>72</v>
      </c>
      <c r="Z2" s="6" t="e">
        <f>[1]Output!C2</f>
        <v>#REF!</v>
      </c>
      <c r="AA2" s="2" t="e">
        <f>CONCATENATE("AB Triangular Sales created under the number ",Z2)</f>
        <v>#REF!</v>
      </c>
      <c r="AB2" s="1" t="s">
        <v>44</v>
      </c>
      <c r="AC2" s="1" t="s">
        <v>44</v>
      </c>
      <c r="AD2" s="1" t="s">
        <v>7</v>
      </c>
      <c r="AE2" s="1" t="s">
        <v>103</v>
      </c>
      <c r="AF2" s="1" t="s">
        <v>151</v>
      </c>
      <c r="AG2" s="5" t="e">
        <f>Z2</f>
        <v>#REF!</v>
      </c>
      <c r="AH2" s="5" t="e">
        <f>CONCATENATE("DN",AG2)</f>
        <v>#REF!</v>
      </c>
      <c r="AI2" s="2" t="str">
        <f t="shared" si="0" ref="AI2:AJ2">Q2</f>
        <v>7077817</v>
      </c>
      <c r="AJ2" s="2" t="str">
        <f t="shared" si="0"/>
        <v>7130850</v>
      </c>
      <c r="AK2" s="2">
        <v>919</v>
      </c>
      <c r="AL2" s="1" t="s">
        <v>72</v>
      </c>
      <c r="AM2" s="6" t="e">
        <f>[1]Output!D2</f>
        <v>#REF!</v>
      </c>
      <c r="AN2" s="2" t="e">
        <f>CONCATENATE("Article document ",AM2," posted")</f>
        <v>#REF!</v>
      </c>
      <c r="AO2" s="1" t="s">
        <v>84</v>
      </c>
      <c r="AP2" s="1" t="s">
        <v>84</v>
      </c>
      <c r="AQ2" s="1" t="s">
        <v>75</v>
      </c>
      <c r="AR2" s="1">
        <v>1</v>
      </c>
      <c r="AS2" s="5" t="s">
        <v>37</v>
      </c>
      <c r="AT2" s="7" t="s">
        <v>37</v>
      </c>
      <c r="AU2" s="7"/>
      <c r="AV2" s="7"/>
      <c r="AW2" s="2" t="e">
        <f>AM2</f>
        <v>#REF!</v>
      </c>
      <c r="AX2" s="2" t="e">
        <f>AH2</f>
        <v>#REF!</v>
      </c>
      <c r="AY2" s="2" t="s">
        <v>48</v>
      </c>
      <c r="AZ2" s="2" t="str">
        <f>M2</f>
        <v>10001095</v>
      </c>
      <c r="BA2" s="1" t="s">
        <v>72</v>
      </c>
      <c r="BB2" s="2" t="s">
        <v>123</v>
      </c>
      <c r="BC2" s="2" t="s">
        <v>76</v>
      </c>
      <c r="BD2" s="1" t="s">
        <v>49</v>
      </c>
      <c r="BE2" s="1" t="s">
        <v>49</v>
      </c>
      <c r="BF2" s="6" t="e">
        <f>[1]Output!F2</f>
        <v>#REF!</v>
      </c>
      <c r="BG2" s="1" t="s">
        <v>173</v>
      </c>
      <c r="BH2" s="1" t="s">
        <v>173</v>
      </c>
      <c r="BI2" s="10" t="e">
        <f>BF2</f>
        <v>#REF!</v>
      </c>
      <c r="BJ2" s="1" t="s">
        <v>72</v>
      </c>
      <c r="BK2" s="1" t="s">
        <v>72</v>
      </c>
      <c r="BL2" s="2" t="e">
        <f>AX2</f>
        <v>#REF!</v>
      </c>
      <c r="BM2" s="2" t="str">
        <f>X2</f>
        <v>G249</v>
      </c>
      <c r="BN2" s="2" t="str">
        <f t="shared" si="1" ref="BN2:BO2">AI2</f>
        <v>7077817</v>
      </c>
      <c r="BO2" s="2" t="str">
        <f t="shared" si="1"/>
        <v>7130850</v>
      </c>
      <c r="BP2" s="2" t="str">
        <f>AY2</f>
        <v>ZTRS</v>
      </c>
      <c r="BQ2" s="2" t="e">
        <f>BL2</f>
        <v>#REF!</v>
      </c>
      <c r="BR2" s="2" t="str">
        <f>CONCATENATE("00",AZ2)</f>
        <v>0010001095</v>
      </c>
      <c r="BS2" s="6" t="str">
        <f>"0080158858"</f>
        <v>0080158858</v>
      </c>
      <c r="BT2" s="1" t="s">
        <v>114</v>
      </c>
      <c r="BU2" s="1" t="s">
        <v>114</v>
      </c>
      <c r="BV2" s="1" t="s">
        <v>37</v>
      </c>
      <c r="BW2" s="1">
        <v>3</v>
      </c>
      <c r="BX2" s="1">
        <v>3</v>
      </c>
      <c r="BY2" s="1"/>
      <c r="BZ2" s="5" t="str">
        <f>BS2</f>
        <v>0080158858</v>
      </c>
      <c r="CA2" s="1" t="s">
        <v>139</v>
      </c>
      <c r="CB2" s="11">
        <f ca="1">TODAY()</f>
        <v>45958</v>
      </c>
      <c r="CC2" s="1" t="s">
        <v>72</v>
      </c>
      <c r="CD2" s="2" t="s">
        <v>29</v>
      </c>
      <c r="CE2" s="1" t="s">
        <v>96</v>
      </c>
      <c r="CF2" s="1" t="s">
        <v>174</v>
      </c>
      <c r="CG2" s="5" t="str">
        <f>BZ2</f>
        <v>0080158858</v>
      </c>
      <c r="CH2" s="2" t="str">
        <f t="shared" si="2" ref="CH2:CI2">BN2</f>
        <v>7077817</v>
      </c>
      <c r="CI2" s="2" t="str">
        <f t="shared" si="2"/>
        <v>7130850</v>
      </c>
      <c r="CJ2" s="1" t="s">
        <v>72</v>
      </c>
      <c r="CK2" s="6" t="e">
        <f>[1]Output!H2</f>
        <v>#REF!</v>
      </c>
      <c r="CL2" s="2" t="e">
        <f>CONCATENATE("Document ",CK2," has been saved")</f>
        <v>#REF!</v>
      </c>
      <c r="CM2" s="1" t="s">
        <v>66</v>
      </c>
      <c r="CN2" s="1" t="s">
        <v>173</v>
      </c>
      <c r="CO2" s="5" t="e">
        <f>BI2</f>
        <v>#REF!</v>
      </c>
      <c r="CP2" s="1" t="s">
        <v>72</v>
      </c>
      <c r="CQ2" s="1" t="s">
        <v>19</v>
      </c>
      <c r="CR2" s="1" t="e">
        <f>[1]Output!G2</f>
        <v>#REF!</v>
      </c>
      <c r="CS2" s="1" t="s">
        <v>107</v>
      </c>
      <c r="CT2" s="2" t="s">
        <v>128</v>
      </c>
      <c r="CU2" s="2" t="s">
        <v>175</v>
      </c>
      <c r="CV2" s="2" t="e">
        <f>BQ2</f>
        <v>#REF!</v>
      </c>
      <c r="CW2" s="1" t="s">
        <v>19</v>
      </c>
      <c r="CX2" s="1" t="s">
        <v>173</v>
      </c>
      <c r="CY2" s="1" t="s">
        <v>107</v>
      </c>
      <c r="CZ2" s="2" t="s">
        <v>80</v>
      </c>
      <c r="DA2" s="2">
        <v>30112101</v>
      </c>
      <c r="DB2" s="2">
        <v>22911102</v>
      </c>
      <c r="DC2" s="1" t="s">
        <v>37</v>
      </c>
      <c r="DD2" s="1" t="e">
        <f>[1]Output!G2</f>
        <v>#REF!</v>
      </c>
      <c r="DE2" s="1"/>
      <c r="DF2" s="1"/>
      <c r="DG2" s="1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9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 t="e">
        <f>[1]Output!G3</f>
        <v>#REF!</v>
      </c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 t="e">
        <f>[1]Output!G3</f>
        <v>#REF!</v>
      </c>
      <c r="DE3" s="1"/>
      <c r="DF3" s="1"/>
      <c r="DG3" s="12"/>
    </row>
    <row r="4">
      <c r="A4" s="1">
        <v>4</v>
      </c>
      <c r="B4" s="1" t="s">
        <v>32</v>
      </c>
      <c r="C4" s="4" t="s">
        <v>144</v>
      </c>
      <c r="D4" s="4" t="s">
        <v>41</v>
      </c>
      <c r="E4" s="4" t="s">
        <v>59</v>
      </c>
      <c r="F4" s="4" t="s">
        <v>0</v>
      </c>
      <c r="G4" s="4" t="s">
        <v>108</v>
      </c>
      <c r="H4" s="4" t="s">
        <v>1</v>
      </c>
      <c r="I4" s="1" t="s">
        <v>130</v>
      </c>
      <c r="J4" s="1" t="s">
        <v>130</v>
      </c>
      <c r="K4" s="1" t="s">
        <v>146</v>
      </c>
      <c r="L4" s="1" t="s">
        <v>147</v>
      </c>
      <c r="M4" s="3" t="s">
        <v>102</v>
      </c>
      <c r="N4" s="3" t="s">
        <v>3</v>
      </c>
      <c r="O4" s="3" t="s">
        <v>149</v>
      </c>
      <c r="P4" s="3" t="s">
        <v>43</v>
      </c>
      <c r="Q4" s="3" t="s">
        <v>60</v>
      </c>
      <c r="R4" s="3" t="s">
        <v>150</v>
      </c>
      <c r="S4" s="3" t="s">
        <v>133</v>
      </c>
      <c r="T4" s="3" t="s">
        <v>4</v>
      </c>
      <c r="U4" s="3" t="s">
        <v>13</v>
      </c>
      <c r="V4" s="3" t="s">
        <v>13</v>
      </c>
      <c r="W4" s="3" t="s">
        <v>109</v>
      </c>
      <c r="X4" s="3" t="s">
        <v>135</v>
      </c>
      <c r="Y4" s="1" t="s">
        <v>72</v>
      </c>
      <c r="Z4" s="6" t="e">
        <f>[1]Output!C4</f>
        <v>#REF!</v>
      </c>
      <c r="AA4" s="2" t="e">
        <f t="shared" si="3" ref="AA4:AA6">CONCATENATE("AB Triangular Sales created under the number ",Z4)</f>
        <v>#REF!</v>
      </c>
      <c r="AB4" s="1" t="s">
        <v>44</v>
      </c>
      <c r="AC4" s="1" t="s">
        <v>44</v>
      </c>
      <c r="AD4" s="1" t="s">
        <v>7</v>
      </c>
      <c r="AE4" s="1" t="s">
        <v>103</v>
      </c>
      <c r="AF4" s="1" t="s">
        <v>151</v>
      </c>
      <c r="AG4" s="5" t="e">
        <f t="shared" si="4" ref="AG4:AG6">Z4</f>
        <v>#REF!</v>
      </c>
      <c r="AH4" s="5" t="e">
        <f t="shared" si="5" ref="AH4:AH6">CONCATENATE("DN",AG4)</f>
        <v>#REF!</v>
      </c>
      <c r="AI4" s="2" t="str">
        <f t="shared" si="6" ref="AI4:AI6">Q4</f>
        <v>7077817</v>
      </c>
      <c r="AJ4" s="2">
        <v>7077822</v>
      </c>
      <c r="AK4" s="2">
        <v>919</v>
      </c>
      <c r="AL4" s="1" t="s">
        <v>72</v>
      </c>
      <c r="AM4" s="6" t="e">
        <f>[1]Output!D4</f>
        <v>#REF!</v>
      </c>
      <c r="AN4" s="2" t="e">
        <f t="shared" si="7" ref="AN4:AN6">CONCATENATE("Article document ",AM4," posted")</f>
        <v>#REF!</v>
      </c>
      <c r="AO4" s="1" t="s">
        <v>84</v>
      </c>
      <c r="AP4" s="1" t="s">
        <v>84</v>
      </c>
      <c r="AQ4" s="1" t="s">
        <v>75</v>
      </c>
      <c r="AR4" s="1">
        <v>1</v>
      </c>
      <c r="AS4" s="5" t="s">
        <v>37</v>
      </c>
      <c r="AT4" s="7" t="s">
        <v>37</v>
      </c>
      <c r="AU4" s="7" t="str">
        <f ca="1" t="shared" si="8" ref="AU4:AU6">TEXT(TODAY(), "DD.MM.yyyy")</f>
        <v>28.10.2025</v>
      </c>
      <c r="AV4" s="7" t="str">
        <f ca="1" t="shared" si="9" ref="AV4:AV6">TEXT(TODAY()+1, "DD.MM.yyyy")</f>
        <v>29.10.2025</v>
      </c>
      <c r="AW4" s="2" t="e">
        <f t="shared" si="10" ref="AW4:AW6">AM4</f>
        <v>#REF!</v>
      </c>
      <c r="AX4" s="2" t="e">
        <f t="shared" si="11" ref="AX4:AX6">AH4</f>
        <v>#REF!</v>
      </c>
      <c r="AY4" s="2" t="s">
        <v>48</v>
      </c>
      <c r="AZ4" s="2" t="str">
        <f t="shared" si="12" ref="AZ4:AZ6">M4</f>
        <v>10001095</v>
      </c>
      <c r="BA4" s="1" t="s">
        <v>72</v>
      </c>
      <c r="BB4" s="2" t="s">
        <v>123</v>
      </c>
      <c r="BC4" s="2" t="s">
        <v>76</v>
      </c>
      <c r="BD4" s="1" t="s">
        <v>49</v>
      </c>
      <c r="BE4" s="1" t="s">
        <v>49</v>
      </c>
      <c r="BF4" s="6" t="e">
        <f>[1]Output!F4</f>
        <v>#REF!</v>
      </c>
      <c r="BG4" s="1" t="s">
        <v>173</v>
      </c>
      <c r="BH4" s="1" t="s">
        <v>173</v>
      </c>
      <c r="BI4" s="10" t="e">
        <f t="shared" si="13" ref="BI4:BI6">BF4</f>
        <v>#REF!</v>
      </c>
      <c r="BJ4" s="1" t="s">
        <v>72</v>
      </c>
      <c r="BK4" s="1" t="s">
        <v>72</v>
      </c>
      <c r="BL4" s="2" t="e">
        <f t="shared" si="14" ref="BL4:BL6">AX4</f>
        <v>#REF!</v>
      </c>
      <c r="BM4" s="2" t="str">
        <f t="shared" si="15" ref="BM4:BM6">X4</f>
        <v>G226</v>
      </c>
      <c r="BN4" s="2" t="str">
        <f t="shared" si="16" ref="BN4:BO6">AI4</f>
        <v>7077817</v>
      </c>
      <c r="BO4" s="2">
        <f t="shared" si="16"/>
        <v>7077822</v>
      </c>
      <c r="BP4" s="2" t="str">
        <f t="shared" si="17" ref="BP4:BP6">AY4</f>
        <v>ZTRS</v>
      </c>
      <c r="BQ4" s="2" t="e">
        <f t="shared" si="18" ref="BQ4:BQ6">BL4</f>
        <v>#REF!</v>
      </c>
      <c r="BR4" s="2" t="str">
        <f t="shared" si="19" ref="BR4:BR6">CONCATENATE("00",AZ4)</f>
        <v>0010001095</v>
      </c>
      <c r="BS4" s="13" t="e">
        <f>[1]Output!G4</f>
        <v>#REF!</v>
      </c>
      <c r="BT4" s="1" t="s">
        <v>114</v>
      </c>
      <c r="BU4" s="1" t="s">
        <v>114</v>
      </c>
      <c r="BV4" s="1" t="s">
        <v>37</v>
      </c>
      <c r="BW4" s="1" t="s">
        <v>75</v>
      </c>
      <c r="BX4" s="1">
        <v>3</v>
      </c>
      <c r="BY4" s="3" t="s">
        <v>37</v>
      </c>
      <c r="BZ4" s="1" t="e">
        <f t="shared" si="20" ref="BZ4:BZ6">RIGHT(BS4,8)</f>
        <v>#REF!</v>
      </c>
      <c r="CA4" s="1" t="s">
        <v>49</v>
      </c>
      <c r="CB4" s="11">
        <f ca="1" t="shared" si="21" ref="CB4:CB6">TODAY()</f>
        <v>45958</v>
      </c>
      <c r="CC4" s="1" t="s">
        <v>72</v>
      </c>
      <c r="CD4" s="2" t="s">
        <v>29</v>
      </c>
      <c r="CE4" s="1" t="s">
        <v>96</v>
      </c>
      <c r="CF4" s="1" t="s">
        <v>174</v>
      </c>
      <c r="CG4" s="5" t="e">
        <f t="shared" si="22" ref="CG4:CG6">BZ4</f>
        <v>#REF!</v>
      </c>
      <c r="CH4" s="2" t="str">
        <f t="shared" si="23" ref="CH4:CI6">BN4</f>
        <v>7077817</v>
      </c>
      <c r="CI4" s="2">
        <f t="shared" si="23"/>
        <v>7077822</v>
      </c>
      <c r="CJ4" s="1" t="s">
        <v>72</v>
      </c>
      <c r="CK4" s="6" t="e">
        <f>[1]Output!H4</f>
        <v>#REF!</v>
      </c>
      <c r="CL4" s="2" t="e">
        <f t="shared" si="24" ref="CL4:CL6">CONCATENATE("Document ",CK4," has been saved")</f>
        <v>#REF!</v>
      </c>
      <c r="CM4" s="1" t="s">
        <v>66</v>
      </c>
      <c r="CN4" s="1" t="s">
        <v>173</v>
      </c>
      <c r="CO4" s="5" t="e">
        <f t="shared" si="25" ref="CO4:CO6">BI4</f>
        <v>#REF!</v>
      </c>
      <c r="CP4" s="1" t="s">
        <v>72</v>
      </c>
      <c r="CQ4" s="1" t="s">
        <v>19</v>
      </c>
      <c r="CR4" s="9" t="s">
        <v>78</v>
      </c>
      <c r="CS4" s="1" t="s">
        <v>107</v>
      </c>
      <c r="CT4" s="2" t="s">
        <v>128</v>
      </c>
      <c r="CU4" s="2" t="s">
        <v>175</v>
      </c>
      <c r="CV4" s="2" t="e">
        <f t="shared" si="26" ref="CV4:CV6">BQ4</f>
        <v>#REF!</v>
      </c>
      <c r="CW4" s="1" t="s">
        <v>19</v>
      </c>
      <c r="CX4" s="1" t="s">
        <v>173</v>
      </c>
      <c r="CY4" s="1" t="s">
        <v>107</v>
      </c>
      <c r="CZ4" s="2">
        <v>11004643</v>
      </c>
      <c r="DA4" s="2">
        <v>30112101</v>
      </c>
      <c r="DB4" s="2">
        <v>22911102</v>
      </c>
      <c r="DC4" s="1" t="s">
        <v>37</v>
      </c>
      <c r="DD4" s="9" t="s">
        <v>78</v>
      </c>
      <c r="DE4" s="1"/>
      <c r="DF4" s="1">
        <v>67404556</v>
      </c>
      <c r="DG4" s="12">
        <v>9053098061</v>
      </c>
    </row>
    <row r="5">
      <c r="A5" s="1">
        <v>5</v>
      </c>
      <c r="B5" s="1" t="s">
        <v>101</v>
      </c>
      <c r="C5" s="4" t="s">
        <v>144</v>
      </c>
      <c r="D5" s="4" t="s">
        <v>41</v>
      </c>
      <c r="E5" s="4" t="s">
        <v>59</v>
      </c>
      <c r="F5" s="4" t="s">
        <v>0</v>
      </c>
      <c r="G5" s="4" t="s">
        <v>108</v>
      </c>
      <c r="H5" s="4" t="s">
        <v>1</v>
      </c>
      <c r="I5" s="1" t="s">
        <v>130</v>
      </c>
      <c r="J5" s="1" t="s">
        <v>130</v>
      </c>
      <c r="K5" s="1" t="s">
        <v>146</v>
      </c>
      <c r="L5" s="1" t="s">
        <v>147</v>
      </c>
      <c r="M5" s="3" t="s">
        <v>102</v>
      </c>
      <c r="N5" s="3" t="s">
        <v>3</v>
      </c>
      <c r="O5" s="3" t="s">
        <v>149</v>
      </c>
      <c r="P5" s="3" t="s">
        <v>43</v>
      </c>
      <c r="Q5" s="3" t="s">
        <v>60</v>
      </c>
      <c r="R5" s="3" t="s">
        <v>150</v>
      </c>
      <c r="S5" s="3" t="s">
        <v>133</v>
      </c>
      <c r="T5" s="3" t="s">
        <v>4</v>
      </c>
      <c r="U5" s="3" t="s">
        <v>13</v>
      </c>
      <c r="V5" s="3" t="s">
        <v>13</v>
      </c>
      <c r="W5" s="3" t="s">
        <v>109</v>
      </c>
      <c r="X5" s="3" t="s">
        <v>135</v>
      </c>
      <c r="Y5" s="1" t="s">
        <v>72</v>
      </c>
      <c r="Z5" s="6" t="e">
        <f>[1]Output!C5</f>
        <v>#REF!</v>
      </c>
      <c r="AA5" s="2" t="e">
        <f t="shared" si="3"/>
        <v>#REF!</v>
      </c>
      <c r="AB5" s="1" t="s">
        <v>44</v>
      </c>
      <c r="AC5" s="1" t="s">
        <v>44</v>
      </c>
      <c r="AD5" s="1" t="s">
        <v>7</v>
      </c>
      <c r="AE5" s="1" t="s">
        <v>103</v>
      </c>
      <c r="AF5" s="1" t="s">
        <v>151</v>
      </c>
      <c r="AG5" s="5" t="e">
        <f t="shared" si="4"/>
        <v>#REF!</v>
      </c>
      <c r="AH5" s="5" t="e">
        <f t="shared" si="5"/>
        <v>#REF!</v>
      </c>
      <c r="AI5" s="2" t="str">
        <f t="shared" si="6"/>
        <v>7077817</v>
      </c>
      <c r="AJ5" s="2">
        <v>7077822</v>
      </c>
      <c r="AK5" s="2">
        <v>919</v>
      </c>
      <c r="AL5" s="1" t="s">
        <v>72</v>
      </c>
      <c r="AM5" s="6" t="e">
        <f>[1]Output!D5</f>
        <v>#REF!</v>
      </c>
      <c r="AN5" s="2" t="e">
        <f t="shared" si="7"/>
        <v>#REF!</v>
      </c>
      <c r="AO5" s="1" t="s">
        <v>84</v>
      </c>
      <c r="AP5" s="1" t="s">
        <v>84</v>
      </c>
      <c r="AQ5" s="1" t="s">
        <v>75</v>
      </c>
      <c r="AR5" s="1">
        <v>1</v>
      </c>
      <c r="AS5" s="5" t="s">
        <v>37</v>
      </c>
      <c r="AT5" s="7" t="s">
        <v>37</v>
      </c>
      <c r="AU5" s="7" t="str">
        <f ca="1" t="shared" si="8"/>
        <v>28.10.2025</v>
      </c>
      <c r="AV5" s="7" t="str">
        <f ca="1" t="shared" si="9"/>
        <v>29.10.2025</v>
      </c>
      <c r="AW5" s="2" t="e">
        <f t="shared" si="10"/>
        <v>#REF!</v>
      </c>
      <c r="AX5" s="2" t="e">
        <f t="shared" si="11"/>
        <v>#REF!</v>
      </c>
      <c r="AY5" s="2" t="s">
        <v>48</v>
      </c>
      <c r="AZ5" s="2" t="str">
        <f t="shared" si="12"/>
        <v>10001095</v>
      </c>
      <c r="BA5" s="1" t="s">
        <v>72</v>
      </c>
      <c r="BB5" s="2" t="s">
        <v>123</v>
      </c>
      <c r="BC5" s="2" t="s">
        <v>76</v>
      </c>
      <c r="BD5" s="1" t="s">
        <v>49</v>
      </c>
      <c r="BE5" s="1" t="s">
        <v>49</v>
      </c>
      <c r="BF5" s="6" t="e">
        <f>[1]Output!F5</f>
        <v>#REF!</v>
      </c>
      <c r="BG5" s="1" t="s">
        <v>173</v>
      </c>
      <c r="BH5" s="1" t="s">
        <v>173</v>
      </c>
      <c r="BI5" s="10" t="e">
        <f t="shared" si="13"/>
        <v>#REF!</v>
      </c>
      <c r="BJ5" s="1" t="s">
        <v>72</v>
      </c>
      <c r="BK5" s="1" t="s">
        <v>72</v>
      </c>
      <c r="BL5" s="2" t="e">
        <f t="shared" si="14"/>
        <v>#REF!</v>
      </c>
      <c r="BM5" s="2" t="str">
        <f t="shared" si="15"/>
        <v>G226</v>
      </c>
      <c r="BN5" s="2" t="str">
        <f t="shared" si="16"/>
        <v>7077817</v>
      </c>
      <c r="BO5" s="2">
        <f t="shared" si="16"/>
        <v>7077822</v>
      </c>
      <c r="BP5" s="2" t="str">
        <f t="shared" si="17"/>
        <v>ZTRS</v>
      </c>
      <c r="BQ5" s="2" t="e">
        <f t="shared" si="18"/>
        <v>#REF!</v>
      </c>
      <c r="BR5" s="2" t="str">
        <f t="shared" si="19"/>
        <v>0010001095</v>
      </c>
      <c r="BS5" s="13" t="e">
        <f>[1]Output!G5</f>
        <v>#REF!</v>
      </c>
      <c r="BT5" s="1" t="s">
        <v>114</v>
      </c>
      <c r="BU5" s="1" t="s">
        <v>114</v>
      </c>
      <c r="BV5" s="1" t="s">
        <v>37</v>
      </c>
      <c r="BW5" s="1" t="s">
        <v>75</v>
      </c>
      <c r="BX5" s="1">
        <v>3</v>
      </c>
      <c r="BY5" s="3" t="s">
        <v>37</v>
      </c>
      <c r="BZ5" s="1" t="e">
        <f t="shared" si="20"/>
        <v>#REF!</v>
      </c>
      <c r="CA5" s="1" t="s">
        <v>49</v>
      </c>
      <c r="CB5" s="11">
        <f ca="1" t="shared" si="21"/>
        <v>45958</v>
      </c>
      <c r="CC5" s="1" t="s">
        <v>72</v>
      </c>
      <c r="CD5" s="2" t="s">
        <v>29</v>
      </c>
      <c r="CE5" s="1" t="s">
        <v>96</v>
      </c>
      <c r="CF5" s="1" t="s">
        <v>174</v>
      </c>
      <c r="CG5" s="5" t="e">
        <f t="shared" si="22"/>
        <v>#REF!</v>
      </c>
      <c r="CH5" s="2" t="str">
        <f t="shared" si="23"/>
        <v>7077817</v>
      </c>
      <c r="CI5" s="2">
        <f t="shared" si="23"/>
        <v>7077822</v>
      </c>
      <c r="CJ5" s="1" t="s">
        <v>72</v>
      </c>
      <c r="CK5" s="6" t="e">
        <f>[1]Output!H5</f>
        <v>#REF!</v>
      </c>
      <c r="CL5" s="2" t="e">
        <f t="shared" si="24"/>
        <v>#REF!</v>
      </c>
      <c r="CM5" s="1" t="s">
        <v>66</v>
      </c>
      <c r="CN5" s="1" t="s">
        <v>173</v>
      </c>
      <c r="CO5" s="5" t="e">
        <f t="shared" si="25"/>
        <v>#REF!</v>
      </c>
      <c r="CP5" s="1" t="s">
        <v>72</v>
      </c>
      <c r="CQ5" s="1" t="s">
        <v>19</v>
      </c>
      <c r="CR5" s="1" t="e">
        <f>[1]Output!G5</f>
        <v>#REF!</v>
      </c>
      <c r="CS5" s="1" t="s">
        <v>107</v>
      </c>
      <c r="CT5" s="2" t="s">
        <v>128</v>
      </c>
      <c r="CU5" s="2" t="s">
        <v>175</v>
      </c>
      <c r="CV5" s="2" t="e">
        <f t="shared" si="26"/>
        <v>#REF!</v>
      </c>
      <c r="CW5" s="1" t="s">
        <v>19</v>
      </c>
      <c r="CX5" s="1" t="s">
        <v>173</v>
      </c>
      <c r="CY5" s="1" t="s">
        <v>107</v>
      </c>
      <c r="CZ5" s="2">
        <v>11004643</v>
      </c>
      <c r="DA5" s="2">
        <v>30112101</v>
      </c>
      <c r="DB5" s="2">
        <v>22911102</v>
      </c>
      <c r="DC5" s="1" t="s">
        <v>37</v>
      </c>
      <c r="DD5" s="1" t="e">
        <f>[1]Output!G5</f>
        <v>#REF!</v>
      </c>
      <c r="DE5" s="1"/>
      <c r="DF5" s="1">
        <v>67405307</v>
      </c>
      <c r="DG5" s="12">
        <v>9045455683</v>
      </c>
    </row>
    <row r="6">
      <c r="A6" s="1">
        <v>6</v>
      </c>
      <c r="B6" s="1" t="s">
        <v>33</v>
      </c>
      <c r="C6" s="4" t="s">
        <v>144</v>
      </c>
      <c r="D6" s="4" t="s">
        <v>41</v>
      </c>
      <c r="E6" s="4" t="s">
        <v>59</v>
      </c>
      <c r="F6" s="4" t="s">
        <v>0</v>
      </c>
      <c r="G6" s="4" t="s">
        <v>108</v>
      </c>
      <c r="H6" s="4" t="s">
        <v>1</v>
      </c>
      <c r="I6" s="1" t="s">
        <v>130</v>
      </c>
      <c r="J6" s="1" t="s">
        <v>130</v>
      </c>
      <c r="K6" s="1" t="s">
        <v>146</v>
      </c>
      <c r="L6" s="1" t="s">
        <v>147</v>
      </c>
      <c r="M6" s="3" t="s">
        <v>102</v>
      </c>
      <c r="N6" s="3" t="s">
        <v>3</v>
      </c>
      <c r="O6" s="3" t="s">
        <v>149</v>
      </c>
      <c r="P6" s="3" t="s">
        <v>43</v>
      </c>
      <c r="Q6" s="3" t="s">
        <v>60</v>
      </c>
      <c r="R6" s="3" t="s">
        <v>150</v>
      </c>
      <c r="S6" s="3" t="s">
        <v>133</v>
      </c>
      <c r="T6" s="3" t="s">
        <v>4</v>
      </c>
      <c r="U6" s="3" t="s">
        <v>13</v>
      </c>
      <c r="V6" s="3" t="s">
        <v>13</v>
      </c>
      <c r="W6" s="3" t="s">
        <v>109</v>
      </c>
      <c r="X6" s="3" t="s">
        <v>135</v>
      </c>
      <c r="Y6" s="1" t="s">
        <v>72</v>
      </c>
      <c r="Z6" s="6" t="e">
        <f>[1]Output!C6</f>
        <v>#REF!</v>
      </c>
      <c r="AA6" s="2" t="e">
        <f t="shared" si="3"/>
        <v>#REF!</v>
      </c>
      <c r="AB6" s="1" t="s">
        <v>44</v>
      </c>
      <c r="AC6" s="1" t="s">
        <v>44</v>
      </c>
      <c r="AD6" s="1" t="s">
        <v>7</v>
      </c>
      <c r="AE6" s="1" t="s">
        <v>103</v>
      </c>
      <c r="AF6" s="1" t="s">
        <v>151</v>
      </c>
      <c r="AG6" s="5" t="e">
        <f t="shared" si="4"/>
        <v>#REF!</v>
      </c>
      <c r="AH6" s="5" t="e">
        <f t="shared" si="5"/>
        <v>#REF!</v>
      </c>
      <c r="AI6" s="2" t="str">
        <f t="shared" si="6"/>
        <v>7077817</v>
      </c>
      <c r="AJ6" s="2">
        <v>7077822</v>
      </c>
      <c r="AK6" s="2">
        <v>919</v>
      </c>
      <c r="AL6" s="1" t="s">
        <v>72</v>
      </c>
      <c r="AM6" s="6" t="e">
        <f>[1]Output!D6</f>
        <v>#REF!</v>
      </c>
      <c r="AN6" s="2" t="e">
        <f t="shared" si="7"/>
        <v>#REF!</v>
      </c>
      <c r="AO6" s="1" t="s">
        <v>84</v>
      </c>
      <c r="AP6" s="1" t="s">
        <v>84</v>
      </c>
      <c r="AQ6" s="1" t="s">
        <v>75</v>
      </c>
      <c r="AR6" s="1">
        <v>1</v>
      </c>
      <c r="AS6" s="5" t="s">
        <v>37</v>
      </c>
      <c r="AT6" s="7" t="s">
        <v>37</v>
      </c>
      <c r="AU6" s="7" t="str">
        <f ca="1" t="shared" si="8"/>
        <v>28.10.2025</v>
      </c>
      <c r="AV6" s="7" t="str">
        <f ca="1" t="shared" si="9"/>
        <v>29.10.2025</v>
      </c>
      <c r="AW6" s="2" t="e">
        <f t="shared" si="10"/>
        <v>#REF!</v>
      </c>
      <c r="AX6" s="2" t="e">
        <f t="shared" si="11"/>
        <v>#REF!</v>
      </c>
      <c r="AY6" s="2" t="s">
        <v>48</v>
      </c>
      <c r="AZ6" s="2" t="str">
        <f t="shared" si="12"/>
        <v>10001095</v>
      </c>
      <c r="BA6" s="1" t="s">
        <v>72</v>
      </c>
      <c r="BB6" s="2" t="s">
        <v>123</v>
      </c>
      <c r="BC6" s="2" t="s">
        <v>76</v>
      </c>
      <c r="BD6" s="1" t="s">
        <v>49</v>
      </c>
      <c r="BE6" s="1" t="s">
        <v>49</v>
      </c>
      <c r="BF6" s="6" t="e">
        <f>[1]Output!F6</f>
        <v>#REF!</v>
      </c>
      <c r="BG6" s="1" t="s">
        <v>173</v>
      </c>
      <c r="BH6" s="1" t="s">
        <v>173</v>
      </c>
      <c r="BI6" s="10" t="e">
        <f t="shared" si="13"/>
        <v>#REF!</v>
      </c>
      <c r="BJ6" s="1" t="s">
        <v>72</v>
      </c>
      <c r="BK6" s="1" t="s">
        <v>72</v>
      </c>
      <c r="BL6" s="2" t="e">
        <f t="shared" si="14"/>
        <v>#REF!</v>
      </c>
      <c r="BM6" s="2" t="str">
        <f t="shared" si="15"/>
        <v>G226</v>
      </c>
      <c r="BN6" s="2" t="str">
        <f t="shared" si="16"/>
        <v>7077817</v>
      </c>
      <c r="BO6" s="2">
        <f t="shared" si="16"/>
        <v>7077822</v>
      </c>
      <c r="BP6" s="2" t="str">
        <f t="shared" si="17"/>
        <v>ZTRS</v>
      </c>
      <c r="BQ6" s="2" t="e">
        <f t="shared" si="18"/>
        <v>#REF!</v>
      </c>
      <c r="BR6" s="2" t="str">
        <f t="shared" si="19"/>
        <v>0010001095</v>
      </c>
      <c r="BS6" s="13" t="e">
        <f>[1]Output!G6</f>
        <v>#REF!</v>
      </c>
      <c r="BT6" s="1" t="s">
        <v>114</v>
      </c>
      <c r="BU6" s="1" t="s">
        <v>114</v>
      </c>
      <c r="BV6" s="1" t="s">
        <v>37</v>
      </c>
      <c r="BW6" s="1" t="s">
        <v>75</v>
      </c>
      <c r="BX6" s="1">
        <v>3</v>
      </c>
      <c r="BY6" s="1"/>
      <c r="BZ6" s="1" t="e">
        <f t="shared" si="20"/>
        <v>#REF!</v>
      </c>
      <c r="CA6" s="1" t="s">
        <v>49</v>
      </c>
      <c r="CB6" s="11">
        <f ca="1" t="shared" si="21"/>
        <v>45958</v>
      </c>
      <c r="CC6" s="1" t="s">
        <v>72</v>
      </c>
      <c r="CD6" s="2" t="s">
        <v>29</v>
      </c>
      <c r="CE6" s="1" t="s">
        <v>96</v>
      </c>
      <c r="CF6" s="1" t="s">
        <v>174</v>
      </c>
      <c r="CG6" s="5" t="e">
        <f t="shared" si="22"/>
        <v>#REF!</v>
      </c>
      <c r="CH6" s="2" t="str">
        <f t="shared" si="23"/>
        <v>7077817</v>
      </c>
      <c r="CI6" s="2">
        <f t="shared" si="23"/>
        <v>7077822</v>
      </c>
      <c r="CJ6" s="1" t="s">
        <v>72</v>
      </c>
      <c r="CK6" s="6" t="e">
        <f>[1]Output!H6</f>
        <v>#REF!</v>
      </c>
      <c r="CL6" s="2" t="e">
        <f t="shared" si="24"/>
        <v>#REF!</v>
      </c>
      <c r="CM6" s="1" t="s">
        <v>66</v>
      </c>
      <c r="CN6" s="1" t="s">
        <v>173</v>
      </c>
      <c r="CO6" s="5" t="e">
        <f t="shared" si="25"/>
        <v>#REF!</v>
      </c>
      <c r="CP6" s="1" t="s">
        <v>72</v>
      </c>
      <c r="CQ6" s="1" t="s">
        <v>19</v>
      </c>
      <c r="CR6" s="1" t="e">
        <f>[1]Output!G6</f>
        <v>#REF!</v>
      </c>
      <c r="CS6" s="1" t="s">
        <v>107</v>
      </c>
      <c r="CT6" s="2" t="s">
        <v>128</v>
      </c>
      <c r="CU6" s="2" t="s">
        <v>175</v>
      </c>
      <c r="CV6" s="2" t="e">
        <f t="shared" si="26"/>
        <v>#REF!</v>
      </c>
      <c r="CW6" s="1" t="s">
        <v>19</v>
      </c>
      <c r="CX6" s="1" t="s">
        <v>173</v>
      </c>
      <c r="CY6" s="1" t="s">
        <v>107</v>
      </c>
      <c r="CZ6" s="2">
        <v>11004643</v>
      </c>
      <c r="DA6" s="2">
        <v>30112101</v>
      </c>
      <c r="DB6" s="2">
        <v>22911102</v>
      </c>
      <c r="DC6" s="1" t="s">
        <v>37</v>
      </c>
      <c r="DD6" s="1" t="e">
        <f>[1]Output!G6</f>
        <v>#REF!</v>
      </c>
      <c r="DE6" s="1"/>
      <c r="DF6" s="1">
        <v>67405138</v>
      </c>
      <c r="DG6" s="12">
        <v>9300189409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20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 t="e">
        <f>[1]Output!G7</f>
        <v>#REF!</v>
      </c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 t="e">
        <f>[1]Output!G7</f>
        <v>#REF!</v>
      </c>
      <c r="DE7" s="1"/>
      <c r="DF7" s="1"/>
      <c r="DG7" s="12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20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 t="e">
        <f>[1]Output!G8</f>
        <v>#REF!</v>
      </c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 t="e">
        <f>[1]Output!G8</f>
        <v>#REF!</v>
      </c>
      <c r="DE8" s="1"/>
      <c r="DF8" s="1"/>
      <c r="DG8" s="12"/>
    </row>
    <row r="9">
      <c r="A9" s="1">
        <v>3</v>
      </c>
      <c r="B9" s="1" t="s">
        <v>32</v>
      </c>
      <c r="C9" s="4" t="s">
        <v>144</v>
      </c>
      <c r="D9" s="4" t="s">
        <v>41</v>
      </c>
      <c r="E9" s="4" t="s">
        <v>59</v>
      </c>
      <c r="F9" s="4" t="s">
        <v>0</v>
      </c>
      <c r="G9" s="4" t="s">
        <v>108</v>
      </c>
      <c r="H9" s="4" t="s">
        <v>1</v>
      </c>
      <c r="I9" s="1" t="s">
        <v>130</v>
      </c>
      <c r="J9" s="1" t="s">
        <v>130</v>
      </c>
      <c r="K9" s="1" t="s">
        <v>146</v>
      </c>
      <c r="L9" s="1" t="s">
        <v>147</v>
      </c>
      <c r="M9" s="3" t="s">
        <v>102</v>
      </c>
      <c r="N9" s="3" t="s">
        <v>3</v>
      </c>
      <c r="O9" s="3" t="s">
        <v>149</v>
      </c>
      <c r="P9" s="3" t="s">
        <v>43</v>
      </c>
      <c r="Q9" s="3" t="s">
        <v>60</v>
      </c>
      <c r="R9" s="3" t="s">
        <v>150</v>
      </c>
      <c r="S9" s="3" t="s">
        <v>133</v>
      </c>
      <c r="T9" s="3" t="s">
        <v>4</v>
      </c>
      <c r="U9" s="3" t="s">
        <v>13</v>
      </c>
      <c r="V9" s="3" t="s">
        <v>13</v>
      </c>
      <c r="W9" s="3" t="s">
        <v>109</v>
      </c>
      <c r="X9" s="3" t="s">
        <v>5</v>
      </c>
      <c r="Y9" s="1" t="s">
        <v>72</v>
      </c>
      <c r="Z9" s="6" t="e">
        <f>[1]Output!C9</f>
        <v>#REF!</v>
      </c>
      <c r="AA9" s="2" t="e">
        <f>CONCATENATE("AB Triangular Sales created under the number ",Z9)</f>
        <v>#REF!</v>
      </c>
      <c r="AB9" s="1" t="s">
        <v>44</v>
      </c>
      <c r="AC9" s="1" t="s">
        <v>44</v>
      </c>
      <c r="AD9" s="1" t="s">
        <v>7</v>
      </c>
      <c r="AE9" s="1" t="s">
        <v>103</v>
      </c>
      <c r="AF9" s="1" t="s">
        <v>151</v>
      </c>
      <c r="AG9" s="5" t="e">
        <f>Z9</f>
        <v>#REF!</v>
      </c>
      <c r="AH9" s="5" t="e">
        <f>CONCATENATE("DN",AG9)</f>
        <v>#REF!</v>
      </c>
      <c r="AI9" s="2" t="str">
        <f t="shared" si="27" ref="AI9:AJ9">Q9</f>
        <v>7077817</v>
      </c>
      <c r="AJ9" s="2" t="str">
        <f t="shared" si="27"/>
        <v>7077822</v>
      </c>
      <c r="AK9" s="2">
        <v>919</v>
      </c>
      <c r="AL9" s="1" t="s">
        <v>72</v>
      </c>
      <c r="AM9" s="6" t="e">
        <f>[1]Output!D9</f>
        <v>#REF!</v>
      </c>
      <c r="AN9" s="2" t="e">
        <f>CONCATENATE("Article document ",AM9," posted")</f>
        <v>#REF!</v>
      </c>
      <c r="AO9" s="1" t="s">
        <v>84</v>
      </c>
      <c r="AP9" s="1" t="s">
        <v>84</v>
      </c>
      <c r="AQ9" s="1" t="s">
        <v>75</v>
      </c>
      <c r="AR9" s="1">
        <v>1</v>
      </c>
      <c r="AS9" s="5" t="s">
        <v>37</v>
      </c>
      <c r="AT9" s="7" t="s">
        <v>37</v>
      </c>
      <c r="AU9" s="7" t="str">
        <f ca="1">TEXT(TODAY(), "DD.MM.yyyy")</f>
        <v>28.10.2025</v>
      </c>
      <c r="AV9" s="7" t="str">
        <f ca="1">TEXT(TODAY()+1, "DD.MM.yyyy")</f>
        <v>29.10.2025</v>
      </c>
      <c r="AW9" s="2" t="e">
        <f>AM9</f>
        <v>#REF!</v>
      </c>
      <c r="AX9" s="2" t="e">
        <f>AH9</f>
        <v>#REF!</v>
      </c>
      <c r="AY9" s="2" t="s">
        <v>48</v>
      </c>
      <c r="AZ9" s="2" t="str">
        <f>M9</f>
        <v>10001095</v>
      </c>
      <c r="BA9" s="1" t="s">
        <v>72</v>
      </c>
      <c r="BB9" s="2" t="s">
        <v>123</v>
      </c>
      <c r="BC9" s="2" t="s">
        <v>76</v>
      </c>
      <c r="BD9" s="1" t="s">
        <v>49</v>
      </c>
      <c r="BE9" s="1" t="s">
        <v>49</v>
      </c>
      <c r="BF9" s="6" t="e">
        <f>[1]Output!F9</f>
        <v>#REF!</v>
      </c>
      <c r="BG9" s="1" t="s">
        <v>173</v>
      </c>
      <c r="BH9" s="1" t="s">
        <v>173</v>
      </c>
      <c r="BI9" s="10" t="e">
        <f>BF9</f>
        <v>#REF!</v>
      </c>
      <c r="BJ9" s="1" t="s">
        <v>72</v>
      </c>
      <c r="BK9" s="1" t="s">
        <v>72</v>
      </c>
      <c r="BL9" s="2" t="e">
        <f>AX9</f>
        <v>#REF!</v>
      </c>
      <c r="BM9" s="2" t="str">
        <f>X9</f>
        <v>G252</v>
      </c>
      <c r="BN9" s="2" t="str">
        <f t="shared" si="28" ref="BN9:BO9">AI9</f>
        <v>7077817</v>
      </c>
      <c r="BO9" s="2" t="str">
        <f t="shared" si="28"/>
        <v>7077822</v>
      </c>
      <c r="BP9" s="2" t="str">
        <f>AY9</f>
        <v>ZTRS</v>
      </c>
      <c r="BQ9" s="2" t="e">
        <f>BL9</f>
        <v>#REF!</v>
      </c>
      <c r="BR9" s="2" t="str">
        <f>CONCATENATE("00",AZ9)</f>
        <v>0010001095</v>
      </c>
      <c r="BS9" s="13" t="e">
        <f>[1]Output!G9</f>
        <v>#REF!</v>
      </c>
      <c r="BT9" s="1" t="s">
        <v>114</v>
      </c>
      <c r="BU9" s="1" t="s">
        <v>114</v>
      </c>
      <c r="BV9" s="1" t="s">
        <v>37</v>
      </c>
      <c r="BW9" s="1" t="s">
        <v>75</v>
      </c>
      <c r="BX9" s="1">
        <v>3</v>
      </c>
      <c r="BY9" s="3" t="s">
        <v>37</v>
      </c>
      <c r="BZ9" s="1" t="e">
        <f>RIGHT(BS9,8)</f>
        <v>#REF!</v>
      </c>
      <c r="CA9" s="1" t="s">
        <v>139</v>
      </c>
      <c r="CB9" s="11">
        <f ca="1">TODAY()</f>
        <v>45958</v>
      </c>
      <c r="CC9" s="1" t="s">
        <v>72</v>
      </c>
      <c r="CD9" s="2" t="s">
        <v>29</v>
      </c>
      <c r="CE9" s="1" t="s">
        <v>96</v>
      </c>
      <c r="CF9" s="1" t="s">
        <v>174</v>
      </c>
      <c r="CG9" s="5" t="e">
        <f>BZ9</f>
        <v>#REF!</v>
      </c>
      <c r="CH9" s="2" t="str">
        <f t="shared" si="29" ref="CH9:CI9">BN9</f>
        <v>7077817</v>
      </c>
      <c r="CI9" s="2" t="str">
        <f t="shared" si="29"/>
        <v>7077822</v>
      </c>
      <c r="CJ9" s="1" t="s">
        <v>72</v>
      </c>
      <c r="CK9" s="6" t="e">
        <f>[1]Output!H9</f>
        <v>#REF!</v>
      </c>
      <c r="CL9" s="2" t="e">
        <f>CONCATENATE("Document ",CK9," has been saved")</f>
        <v>#REF!</v>
      </c>
      <c r="CM9" s="1" t="s">
        <v>66</v>
      </c>
      <c r="CN9" s="1" t="s">
        <v>173</v>
      </c>
      <c r="CO9" s="5" t="e">
        <f>BI9</f>
        <v>#REF!</v>
      </c>
      <c r="CP9" s="1" t="s">
        <v>72</v>
      </c>
      <c r="CQ9" s="1" t="s">
        <v>19</v>
      </c>
      <c r="CR9" s="1" t="e">
        <f>[1]Output!G9</f>
        <v>#REF!</v>
      </c>
      <c r="CS9" s="1" t="s">
        <v>107</v>
      </c>
      <c r="CT9" s="2" t="s">
        <v>128</v>
      </c>
      <c r="CU9" s="2" t="s">
        <v>175</v>
      </c>
      <c r="CV9" s="2" t="e">
        <f>BQ9</f>
        <v>#REF!</v>
      </c>
      <c r="CW9" s="1" t="s">
        <v>19</v>
      </c>
      <c r="CX9" s="1" t="s">
        <v>173</v>
      </c>
      <c r="CY9" s="1" t="s">
        <v>107</v>
      </c>
      <c r="CZ9" s="2">
        <v>11004650</v>
      </c>
      <c r="DA9" s="2">
        <v>30112101</v>
      </c>
      <c r="DB9" s="2">
        <v>22911102</v>
      </c>
      <c r="DC9" s="1" t="s">
        <v>37</v>
      </c>
      <c r="DD9" s="1" t="e">
        <f>[1]Output!G9</f>
        <v>#REF!</v>
      </c>
      <c r="DE9" s="1"/>
      <c r="DF9" s="1"/>
      <c r="DG9" s="12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2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2"/>
    </row>
    <row r="12">
      <c r="A12" s="1"/>
      <c r="B12" s="16" t="s">
        <v>158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>
        <v>7077817</v>
      </c>
      <c r="R12" s="1">
        <v>7077822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2"/>
    </row>
    <row r="13">
      <c r="A13" s="1"/>
      <c r="B13" s="21" t="s">
        <v>68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2"/>
    </row>
    <row r="14">
      <c r="A14" s="1"/>
      <c r="B14" s="22" t="s">
        <v>143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2"/>
    </row>
    <row r="15">
      <c r="A15" s="1"/>
      <c r="B15" s="19" t="s">
        <v>34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23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2"/>
    </row>
    <row r="16">
      <c r="A16" s="1"/>
      <c r="B16" s="24" t="s">
        <v>89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2"/>
    </row>
    <row r="17">
      <c r="A17" s="1"/>
      <c r="B17" s="25" t="s">
        <v>118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2"/>
    </row>
    <row r="18">
      <c r="A18" s="1"/>
      <c r="B18" s="2" t="s">
        <v>90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2"/>
    </row>
    <row r="19">
      <c r="A19" s="1"/>
      <c r="B19" s="17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2"/>
    </row>
    <row r="20">
      <c r="A20" s="1"/>
      <c r="B20" s="26" t="s">
        <v>23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5" t="s">
        <v>35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2"/>
    </row>
    <row r="21">
      <c r="A21" s="1"/>
      <c r="B21" s="18" t="s">
        <v>91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2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3">
        <v>10000238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H6"/>
  <sheetViews>
    <sheetView topLeftCell="E1" workbookViewId="0">
      <selection activeCell="E2" sqref="E2"/>
    </sheetView>
  </sheetViews>
  <sheetFormatPr defaultColWidth="9.125" defaultRowHeight="14.25"/>
  <cols>
    <col min="1" max="1" width="9.125" style="14" customWidth="1"/>
    <col min="2" max="2" width="44.375" style="14" bestFit="1" customWidth="1"/>
    <col min="3" max="3" width="21.625" style="14" bestFit="1" customWidth="1"/>
    <col min="4" max="4" width="32" style="14" bestFit="1" customWidth="1"/>
    <col min="5" max="5" width="26" style="14" bestFit="1" customWidth="1"/>
    <col min="6" max="6" width="62.125" style="14" bestFit="1" customWidth="1"/>
    <col min="7" max="7" width="57.375" style="14" bestFit="1" customWidth="1"/>
    <col min="8" max="8" width="71.25" style="14" bestFit="1" customWidth="1"/>
    <col min="9" max="16384" width="9.125" style="14" customWidth="1"/>
  </cols>
  <sheetData>
    <row r="1" ht="12.75" customHeight="1" customFormat="1">
      <c r="A1" t="s">
        <v>157</v>
      </c>
      <c r="B1" t="s">
        <v>81</v>
      </c>
      <c r="C1" t="s">
        <v>176</v>
      </c>
      <c r="D1" t="s">
        <v>99</v>
      </c>
      <c r="E1" t="s">
        <v>100</v>
      </c>
      <c r="F1" t="s">
        <v>21</v>
      </c>
      <c r="G1" t="s">
        <v>88</v>
      </c>
      <c r="H1" t="s">
        <v>57</v>
      </c>
    </row>
    <row r="2">
      <c r="A2" s="1">
        <v>2</v>
      </c>
      <c r="B2" s="1"/>
      <c r="C2" s="1"/>
      <c r="D2" s="1"/>
      <c r="E2" s="1"/>
      <c r="F2" s="1"/>
      <c r="G2" s="1"/>
      <c r="H2" s="12"/>
    </row>
    <row r="3">
      <c r="A3" s="1"/>
      <c r="B3" s="1"/>
      <c r="C3" s="1"/>
      <c r="D3" s="1"/>
      <c r="E3" s="1"/>
      <c r="F3" s="1"/>
      <c r="G3" s="1"/>
      <c r="H3" s="12"/>
    </row>
    <row r="4">
      <c r="A4" s="1">
        <v>4</v>
      </c>
      <c r="B4" s="1" t="s">
        <v>32</v>
      </c>
      <c r="C4" s="1">
        <v>5102828172</v>
      </c>
      <c r="D4" s="1">
        <v>5079044063</v>
      </c>
      <c r="E4" s="1">
        <v>2</v>
      </c>
      <c r="F4" s="1">
        <v>226928013</v>
      </c>
      <c r="G4" s="1">
        <v>67405304</v>
      </c>
      <c r="H4" s="12">
        <v>9053098061</v>
      </c>
    </row>
    <row r="5">
      <c r="A5" s="1">
        <v>5</v>
      </c>
      <c r="B5" s="1" t="s">
        <v>101</v>
      </c>
      <c r="C5" s="1">
        <v>5102828187</v>
      </c>
      <c r="D5" s="1">
        <v>5079044204</v>
      </c>
      <c r="E5" s="1">
        <v>4</v>
      </c>
      <c r="F5" s="1">
        <v>226928017</v>
      </c>
      <c r="G5" s="1">
        <v>67405308</v>
      </c>
      <c r="H5" s="12">
        <v>9300115422</v>
      </c>
    </row>
    <row r="6">
      <c r="A6" s="1">
        <v>6</v>
      </c>
      <c r="B6" s="1" t="s">
        <v>33</v>
      </c>
      <c r="C6" s="1">
        <v>5102828968</v>
      </c>
      <c r="D6" s="1">
        <v>5079046296</v>
      </c>
      <c r="E6" s="1">
        <v>1</v>
      </c>
      <c r="F6" s="1">
        <v>227203604</v>
      </c>
      <c r="G6" s="1">
        <v>67406200</v>
      </c>
      <c r="H6" s="12">
        <v>9301112207</v>
      </c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