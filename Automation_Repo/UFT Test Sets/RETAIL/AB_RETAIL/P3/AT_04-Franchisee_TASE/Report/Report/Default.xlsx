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Franch_GR_Deliv_Note_w_T" sheetId="3" r:id="rId3"/>
    <sheet name="TC2_Deliv_Note_w_Weighable_art" sheetId="4" r:id="rId4"/>
    <sheet name="TC3_Deliv_Note_w_Tied_Empties" sheetId="5" r:id="rId5"/>
    <sheet name="TC4_Deliv_Note_Manual_w_free_go" sheetId="6" r:id="rId6"/>
    <sheet name="DataTransfer_1" sheetId="7" r:id="rId7"/>
    <sheet name="TC5_Trad_Goods_Franch_and_AB" sheetId="8" r:id="rId8"/>
    <sheet name="TC6_Deficit_Rev_Franch_auto_AB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<sst xmlns="http://schemas.openxmlformats.org/spreadsheetml/2006/main" uniqueCount="128">
  <si>
    <t>Scripting</t>
  </si>
  <si>
    <t>DT_SAPTRANSACTIONCODE</t>
  </si>
  <si>
    <t>GP01</t>
  </si>
  <si>
    <t>7078518</t>
  </si>
  <si>
    <t>40</t>
  </si>
  <si>
    <t>g235</t>
  </si>
  <si>
    <t>DT_EXPECTEDVALUE_OCC7</t>
  </si>
  <si>
    <t>A01</t>
  </si>
  <si>
    <t>DT_MIGO_0200_GRIDCELL_0_DOC_NUMBER</t>
  </si>
  <si>
    <t>0000001384954671</t>
  </si>
  <si>
    <t>10000922</t>
  </si>
  <si>
    <t>DT_ME21N_1211_TABLECELL_ARTICLE_1</t>
  </si>
  <si>
    <t>DT_UNIT_OF_MESURE</t>
  </si>
  <si>
    <t>DT_ART_DOC_NUM</t>
  </si>
  <si>
    <t>=AW2</t>
  </si>
  <si>
    <t>04-Franchisee</t>
  </si>
  <si>
    <t>5fe225d0456082020b824408337c7c87f62b51ff86a457a8</t>
  </si>
  <si>
    <t>DT_DELIV_DATE</t>
  </si>
  <si>
    <t>DT_ME21N_1211_TABLECELL_SITE_0</t>
  </si>
  <si>
    <t>DT_MIGO_0010_GODYNPROACTION</t>
  </si>
  <si>
    <t>=AW6</t>
  </si>
  <si>
    <t>DT_EXPECTEDTRANSACTIONCODE_OCC4</t>
  </si>
  <si>
    <t>Scenario</t>
  </si>
  <si>
    <t>%blank%</t>
  </si>
  <si>
    <t>zr</t>
  </si>
  <si>
    <t>The field Delivery note must increment by 1 on each execution.</t>
  </si>
  <si>
    <t>3</t>
  </si>
  <si>
    <t>5079044286</t>
  </si>
  <si>
    <t>200</t>
  </si>
  <si>
    <t>GR02</t>
  </si>
  <si>
    <t>DT_ARTICLE4</t>
  </si>
  <si>
    <t>7124251</t>
  </si>
  <si>
    <t>30</t>
  </si>
  <si>
    <t>DT_ME21N_14_CHECK_TEXT_OF_STATUSBAR</t>
  </si>
  <si>
    <t>MIGO</t>
  </si>
  <si>
    <t>DT_ME21N_0010_GODEFAULT_TVBWART</t>
  </si>
  <si>
    <t>913</t>
  </si>
  <si>
    <t>DT_ME21N_2000_GODYNPROPO_NUMBER</t>
  </si>
  <si>
    <t>DT_EXPECTEDVALUE_OCC8</t>
  </si>
  <si>
    <t>DT_ME21N_0010_GODYNPROACTION_OCC2</t>
  </si>
  <si>
    <t>DT_ME21N_100_CHECK_TEXT_OF_TABLECELL_FLD_CONT_7</t>
  </si>
  <si>
    <t>DT_IDOC_NUMBER</t>
  </si>
  <si>
    <t>DT_SAPSYSTEM</t>
  </si>
  <si>
    <t>AUTOAB</t>
  </si>
  <si>
    <t>DT_ME21N_1211_TABLECELL_ARTICLE_2</t>
  </si>
  <si>
    <t>EA</t>
  </si>
  <si>
    <t>MBGMCR</t>
  </si>
  <si>
    <t>0000000012054870</t>
  </si>
  <si>
    <t>DT_ARTICLE_NO_OUTPUT</t>
  </si>
  <si>
    <t>RGS - SAP RETAIL Staging GLOBAL</t>
  </si>
  <si>
    <t>DT_SAPLANGUAGE</t>
  </si>
  <si>
    <t>DT_SAPOPTIONS</t>
  </si>
  <si>
    <t>DT_ME21N_1211_TABLECELL_SITE_1</t>
  </si>
  <si>
    <t>KG</t>
  </si>
  <si>
    <t>TRUE</t>
  </si>
  <si>
    <t>S</t>
  </si>
  <si>
    <t>0</t>
  </si>
  <si>
    <t>WE09</t>
  </si>
  <si>
    <t>DT_EXPECTEDTRANSACTIONCODE_OCC5</t>
  </si>
  <si>
    <t>5357b5f3d93536319381f29be85ab0e2660e6c8ed3cb</t>
  </si>
  <si>
    <t>DT_ME21N_1211_TABLECELL_PO_QUANTITY_0</t>
  </si>
  <si>
    <t>DT_PO_NUMBER</t>
  </si>
  <si>
    <t>=AI2</t>
  </si>
  <si>
    <t>=AI6</t>
  </si>
  <si>
    <t>DT_POSTING_DATE</t>
  </si>
  <si>
    <t>DT_ME21N_2010_GODYNPROMAT_DOC</t>
  </si>
  <si>
    <t>DT_FI_DOC_NO</t>
  </si>
  <si>
    <t>0000000012325254</t>
  </si>
  <si>
    <t>10000604</t>
  </si>
  <si>
    <t>DT_ME21N_0100_DOC_INFO</t>
  </si>
  <si>
    <t>Row_Number</t>
  </si>
  <si>
    <t>7243559</t>
  </si>
  <si>
    <t>DT_RETURNS_ITEM</t>
  </si>
  <si>
    <t>DT_ME21N_14_OKCD</t>
  </si>
  <si>
    <t>DT_EXPECTEDVALUE_OCC9</t>
  </si>
  <si>
    <t>=AW4</t>
  </si>
  <si>
    <t>FB03</t>
  </si>
  <si>
    <t>52824b7c1d4c7ea53b01e6408d67d4f8876342f4c17fab43</t>
  </si>
  <si>
    <t>EN</t>
  </si>
  <si>
    <t>DT_ME21N_1211_TABLECELL_SITE_2</t>
  </si>
  <si>
    <t>DT_ME21N_0111_TABLECELL_NUMBER_3</t>
  </si>
  <si>
    <t>DT_EXPECTEDTRANSACTIONCODE_OCC2</t>
  </si>
  <si>
    <t>DT_INCREMENT</t>
  </si>
  <si>
    <t>DT_TRIANGULAR_SALESORDER_OUTPUT</t>
  </si>
  <si>
    <t>DT_EXPECTEDTRANSACTIONCODE</t>
  </si>
  <si>
    <t>7104150</t>
  </si>
  <si>
    <t>DT_ME21N_1211_TABLECELL_PO_QUANTITY_1</t>
  </si>
  <si>
    <t>5</t>
  </si>
  <si>
    <t>DT_ME21N_0111_TABLECELL_FUNCT_3</t>
  </si>
  <si>
    <t>DT_ME21N_100_VARIANT</t>
  </si>
  <si>
    <t>DT_ME21N_1000_FOR_VALUE</t>
  </si>
  <si>
    <t>DT_IDOC_NO</t>
  </si>
  <si>
    <t>ME21N</t>
  </si>
  <si>
    <t>DT_ME21N_1221_PURCH_ORG</t>
  </si>
  <si>
    <t>DT_ME21N_1211_TABLECELL_ARTICLE_0</t>
  </si>
  <si>
    <t>50</t>
  </si>
  <si>
    <t>DT_EXPECTEDVALUE_OCC2</t>
  </si>
  <si>
    <t>DT_ME21N_1102_PARTNERS</t>
  </si>
  <si>
    <t>g234</t>
  </si>
  <si>
    <t>DT_EXPECTEDVALUE_OCC6</t>
  </si>
  <si>
    <t>DT_ME21N_1_OKCD</t>
  </si>
  <si>
    <t>DT_FB03_DOCUMENT_NUM</t>
  </si>
  <si>
    <t>R1E - SAP RETAIL Pre-Production EUROPE</t>
  </si>
  <si>
    <t>DT_SAPPASSWORD</t>
  </si>
  <si>
    <t>ZABT</t>
  </si>
  <si>
    <t>DT_ME21N_1105_VENDOR</t>
  </si>
  <si>
    <t>7124057</t>
  </si>
  <si>
    <t>E</t>
  </si>
  <si>
    <t>A04</t>
  </si>
  <si>
    <t>DT_ME21N_0110_DELIVERY_NOTE</t>
  </si>
  <si>
    <t>DT_ME21N_100_CREATED_BY</t>
  </si>
  <si>
    <t>DT_SAPUSER</t>
  </si>
  <si>
    <t>rreye</t>
  </si>
  <si>
    <t>g15</t>
  </si>
  <si>
    <t>DT_ME21N_1221_COMPANY_CODE</t>
  </si>
  <si>
    <t>7076226</t>
  </si>
  <si>
    <t>7076520</t>
  </si>
  <si>
    <t>gw32</t>
  </si>
  <si>
    <t>DT_ME21N_1_CHECK_TEXT_OF_STATUSBAR</t>
  </si>
  <si>
    <t>DT_EXPECTEDTRANSACTIONCODE_OCC3</t>
  </si>
  <si>
    <t>DT_SAPCLIENT</t>
  </si>
  <si>
    <t>DT_ME21N_1105_MEPO_TOPLINEBSART</t>
  </si>
  <si>
    <t>DT_ME21N_1221_PURCH_GROUP</t>
  </si>
  <si>
    <t>7104148</t>
  </si>
  <si>
    <t>DT_ME21N_1211_TABLECELL_PO_QUANTITY_2</t>
  </si>
  <si>
    <t>DT_ME21N_0010_GODYNPROACTION</t>
  </si>
  <si>
    <t>=AI4</t>
  </si>
  <si>
    <t>DT_DOCUMENT_DATE</t>
  </si>
</sst>
</file>

<file path=xl/styles.xml><?xml version="1.0" encoding="utf-8"?>
<styleSheet xmlns="http://schemas.openxmlformats.org/spreadsheetml/2006/main">
  <numFmts count="1">
    <numFmt numFmtId="164" formatCode="dd\.mm\.yyyy"/>
  </numFmts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ill="1" applyBorder="1" applyProtection="1">
      <protection locked="0"/>
    </xf>
    <xf numFmtId="49" fontId="1" fillId="6" borderId="2" xfId="0" applyNumberFormat="1" applyFill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04_009_LocVendFranchMan_Deficit_Trad_Goods_Franch_and_AB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L8"/>
  <sheetViews>
    <sheetView topLeftCell="AS1" workbookViewId="0">
      <selection activeCell="AS2" sqref="AS2"/>
    </sheetView>
  </sheetViews>
  <sheetFormatPr defaultColWidth="9.125" defaultRowHeight="14.25"/>
  <cols>
    <col min="1" max="1" width="12.5" style="16" customWidth="1"/>
    <col min="2" max="2" width="12.75" style="16" customWidth="1"/>
    <col min="3" max="3" width="38.125" style="16" customWidth="1"/>
    <col min="4" max="4" width="15" style="16" customWidth="1"/>
    <col min="5" max="5" width="13.625" style="16" customWidth="1"/>
    <col min="6" max="6" width="48.5" style="16" customWidth="1"/>
    <col min="7" max="7" width="18.625" style="16" customWidth="1"/>
    <col min="8" max="8" width="16.75" style="16" customWidth="1"/>
    <col min="9" max="9" width="27.125" style="16" customWidth="1"/>
    <col min="10" max="10" width="33.375" style="16" customWidth="1"/>
    <col min="11" max="11" width="37.5" style="16" customWidth="1"/>
    <col min="12" max="12" width="24.75" style="16" customWidth="1"/>
    <col min="13" max="13" width="16.125" style="16" customWidth="1"/>
    <col min="14" max="14" width="28.5" style="16" customWidth="1"/>
    <col min="15" max="15" width="31.125" style="16" customWidth="1"/>
    <col min="16" max="16" width="32.25" style="16" customWidth="1"/>
    <col min="17" max="19" width="38.125" style="16" customWidth="1"/>
    <col min="20" max="20" width="13.5" style="16" customWidth="1"/>
    <col min="21" max="23" width="43.5" style="16" customWidth="1"/>
    <col min="24" max="24" width="26.625" style="16" customWidth="1"/>
    <col min="25" max="27" width="34.5" style="16" customWidth="1"/>
    <col min="28" max="28" width="21.625" style="16" customWidth="1"/>
    <col min="29" max="29" width="19.375" style="16" customWidth="1"/>
    <col min="30" max="30" width="27.125" style="16" customWidth="1"/>
    <col min="31" max="31" width="36.625" style="16" customWidth="1"/>
    <col min="32" max="32" width="38.375" style="16" customWidth="1"/>
    <col min="33" max="34" width="26.625" style="16" customWidth="1"/>
    <col min="35" max="35" width="16.375" style="16" customWidth="1"/>
    <col min="36" max="36" width="49.125" style="16" customWidth="1"/>
    <col min="37" max="37" width="19.875" style="16" customWidth="1"/>
    <col min="38" max="38" width="33.125" style="16" customWidth="1"/>
    <col min="39" max="39" width="39.25" style="16" customWidth="1"/>
    <col min="40" max="40" width="34.5" style="16" customWidth="1"/>
    <col min="41" max="41" width="38.5" style="16" customWidth="1"/>
    <col min="42" max="42" width="39.25" style="16" customWidth="1"/>
    <col min="43" max="43" width="15.75" style="16" customWidth="1"/>
    <col min="44" max="44" width="52.125" style="16" customWidth="1"/>
    <col min="45" max="45" width="19.125" style="16" customWidth="1"/>
    <col min="46" max="46" width="21.5" style="16" customWidth="1"/>
    <col min="47" max="48" width="26.625" style="16" customWidth="1"/>
    <col min="49" max="49" width="18.75" style="16" customWidth="1"/>
    <col min="50" max="50" width="41.875" style="16" customWidth="1"/>
    <col min="51" max="51" width="40.375" style="16" customWidth="1"/>
    <col min="52" max="52" width="36.5" style="16" customWidth="1"/>
    <col min="53" max="53" width="26.125" style="16" customWidth="1"/>
    <col min="54" max="54" width="39.25" style="16" customWidth="1"/>
    <col min="55" max="55" width="15" style="16" customWidth="1"/>
    <col min="56" max="56" width="39.25" style="16" customWidth="1"/>
    <col min="57" max="57" width="40.625" style="16" customWidth="1"/>
    <col min="58" max="58" width="18.875" style="16" customWidth="1"/>
    <col min="59" max="59" width="39.25" style="16" customWidth="1"/>
    <col min="60" max="60" width="24" style="16" customWidth="1"/>
    <col min="61" max="61" width="28.25" style="16" customWidth="1"/>
    <col min="62" max="62" width="28.75" style="16" customWidth="1"/>
    <col min="63" max="63" width="55.625" style="16" customWidth="1"/>
    <col min="64" max="64" width="17" style="16" customWidth="1"/>
    <col min="65" max="16384" width="9.125" style="16" customWidth="1"/>
  </cols>
  <sheetData>
    <row r="1" ht="12.75" customHeight="1" customFormat="1">
      <c r="A1" t="s">
        <v>70</v>
      </c>
      <c r="B1" t="s">
        <v>22</v>
      </c>
      <c r="C1" t="s">
        <v>42</v>
      </c>
      <c r="D1" t="s">
        <v>120</v>
      </c>
      <c r="E1" t="s">
        <v>111</v>
      </c>
      <c r="F1" t="s">
        <v>103</v>
      </c>
      <c r="G1" t="s">
        <v>50</v>
      </c>
      <c r="H1" t="s">
        <v>51</v>
      </c>
      <c r="I1" t="s">
        <v>1</v>
      </c>
      <c r="J1" t="s">
        <v>84</v>
      </c>
      <c r="K1" t="s">
        <v>121</v>
      </c>
      <c r="L1" t="s">
        <v>105</v>
      </c>
      <c r="M1" t="s">
        <v>17</v>
      </c>
      <c r="N1" t="s">
        <v>93</v>
      </c>
      <c r="O1" t="s">
        <v>122</v>
      </c>
      <c r="P1" t="s">
        <v>114</v>
      </c>
      <c r="Q1" t="s">
        <v>94</v>
      </c>
      <c r="R1" t="s">
        <v>11</v>
      </c>
      <c r="S1" t="s">
        <v>44</v>
      </c>
      <c r="T1" t="s">
        <v>30</v>
      </c>
      <c r="U1" t="s">
        <v>60</v>
      </c>
      <c r="V1" t="s">
        <v>86</v>
      </c>
      <c r="W1" t="s">
        <v>124</v>
      </c>
      <c r="X1" t="s">
        <v>96</v>
      </c>
      <c r="Y1" t="s">
        <v>18</v>
      </c>
      <c r="Z1" t="s">
        <v>52</v>
      </c>
      <c r="AA1" t="s">
        <v>79</v>
      </c>
      <c r="AB1" t="s">
        <v>12</v>
      </c>
      <c r="AC1" t="s">
        <v>72</v>
      </c>
      <c r="AD1" t="s">
        <v>97</v>
      </c>
      <c r="AE1" t="s">
        <v>88</v>
      </c>
      <c r="AF1" t="s">
        <v>80</v>
      </c>
      <c r="AG1" t="s">
        <v>99</v>
      </c>
      <c r="AH1" t="s">
        <v>6</v>
      </c>
      <c r="AI1" t="s">
        <v>61</v>
      </c>
      <c r="AJ1" t="s">
        <v>33</v>
      </c>
      <c r="AK1" t="s">
        <v>73</v>
      </c>
      <c r="AL1" t="s">
        <v>19</v>
      </c>
      <c r="AM1" t="s">
        <v>81</v>
      </c>
      <c r="AN1" t="s">
        <v>125</v>
      </c>
      <c r="AO1" t="s">
        <v>35</v>
      </c>
      <c r="AP1" t="s">
        <v>37</v>
      </c>
      <c r="AQ1" t="s">
        <v>82</v>
      </c>
      <c r="AR1" t="s">
        <v>109</v>
      </c>
      <c r="AS1" t="s">
        <v>64</v>
      </c>
      <c r="AT1" t="s">
        <v>127</v>
      </c>
      <c r="AU1" t="s">
        <v>38</v>
      </c>
      <c r="AV1" t="s">
        <v>74</v>
      </c>
      <c r="AW1" t="s">
        <v>13</v>
      </c>
      <c r="AX1" t="s">
        <v>118</v>
      </c>
      <c r="AY1" t="s">
        <v>39</v>
      </c>
      <c r="AZ1" t="s">
        <v>65</v>
      </c>
      <c r="BA1" t="s">
        <v>69</v>
      </c>
      <c r="BB1" t="s">
        <v>119</v>
      </c>
      <c r="BC1" t="s">
        <v>66</v>
      </c>
      <c r="BD1" t="s">
        <v>21</v>
      </c>
      <c r="BE1" t="s">
        <v>8</v>
      </c>
      <c r="BF1" t="s">
        <v>100</v>
      </c>
      <c r="BG1" t="s">
        <v>58</v>
      </c>
      <c r="BH1" t="s">
        <v>89</v>
      </c>
      <c r="BI1" t="s">
        <v>110</v>
      </c>
      <c r="BJ1" t="s">
        <v>90</v>
      </c>
      <c r="BK1" t="s">
        <v>40</v>
      </c>
      <c r="BL1" t="s">
        <v>91</v>
      </c>
    </row>
    <row r="2">
      <c r="A2" s="12">
        <v>1</v>
      </c>
      <c r="B2" s="12" t="s">
        <v>0</v>
      </c>
      <c r="C2" s="4" t="s">
        <v>102</v>
      </c>
      <c r="D2" s="4" t="s">
        <v>28</v>
      </c>
      <c r="E2" s="4" t="s">
        <v>43</v>
      </c>
      <c r="F2" s="4" t="s">
        <v>16</v>
      </c>
      <c r="G2" s="4" t="s">
        <v>78</v>
      </c>
      <c r="H2" s="4" t="s">
        <v>23</v>
      </c>
      <c r="I2" s="2" t="s">
        <v>92</v>
      </c>
      <c r="J2" s="2" t="s">
        <v>92</v>
      </c>
      <c r="K2" s="2" t="s">
        <v>104</v>
      </c>
      <c r="L2" s="3" t="s">
        <v>10</v>
      </c>
      <c r="M2" s="6">
        <f ca="1">TODAY()</f>
        <v>45959</v>
      </c>
      <c r="N2" s="3" t="s">
        <v>2</v>
      </c>
      <c r="O2" s="3" t="s">
        <v>113</v>
      </c>
      <c r="P2" s="3" t="s">
        <v>29</v>
      </c>
      <c r="Q2" s="3" t="s">
        <v>3</v>
      </c>
      <c r="R2" s="3" t="s">
        <v>115</v>
      </c>
      <c r="S2" s="3" t="s">
        <v>116</v>
      </c>
      <c r="T2" s="3" t="s">
        <v>3</v>
      </c>
      <c r="U2" s="3" t="s">
        <v>4</v>
      </c>
      <c r="V2" s="3" t="s">
        <v>95</v>
      </c>
      <c r="W2" s="3" t="s">
        <v>32</v>
      </c>
      <c r="X2" s="2" t="s">
        <v>107</v>
      </c>
      <c r="Y2" s="3" t="s">
        <v>117</v>
      </c>
      <c r="Z2" s="3" t="s">
        <v>117</v>
      </c>
      <c r="AA2" s="3" t="s">
        <v>117</v>
      </c>
      <c r="AB2" s="3" t="s">
        <v>53</v>
      </c>
      <c r="AC2" s="3" t="s">
        <v>54</v>
      </c>
      <c r="AD2" s="2" t="s">
        <v>87</v>
      </c>
      <c r="AE2" s="3" t="s">
        <v>24</v>
      </c>
      <c r="AF2" s="3" t="s">
        <v>98</v>
      </c>
      <c r="AG2" s="2" t="s">
        <v>55</v>
      </c>
      <c r="AH2" s="2" t="s">
        <v>55</v>
      </c>
      <c r="AI2" s="10" t="e">
        <f>[1]Output!A2</f>
        <v>#REF!</v>
      </c>
      <c r="AJ2" s="5" t="e">
        <f>CONCATENATE("AB Triangular Sales created under the number ",AI2)</f>
        <v>#REF!</v>
      </c>
      <c r="AK2" s="2" t="s">
        <v>34</v>
      </c>
      <c r="AL2" s="14" t="s">
        <v>108</v>
      </c>
      <c r="AM2" s="2" t="s">
        <v>34</v>
      </c>
      <c r="AN2" s="2" t="s">
        <v>7</v>
      </c>
      <c r="AO2" s="3" t="s">
        <v>36</v>
      </c>
      <c r="AP2" s="9" t="s">
        <v>62</v>
      </c>
      <c r="AQ2" s="1">
        <v>8</v>
      </c>
      <c r="AR2" s="5" t="str">
        <f>CONCATENATE("L",AQ2)</f>
        <v>L8</v>
      </c>
      <c r="AS2" s="6">
        <f ca="1" t="shared" si="0" ref="AS2:AT2">TODAY()</f>
        <v>45959</v>
      </c>
      <c r="AT2" s="6">
        <f ca="1" t="shared" si="0"/>
        <v>45959</v>
      </c>
      <c r="AU2" s="2" t="s">
        <v>55</v>
      </c>
      <c r="AV2" s="2" t="s">
        <v>55</v>
      </c>
      <c r="AW2" s="10" t="e">
        <f>[1]Output!B2</f>
        <v>#REF!</v>
      </c>
      <c r="AX2" s="5" t="e">
        <f>CONCATENATE("Article document ",AW2," posted")</f>
        <v>#REF!</v>
      </c>
      <c r="AY2" s="2" t="s">
        <v>108</v>
      </c>
      <c r="AZ2" s="9" t="s">
        <v>14</v>
      </c>
      <c r="BA2" s="2" t="s">
        <v>26</v>
      </c>
      <c r="BB2" s="2" t="s">
        <v>76</v>
      </c>
      <c r="BC2" s="10" t="e">
        <f>[1]Output!C2</f>
        <v>#REF!</v>
      </c>
      <c r="BD2" s="2" t="s">
        <v>34</v>
      </c>
      <c r="BE2" s="2" t="s">
        <v>56</v>
      </c>
      <c r="BF2" s="2" t="s">
        <v>57</v>
      </c>
      <c r="BG2" s="2" t="s">
        <v>57</v>
      </c>
      <c r="BH2" s="15" t="s">
        <v>46</v>
      </c>
      <c r="BI2" s="2" t="s">
        <v>23</v>
      </c>
      <c r="BJ2" s="8" t="e">
        <f ca="1">CONCATENATE(AW2,YEAR(TODAY()))</f>
        <v>#REF!</v>
      </c>
      <c r="BK2" s="8" t="e">
        <f ca="1">CONCATENATE(AW2,YEAR(TODAY()),"0001")</f>
        <v>#REF!</v>
      </c>
      <c r="BL2" s="13" t="s">
        <v>47</v>
      </c>
    </row>
    <row r="3">
      <c r="A3" s="12">
        <v>2</v>
      </c>
      <c r="B3" s="17"/>
      <c r="C3" s="1"/>
      <c r="D3" s="1"/>
      <c r="E3" s="1"/>
      <c r="F3" s="1" t="s">
        <v>77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0"/>
      <c r="AJ3" s="1"/>
      <c r="AK3" s="1"/>
      <c r="AL3" s="1"/>
      <c r="AM3" s="1"/>
      <c r="AN3" s="1"/>
      <c r="AO3" s="1"/>
      <c r="AP3" s="1"/>
      <c r="AQ3" s="1"/>
      <c r="AR3" s="1" t="s">
        <v>25</v>
      </c>
      <c r="AS3" s="1"/>
      <c r="AT3" s="1"/>
      <c r="AU3" s="1"/>
      <c r="AV3" s="1"/>
      <c r="AW3" s="10"/>
      <c r="AX3" s="1"/>
      <c r="AY3" s="1"/>
      <c r="AZ3" s="1"/>
      <c r="BA3" s="1"/>
      <c r="BB3" s="1"/>
      <c r="BC3" s="10"/>
      <c r="BD3" s="1"/>
      <c r="BE3" s="1"/>
      <c r="BF3" s="1"/>
      <c r="BG3" s="1"/>
      <c r="BH3" s="1"/>
      <c r="BI3" s="1"/>
      <c r="BJ3" s="1"/>
      <c r="BK3" s="1"/>
      <c r="BL3" s="11"/>
    </row>
    <row r="4">
      <c r="A4" s="12">
        <v>3</v>
      </c>
      <c r="B4" s="12" t="s">
        <v>15</v>
      </c>
      <c r="C4" s="4" t="s">
        <v>102</v>
      </c>
      <c r="D4" s="4" t="s">
        <v>28</v>
      </c>
      <c r="E4" s="4" t="s">
        <v>43</v>
      </c>
      <c r="F4" s="4" t="s">
        <v>16</v>
      </c>
      <c r="G4" s="4" t="s">
        <v>78</v>
      </c>
      <c r="H4" s="4" t="s">
        <v>23</v>
      </c>
      <c r="I4" s="2" t="s">
        <v>92</v>
      </c>
      <c r="J4" s="2" t="s">
        <v>92</v>
      </c>
      <c r="K4" s="2" t="s">
        <v>104</v>
      </c>
      <c r="L4" s="3" t="s">
        <v>10</v>
      </c>
      <c r="M4" s="6">
        <f ca="1">TODAY()</f>
        <v>45959</v>
      </c>
      <c r="N4" s="3" t="s">
        <v>2</v>
      </c>
      <c r="O4" s="3" t="s">
        <v>113</v>
      </c>
      <c r="P4" s="3" t="s">
        <v>29</v>
      </c>
      <c r="Q4" s="3" t="s">
        <v>71</v>
      </c>
      <c r="R4" s="3" t="s">
        <v>115</v>
      </c>
      <c r="S4" s="3" t="s">
        <v>116</v>
      </c>
      <c r="T4" s="3" t="s">
        <v>3</v>
      </c>
      <c r="U4" s="3" t="s">
        <v>4</v>
      </c>
      <c r="V4" s="3" t="s">
        <v>95</v>
      </c>
      <c r="W4" s="3" t="s">
        <v>32</v>
      </c>
      <c r="X4" s="2" t="s">
        <v>107</v>
      </c>
      <c r="Y4" s="3" t="s">
        <v>117</v>
      </c>
      <c r="Z4" s="3" t="s">
        <v>117</v>
      </c>
      <c r="AA4" s="3" t="s">
        <v>117</v>
      </c>
      <c r="AB4" s="3" t="s">
        <v>53</v>
      </c>
      <c r="AC4" s="3" t="s">
        <v>54</v>
      </c>
      <c r="AD4" s="2" t="s">
        <v>87</v>
      </c>
      <c r="AE4" s="3" t="s">
        <v>24</v>
      </c>
      <c r="AF4" s="3" t="s">
        <v>5</v>
      </c>
      <c r="AG4" s="2" t="s">
        <v>55</v>
      </c>
      <c r="AH4" s="2" t="s">
        <v>55</v>
      </c>
      <c r="AI4" s="10" t="e">
        <f>[1]Output!A4</f>
        <v>#REF!</v>
      </c>
      <c r="AJ4" s="5" t="e">
        <f>CONCATENATE("AB Triangular Sales created under the number ",AI4)</f>
        <v>#REF!</v>
      </c>
      <c r="AK4" s="2" t="s">
        <v>34</v>
      </c>
      <c r="AL4" s="14" t="s">
        <v>108</v>
      </c>
      <c r="AM4" s="2" t="s">
        <v>34</v>
      </c>
      <c r="AN4" s="2" t="s">
        <v>7</v>
      </c>
      <c r="AO4" s="3" t="s">
        <v>36</v>
      </c>
      <c r="AP4" s="9" t="s">
        <v>126</v>
      </c>
      <c r="AQ4" s="1">
        <v>41</v>
      </c>
      <c r="AR4" s="5" t="str">
        <f>CONCATENATE("DN",AP4)</f>
        <v>DN=AI4</v>
      </c>
      <c r="AS4" s="6">
        <f ca="1" t="shared" si="1" ref="AS4:AT4">TODAY()</f>
        <v>45959</v>
      </c>
      <c r="AT4" s="6">
        <f ca="1" t="shared" si="1"/>
        <v>45959</v>
      </c>
      <c r="AU4" s="2" t="s">
        <v>55</v>
      </c>
      <c r="AV4" s="2" t="s">
        <v>55</v>
      </c>
      <c r="AW4" s="10" t="e">
        <f>[1]Output!B4</f>
        <v>#REF!</v>
      </c>
      <c r="AX4" s="5" t="e">
        <f>CONCATENATE("Article document ",AW4," posted")</f>
        <v>#REF!</v>
      </c>
      <c r="AY4" s="2" t="s">
        <v>108</v>
      </c>
      <c r="AZ4" s="9" t="s">
        <v>75</v>
      </c>
      <c r="BA4" s="2" t="s">
        <v>26</v>
      </c>
      <c r="BB4" s="2" t="s">
        <v>76</v>
      </c>
      <c r="BC4" s="10" t="e">
        <f>[1]Output!C4</f>
        <v>#REF!</v>
      </c>
      <c r="BD4" s="2" t="s">
        <v>34</v>
      </c>
      <c r="BE4" s="2" t="s">
        <v>56</v>
      </c>
      <c r="BF4" s="2" t="s">
        <v>57</v>
      </c>
      <c r="BG4" s="2" t="s">
        <v>57</v>
      </c>
      <c r="BH4" s="15" t="s">
        <v>46</v>
      </c>
      <c r="BI4" s="2" t="s">
        <v>23</v>
      </c>
      <c r="BJ4" s="8" t="e">
        <f ca="1">CONCATENATE(AW4,YEAR(TODAY()))</f>
        <v>#REF!</v>
      </c>
      <c r="BK4" s="8" t="e">
        <f ca="1">CONCATENATE(AW4,YEAR(TODAY()),"0001")</f>
        <v>#REF!</v>
      </c>
      <c r="BL4" s="13" t="s">
        <v>9</v>
      </c>
    </row>
    <row r="5">
      <c r="A5" s="12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0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0"/>
      <c r="AX5" s="1"/>
      <c r="AY5" s="1"/>
      <c r="AZ5" s="1"/>
      <c r="BA5" s="1"/>
      <c r="BB5" s="1"/>
      <c r="BC5" s="10"/>
      <c r="BD5" s="1"/>
      <c r="BE5" s="1"/>
      <c r="BF5" s="1"/>
      <c r="BG5" s="1"/>
      <c r="BH5" s="15" t="s">
        <v>46</v>
      </c>
      <c r="BI5" s="1"/>
      <c r="BJ5" s="1"/>
      <c r="BK5" s="1"/>
      <c r="BL5" s="11"/>
    </row>
    <row r="6">
      <c r="A6" s="12">
        <v>5</v>
      </c>
      <c r="B6" s="12" t="s">
        <v>15</v>
      </c>
      <c r="C6" s="4" t="s">
        <v>49</v>
      </c>
      <c r="D6" s="4" t="s">
        <v>28</v>
      </c>
      <c r="E6" s="4" t="s">
        <v>112</v>
      </c>
      <c r="F6" s="4" t="s">
        <v>59</v>
      </c>
      <c r="G6" s="4" t="s">
        <v>78</v>
      </c>
      <c r="H6" s="4" t="s">
        <v>23</v>
      </c>
      <c r="I6" s="2" t="s">
        <v>92</v>
      </c>
      <c r="J6" s="2" t="s">
        <v>92</v>
      </c>
      <c r="K6" s="2" t="s">
        <v>104</v>
      </c>
      <c r="L6" s="3" t="s">
        <v>68</v>
      </c>
      <c r="M6" s="6">
        <f ca="1">TODAY()</f>
        <v>45959</v>
      </c>
      <c r="N6" s="3" t="s">
        <v>2</v>
      </c>
      <c r="O6" s="3" t="s">
        <v>113</v>
      </c>
      <c r="P6" s="3" t="s">
        <v>29</v>
      </c>
      <c r="Q6" s="3" t="s">
        <v>106</v>
      </c>
      <c r="R6" s="3" t="s">
        <v>85</v>
      </c>
      <c r="S6" s="3" t="s">
        <v>123</v>
      </c>
      <c r="T6" s="3" t="s">
        <v>31</v>
      </c>
      <c r="U6" s="3" t="s">
        <v>4</v>
      </c>
      <c r="V6" s="3" t="s">
        <v>95</v>
      </c>
      <c r="W6" s="3" t="s">
        <v>32</v>
      </c>
      <c r="X6" s="2" t="s">
        <v>107</v>
      </c>
      <c r="Y6" s="3" t="s">
        <v>117</v>
      </c>
      <c r="Z6" s="3" t="s">
        <v>117</v>
      </c>
      <c r="AA6" s="3" t="s">
        <v>117</v>
      </c>
      <c r="AB6" s="3" t="s">
        <v>45</v>
      </c>
      <c r="AC6" s="3" t="s">
        <v>54</v>
      </c>
      <c r="AD6" s="2" t="s">
        <v>87</v>
      </c>
      <c r="AE6" s="3" t="s">
        <v>24</v>
      </c>
      <c r="AF6" s="3" t="s">
        <v>98</v>
      </c>
      <c r="AG6" s="2" t="s">
        <v>55</v>
      </c>
      <c r="AH6" s="2" t="s">
        <v>55</v>
      </c>
      <c r="AI6" s="10" t="e">
        <f>[1]Output!A6</f>
        <v>#REF!</v>
      </c>
      <c r="AJ6" s="5" t="e">
        <f>CONCATENATE("AB Triangular Sales created under the number ",AI6)</f>
        <v>#REF!</v>
      </c>
      <c r="AK6" s="2" t="s">
        <v>34</v>
      </c>
      <c r="AL6" s="14" t="s">
        <v>108</v>
      </c>
      <c r="AM6" s="2" t="s">
        <v>34</v>
      </c>
      <c r="AN6" s="2" t="s">
        <v>7</v>
      </c>
      <c r="AO6" s="3" t="s">
        <v>36</v>
      </c>
      <c r="AP6" s="9" t="s">
        <v>63</v>
      </c>
      <c r="AQ6" s="1">
        <v>17</v>
      </c>
      <c r="AR6" s="5" t="str">
        <f>CONCATENATE("DN",AP6)</f>
        <v>DN=AI6</v>
      </c>
      <c r="AS6" s="6">
        <f ca="1" t="shared" si="2" ref="AS6:AT6">TODAY()</f>
        <v>45959</v>
      </c>
      <c r="AT6" s="6">
        <f ca="1" t="shared" si="2"/>
        <v>45959</v>
      </c>
      <c r="AU6" s="2" t="s">
        <v>55</v>
      </c>
      <c r="AV6" s="2" t="s">
        <v>55</v>
      </c>
      <c r="AW6" s="10" t="e">
        <f>[1]Output!B6</f>
        <v>#REF!</v>
      </c>
      <c r="AX6" s="5" t="e">
        <f>CONCATENATE("Article document ",AW6," posted")</f>
        <v>#REF!</v>
      </c>
      <c r="AY6" s="2" t="s">
        <v>108</v>
      </c>
      <c r="AZ6" s="9" t="s">
        <v>20</v>
      </c>
      <c r="BA6" s="2" t="s">
        <v>26</v>
      </c>
      <c r="BB6" s="2" t="s">
        <v>76</v>
      </c>
      <c r="BC6" s="10" t="e">
        <f>[1]Output!C6</f>
        <v>#REF!</v>
      </c>
      <c r="BD6" s="2" t="s">
        <v>34</v>
      </c>
      <c r="BE6" s="2" t="s">
        <v>56</v>
      </c>
      <c r="BF6" s="2" t="s">
        <v>57</v>
      </c>
      <c r="BG6" s="2" t="s">
        <v>57</v>
      </c>
      <c r="BH6" s="15" t="s">
        <v>46</v>
      </c>
      <c r="BI6" s="2" t="s">
        <v>23</v>
      </c>
      <c r="BJ6" s="8" t="e">
        <f ca="1">CONCATENATE(AW6,YEAR(TODAY()))</f>
        <v>#REF!</v>
      </c>
      <c r="BK6" s="8" t="e">
        <f ca="1">CONCATENATE(AW6,YEAR(TODAY()),"0001")</f>
        <v>#REF!</v>
      </c>
      <c r="BL6" s="13" t="s">
        <v>67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0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16" customWidth="1"/>
    <col min="2" max="2" width="10.875" style="16" bestFit="1" customWidth="1"/>
    <col min="3" max="16384" width="9.125" style="16" customWidth="1"/>
  </cols>
  <sheetData>
    <row r="1" ht="12.75" customHeight="1" customFormat="1">
      <c r="A1" t="s">
        <v>83</v>
      </c>
      <c r="B1" t="s">
        <v>48</v>
      </c>
      <c r="C1" t="s">
        <v>101</v>
      </c>
      <c r="D1" t="s">
        <v>41</v>
      </c>
    </row>
    <row r="2">
      <c r="A2" s="1"/>
      <c r="B2" s="1"/>
      <c r="C2" s="1"/>
      <c r="D2" s="11"/>
    </row>
    <row r="3">
      <c r="A3" s="1"/>
      <c r="B3" s="1"/>
      <c r="C3" s="1"/>
      <c r="D3" s="11"/>
    </row>
    <row r="4">
      <c r="A4" s="1">
        <v>5102828272</v>
      </c>
      <c r="B4" s="2" t="s">
        <v>27</v>
      </c>
      <c r="C4" s="1">
        <v>5000052915</v>
      </c>
      <c r="D4" s="11">
        <v>3748715791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