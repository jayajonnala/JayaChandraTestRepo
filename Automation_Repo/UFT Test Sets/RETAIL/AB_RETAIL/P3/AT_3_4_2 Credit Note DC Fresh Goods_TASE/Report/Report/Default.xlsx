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04_002" sheetId="4" r:id="rId4"/>
    <sheet name="TC2_Test_02LIV04_002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<sst xmlns="http://schemas.openxmlformats.org/spreadsheetml/2006/main" uniqueCount="85">
  <si>
    <t/>
  </si>
  <si>
    <t>DT_SAPTRANSACTIONCODE</t>
  </si>
  <si>
    <t>DT_MIRO_0010_AMOUNT</t>
  </si>
  <si>
    <t>DT_MIRO_1000_COMPANY_CODE_OCC1</t>
  </si>
  <si>
    <t>DT_MIRO_120_GETTEXT_PU_NBR_OUTPUT</t>
  </si>
  <si>
    <t>DT_MIRO_6150_FISCAL_YEAR</t>
  </si>
  <si>
    <t>Fixed</t>
  </si>
  <si>
    <t>Data Coming from another test</t>
  </si>
  <si>
    <t>DT_MIRO_0010_REFERENCE</t>
  </si>
  <si>
    <t>DT_MIRO_0600_GRIDCELL_25_VARIANT_NAME_OCC1</t>
  </si>
  <si>
    <t>=R2</t>
  </si>
  <si>
    <t>DT_EXPECTEDTRANSACTIONCODE_OCC4</t>
  </si>
  <si>
    <t>DT_MIRO_0010_CALCULATE_TAX</t>
  </si>
  <si>
    <t>DT_MIRO_6000_CHECK_TEXT_OF_STATUSBAR</t>
  </si>
  <si>
    <t>%blank%</t>
  </si>
  <si>
    <t>=AJ2</t>
  </si>
  <si>
    <t>OFF</t>
  </si>
  <si>
    <t>Formulas</t>
  </si>
  <si>
    <t>200</t>
  </si>
  <si>
    <t>GR02</t>
  </si>
  <si>
    <t>ON</t>
  </si>
  <si>
    <t>DT_EXPECTEDVALUE</t>
  </si>
  <si>
    <t>SESSION_MANAGER</t>
  </si>
  <si>
    <t>DT_DOC_NO</t>
  </si>
  <si>
    <t>DT_MIRO_0120_CHECK_TEXT_OF_STATUSBAR</t>
  </si>
  <si>
    <t>DT_IDOC_OUTPUT</t>
  </si>
  <si>
    <t>DT_SAPSYSTEM</t>
  </si>
  <si>
    <t>AUTOAB</t>
  </si>
  <si>
    <t>DT_MIRO_0600_GRIDCELL_25_VARIANT_NAME</t>
  </si>
  <si>
    <t>DT_MIRO_6150_INVOICE_DOCUMENT_NO</t>
  </si>
  <si>
    <t>DT_MIRO_1000_TO_OCC1</t>
  </si>
  <si>
    <t>Input Data</t>
  </si>
  <si>
    <t>DT_SAPLANGUAGE</t>
  </si>
  <si>
    <t>DT_SAPOPTIONS</t>
  </si>
  <si>
    <t>S</t>
  </si>
  <si>
    <t>DT_EXPECTEDTRANSACTIONCODE_OCC1</t>
  </si>
  <si>
    <t>DT_MIRO_0100_OKCD</t>
  </si>
  <si>
    <t>WE09</t>
  </si>
  <si>
    <t>DT_EXPECTEDTRANSACTIONCODE_OCC5</t>
  </si>
  <si>
    <t>DT_MIRO_1000_FISCAL_YEAR</t>
  </si>
  <si>
    <t>DT_MIRO_0200_CHECK_GETCELLVALUE_OF_GRIDCELL_0_DOCNR</t>
  </si>
  <si>
    <t>Verifications</t>
  </si>
  <si>
    <t>Execution Control Data</t>
  </si>
  <si>
    <t>DT_EXPECTEDVALUE_OCC1</t>
  </si>
  <si>
    <t>DT_MIRO_0100_OKCD_OCC1</t>
  </si>
  <si>
    <t>DT_MIRO_1000_DOCUMENT</t>
  </si>
  <si>
    <t>DT_INVOICE_NO</t>
  </si>
  <si>
    <t>DT_MIRO_0100_CHECK_TEXT_OF_TABLECELL_FLD_CONT_0</t>
  </si>
  <si>
    <t>DT_GET_AMOUNT_OUTPUT</t>
  </si>
  <si>
    <t>EN</t>
  </si>
  <si>
    <t>MIRO</t>
  </si>
  <si>
    <t>DT_MIRO_6212_RM08MLFSNR</t>
  </si>
  <si>
    <t>DT_EXPECTEDTRANSACTIONCODE_OCC2</t>
  </si>
  <si>
    <t>DT_MIRO_1000_CREATED_ON</t>
  </si>
  <si>
    <t>DT_EXPECTEDTRANSACTIONCODE_OCC6</t>
  </si>
  <si>
    <t>518,67-</t>
  </si>
  <si>
    <t>DT_EXPECTEDTRANSACTIONCODE</t>
  </si>
  <si>
    <t>MIR4</t>
  </si>
  <si>
    <t>DT_NUM</t>
  </si>
  <si>
    <t>PU70006556</t>
  </si>
  <si>
    <t>5423cb59b48d2a9e4424f26ff62c36b9f9791d93519beaa8</t>
  </si>
  <si>
    <t>DT_MIRO_1000_COMPANY_CODE</t>
  </si>
  <si>
    <t>DT_GET_TOTAL_AMOUNT</t>
  </si>
  <si>
    <t>RG</t>
  </si>
  <si>
    <t>DT_MIRO_1000_TO</t>
  </si>
  <si>
    <t>DT_MIRO_1000_FOR_VALUE__OCC1</t>
  </si>
  <si>
    <t>DT_MIRO_0100_OKCD_OCC2</t>
  </si>
  <si>
    <t>J1GP01</t>
  </si>
  <si>
    <t>_DT_MIRO_200_GETCELLVALUE_DOCNR_OUTPUT</t>
  </si>
  <si>
    <t>R1E - SAP RETAIL Pre-Production EUROPE</t>
  </si>
  <si>
    <t>DT_SAPPASSWORD</t>
  </si>
  <si>
    <t>DN4309530085</t>
  </si>
  <si>
    <t>/ZMDIV_MIRO</t>
  </si>
  <si>
    <t>DT_MIRO_200_GETCELLVALUE_DOCNR_OUTPUT</t>
  </si>
  <si>
    <t>Login Information</t>
  </si>
  <si>
    <t>DT_SAPUSER</t>
  </si>
  <si>
    <t>DT_MIRO_0010_DOCUMENT_DATE</t>
  </si>
  <si>
    <t>DT_EXPECTEDTRANSACTIONCODE_OCC3</t>
  </si>
  <si>
    <t>DT_DOC_NUM_OUTPUT</t>
  </si>
  <si>
    <t>Output data</t>
  </si>
  <si>
    <t>DT_SAPCLIENT</t>
  </si>
  <si>
    <t>DT_MIRO_0150_DOC_TYPE</t>
  </si>
  <si>
    <t>DT_MIRO_0100_CREATED_BY</t>
  </si>
  <si>
    <t>6</t>
  </si>
  <si>
    <t>DT_MIRO_1000_TEST_MODE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</si>
</sst>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NumberFormat="1" applyFill="1" applyBorder="1" applyProtection="1">
      <protection locked="0"/>
    </xf>
    <xf numFmtId="164" fontId="1" fillId="2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ill="1" applyBorder="1" applyProtection="1">
      <protection locked="0"/>
    </xf>
    <xf numFmtId="0" fontId="3" fillId="2" borderId="1" xfId="0" applyNumberFormat="1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4" fillId="0" borderId="2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3" fillId="2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4_002_Credit_Note_DC_Fresh_Good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U10"/>
  <sheetViews>
    <sheetView topLeftCell="O1" workbookViewId="0">
      <selection activeCell="O2" sqref="O2"/>
    </sheetView>
  </sheetViews>
  <sheetFormatPr defaultColWidth="9.125" defaultRowHeight="14.25"/>
  <cols>
    <col min="1" max="1" width="38.125" style="10" customWidth="1"/>
    <col min="2" max="2" width="15" style="10" customWidth="1"/>
    <col min="3" max="3" width="13.625" style="10" customWidth="1"/>
    <col min="4" max="4" width="47" style="10" customWidth="1"/>
    <col min="5" max="5" width="18.625" style="10" customWidth="1"/>
    <col min="6" max="6" width="16.75" style="10" customWidth="1"/>
    <col min="7" max="7" width="27.125" style="10" customWidth="1"/>
    <col min="8" max="8" width="33.375" style="10" customWidth="1"/>
    <col min="9" max="9" width="30.875" style="10" customWidth="1"/>
    <col min="10" max="10" width="32.25" style="10" customWidth="1"/>
    <col min="11" max="11" width="27.375" style="10" customWidth="1"/>
    <col min="12" max="12" width="30.875" style="10" customWidth="1"/>
    <col min="13" max="14" width="27.875" style="10" customWidth="1"/>
    <col min="15" max="15" width="23.75" style="10" customWidth="1"/>
    <col min="16" max="16" width="25.375" style="10" customWidth="1"/>
    <col min="17" max="17" width="20.75" style="10" customWidth="1"/>
    <col min="18" max="18" width="19" style="10" customWidth="1"/>
    <col min="19" max="19" width="43.5" style="10" customWidth="1"/>
    <col min="20" max="20" width="39.25" style="10" customWidth="1"/>
    <col min="21" max="21" width="20.5" style="10" customWidth="1"/>
    <col min="22" max="22" width="39.25" style="10" customWidth="1"/>
    <col min="23" max="23" width="27.875" style="10" customWidth="1"/>
    <col min="24" max="24" width="43.125" style="10" customWidth="1"/>
    <col min="25" max="25" width="49" style="10" customWidth="1"/>
    <col min="26" max="26" width="28.125" style="10" customWidth="1"/>
    <col min="27" max="27" width="18" style="10" customWidth="1"/>
    <col min="28" max="28" width="33.25" style="10" customWidth="1"/>
    <col min="29" max="29" width="26.625" style="10" customWidth="1"/>
    <col min="30" max="30" width="55.25" style="10" customWidth="1"/>
    <col min="31" max="31" width="39.25" style="10" customWidth="1"/>
    <col min="32" max="32" width="26.375" style="10" customWidth="1"/>
    <col min="33" max="33" width="39.25" style="10" customWidth="1"/>
    <col min="34" max="34" width="38.75" style="10" customWidth="1"/>
    <col min="35" max="35" width="27.875" style="10" customWidth="1"/>
    <col min="36" max="36" width="60.5" style="10" customWidth="1"/>
    <col min="37" max="37" width="39.25" style="10" customWidth="1"/>
    <col min="38" max="38" width="26.375" style="10" customWidth="1"/>
    <col min="39" max="39" width="39.25" style="10" customWidth="1"/>
    <col min="40" max="40" width="36.75" style="10" customWidth="1"/>
    <col min="41" max="41" width="27.875" style="10" customWidth="1"/>
    <col min="42" max="42" width="26.125" style="10" customWidth="1"/>
    <col min="43" max="43" width="23.875" style="10" customWidth="1"/>
    <col min="44" max="44" width="26.875" style="10" customWidth="1"/>
    <col min="45" max="45" width="26.125" style="10" customWidth="1"/>
    <col min="46" max="46" width="53" style="10" customWidth="1"/>
    <col min="47" max="47" width="11" style="14" customWidth="1"/>
    <col min="48" max="16384" width="9.125" style="10" customWidth="1"/>
  </cols>
  <sheetData>
    <row r="1" ht="12.75" customHeight="1" customFormat="1">
      <c r="A1" t="s">
        <v>26</v>
      </c>
      <c r="B1" t="s">
        <v>80</v>
      </c>
      <c r="C1" t="s">
        <v>75</v>
      </c>
      <c r="D1" t="s">
        <v>70</v>
      </c>
      <c r="E1" t="s">
        <v>32</v>
      </c>
      <c r="F1" t="s">
        <v>33</v>
      </c>
      <c r="G1" t="s">
        <v>1</v>
      </c>
      <c r="H1" t="s">
        <v>56</v>
      </c>
      <c r="I1" t="s">
        <v>61</v>
      </c>
      <c r="J1" t="s">
        <v>76</v>
      </c>
      <c r="K1" t="s">
        <v>8</v>
      </c>
      <c r="L1" t="s">
        <v>12</v>
      </c>
      <c r="M1" t="s">
        <v>51</v>
      </c>
      <c r="N1" t="s">
        <v>62</v>
      </c>
      <c r="O1" t="s">
        <v>2</v>
      </c>
      <c r="P1" t="s">
        <v>81</v>
      </c>
      <c r="Q1" t="s">
        <v>21</v>
      </c>
      <c r="R1" t="s">
        <v>46</v>
      </c>
      <c r="S1" t="s">
        <v>13</v>
      </c>
      <c r="T1" t="s">
        <v>35</v>
      </c>
      <c r="U1" t="s">
        <v>36</v>
      </c>
      <c r="V1" t="s">
        <v>52</v>
      </c>
      <c r="W1" t="s">
        <v>82</v>
      </c>
      <c r="X1" t="s">
        <v>28</v>
      </c>
      <c r="Y1" t="s">
        <v>9</v>
      </c>
      <c r="Z1" t="s">
        <v>53</v>
      </c>
      <c r="AA1" t="s">
        <v>64</v>
      </c>
      <c r="AB1" t="s">
        <v>65</v>
      </c>
      <c r="AC1" t="s">
        <v>43</v>
      </c>
      <c r="AD1" t="s">
        <v>47</v>
      </c>
      <c r="AE1" t="s">
        <v>77</v>
      </c>
      <c r="AF1" t="s">
        <v>44</v>
      </c>
      <c r="AG1" t="s">
        <v>11</v>
      </c>
      <c r="AH1" t="s">
        <v>29</v>
      </c>
      <c r="AI1" t="s">
        <v>5</v>
      </c>
      <c r="AJ1" t="s">
        <v>40</v>
      </c>
      <c r="AK1" t="s">
        <v>38</v>
      </c>
      <c r="AL1" t="s">
        <v>66</v>
      </c>
      <c r="AM1" t="s">
        <v>54</v>
      </c>
      <c r="AN1" t="s">
        <v>3</v>
      </c>
      <c r="AO1" t="s">
        <v>39</v>
      </c>
      <c r="AP1" t="s">
        <v>45</v>
      </c>
      <c r="AQ1" t="s">
        <v>30</v>
      </c>
      <c r="AR1" t="s">
        <v>84</v>
      </c>
      <c r="AS1" t="s">
        <v>23</v>
      </c>
      <c r="AT1" t="s">
        <v>24</v>
      </c>
      <c r="AU1" t="s">
        <v>58</v>
      </c>
    </row>
    <row r="2" s="10" customFormat="1">
      <c r="A2" s="5" t="s">
        <v>69</v>
      </c>
      <c r="B2" s="5" t="s">
        <v>18</v>
      </c>
      <c r="C2" s="11" t="s">
        <v>27</v>
      </c>
      <c r="D2" s="11" t="s">
        <v>60</v>
      </c>
      <c r="E2" s="5" t="s">
        <v>49</v>
      </c>
      <c r="F2" s="2" t="s">
        <v>0</v>
      </c>
      <c r="G2" s="2" t="s">
        <v>50</v>
      </c>
      <c r="H2" s="2" t="s">
        <v>50</v>
      </c>
      <c r="I2" s="3" t="s">
        <v>19</v>
      </c>
      <c r="J2" s="9">
        <f ca="1">TODAY()</f>
        <v>45959</v>
      </c>
      <c r="K2" s="12" t="s">
        <v>71</v>
      </c>
      <c r="L2" s="3" t="s">
        <v>20</v>
      </c>
      <c r="M2" s="12" t="str">
        <f>K2</f>
        <v>DN4309530085</v>
      </c>
      <c r="N2" s="4" t="e">
        <f>[1]Output!B2</f>
        <v>#REF!</v>
      </c>
      <c r="O2" s="8" t="e">
        <f>IF(RIGHT(N2,1) = "-",TEXT(LEFT(N2,LEN(N2)-1),"00,00"),N2)</f>
        <v>#REF!</v>
      </c>
      <c r="P2" s="3" t="s">
        <v>63</v>
      </c>
      <c r="Q2" s="2" t="s">
        <v>34</v>
      </c>
      <c r="R2" s="4" t="e">
        <f>[1]Output!C2</f>
        <v>#REF!</v>
      </c>
      <c r="S2" s="6" t="e">
        <f>"Document no. "&amp; R2 &amp;" created"</f>
        <v>#REF!</v>
      </c>
      <c r="T2" s="2" t="s">
        <v>22</v>
      </c>
      <c r="U2" s="2" t="s">
        <v>37</v>
      </c>
      <c r="V2" s="2" t="s">
        <v>37</v>
      </c>
      <c r="W2" s="3" t="s">
        <v>14</v>
      </c>
      <c r="X2" s="3" t="s">
        <v>83</v>
      </c>
      <c r="Y2" s="3" t="s">
        <v>72</v>
      </c>
      <c r="Z2" s="9">
        <f ca="1" t="shared" si="0" ref="Z2:AA2">TODAY()</f>
        <v>45959</v>
      </c>
      <c r="AA2" s="9">
        <f ca="1" t="shared" si="0"/>
        <v>45959</v>
      </c>
      <c r="AB2" s="3" t="s">
        <v>10</v>
      </c>
      <c r="AC2" s="2" t="s">
        <v>34</v>
      </c>
      <c r="AD2" s="13" t="e">
        <f>R2</f>
        <v>#REF!</v>
      </c>
      <c r="AE2" s="2" t="s">
        <v>22</v>
      </c>
      <c r="AF2" s="2" t="s">
        <v>57</v>
      </c>
      <c r="AG2" s="2" t="s">
        <v>57</v>
      </c>
      <c r="AH2" s="3" t="s">
        <v>10</v>
      </c>
      <c r="AI2" s="8">
        <f ca="1">YEAR(TODAY())</f>
        <v>2025</v>
      </c>
      <c r="AJ2" s="4" t="e">
        <f>[1]Output!E2</f>
        <v>#REF!</v>
      </c>
      <c r="AK2" s="2" t="s">
        <v>22</v>
      </c>
      <c r="AL2" s="2" t="s">
        <v>67</v>
      </c>
      <c r="AM2" s="2" t="s">
        <v>67</v>
      </c>
      <c r="AN2" s="3" t="s">
        <v>19</v>
      </c>
      <c r="AO2" s="8">
        <f ca="1">YEAR(TODAY())</f>
        <v>2025</v>
      </c>
      <c r="AP2" s="3" t="s">
        <v>15</v>
      </c>
      <c r="AQ2" s="3" t="s">
        <v>15</v>
      </c>
      <c r="AR2" s="3" t="s">
        <v>16</v>
      </c>
      <c r="AS2" s="4" t="e">
        <f>[1]Output!F2</f>
        <v>#REF!</v>
      </c>
      <c r="AT2" s="6" t="e">
        <f>"Document "&amp;AS2&amp;" was posted in company code GR02"</f>
        <v>#REF!</v>
      </c>
      <c r="AU2" s="17">
        <v>6000728571</v>
      </c>
    </row>
    <row r="3" s="10" customFormat="1">
      <c r="A3" s="5" t="s">
        <v>74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7"/>
    </row>
    <row r="4" s="10" customFormat="1">
      <c r="A4" s="15" t="s">
        <v>31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7"/>
    </row>
    <row r="5" s="10" customFormat="1">
      <c r="A5" s="1" t="s">
        <v>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7"/>
    </row>
    <row r="6" s="10" customFormat="1">
      <c r="A6" s="4" t="s">
        <v>79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7"/>
    </row>
    <row r="7" s="10" customFormat="1">
      <c r="A7" s="13" t="s">
        <v>17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7"/>
    </row>
    <row r="8" s="10" customFormat="1">
      <c r="A8" s="6" t="s">
        <v>41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7"/>
    </row>
    <row r="9" s="10" customFormat="1">
      <c r="A9" s="19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7"/>
    </row>
    <row r="10" s="10" customFormat="1">
      <c r="A10" s="18" t="s">
        <v>42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selection activeCell="A2" sqref="A2"/>
    </sheetView>
  </sheetViews>
  <sheetFormatPr defaultColWidth="9.125" defaultRowHeight="14.25"/>
  <cols>
    <col min="1" max="1" width="38.875" style="10" bestFit="1" customWidth="1"/>
    <col min="2" max="2" width="26.625" style="10" bestFit="1" customWidth="1"/>
    <col min="3" max="3" width="23.125" style="10" bestFit="1" customWidth="1"/>
    <col min="4" max="4" width="18" style="10" bestFit="1" customWidth="1"/>
    <col min="5" max="5" width="47.125" style="10" bestFit="1" customWidth="1"/>
    <col min="6" max="16384" width="9.125" style="10" customWidth="1"/>
  </cols>
  <sheetData>
    <row r="1" ht="12.75" customHeight="1" customFormat="1">
      <c r="A1" t="s">
        <v>26</v>
      </c>
      <c r="B1" t="s">
        <v>48</v>
      </c>
      <c r="C1" t="s">
        <v>78</v>
      </c>
      <c r="D1" t="s">
        <v>25</v>
      </c>
      <c r="E1" t="s">
        <v>68</v>
      </c>
      <c r="F1" t="s">
        <v>73</v>
      </c>
      <c r="G1" t="s">
        <v>4</v>
      </c>
    </row>
    <row r="2">
      <c r="A2" s="5" t="s">
        <v>69</v>
      </c>
      <c r="B2" s="1" t="s">
        <v>55</v>
      </c>
      <c r="C2" s="1">
        <v>6056579544</v>
      </c>
      <c r="D2" s="1">
        <v>3730166911</v>
      </c>
      <c r="E2" s="1"/>
      <c r="F2" s="1">
        <v>5170006556</v>
      </c>
      <c r="G2" s="16" t="s">
        <v>59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