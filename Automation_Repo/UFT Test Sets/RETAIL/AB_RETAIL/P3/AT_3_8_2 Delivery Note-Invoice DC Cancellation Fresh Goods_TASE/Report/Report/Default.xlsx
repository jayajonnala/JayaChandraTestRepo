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PRE_02LIV08_002" sheetId="4" r:id="rId4"/>
    <sheet name="TC2_Test_02LIV08_002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<sst xmlns="http://schemas.openxmlformats.org/spreadsheetml/2006/main" uniqueCount="81">
  <si>
    <t/>
  </si>
  <si>
    <t>DT_SAPTRANSACTIONCODE</t>
  </si>
  <si>
    <t>DT_ACC_DOC_NUM</t>
  </si>
  <si>
    <t>DT_EXPECTEDVALUE_OCC3</t>
  </si>
  <si>
    <t>DT_REV_DOC_NUM</t>
  </si>
  <si>
    <t>DT_MR8M_600_GRIDCELL_23_VARIANT_NAME</t>
  </si>
  <si>
    <t>Data passed to port OK</t>
  </si>
  <si>
    <t>DT_MR8M_120_OKCD</t>
  </si>
  <si>
    <t>DT_PU_NUM</t>
  </si>
  <si>
    <t>DT_MR8M_2010_GODYNPROMAT_DOC</t>
  </si>
  <si>
    <t>Verifications Date</t>
  </si>
  <si>
    <t>Data Coming from another test</t>
  </si>
  <si>
    <t>DT_EXPECTEDTRANSACTIONCODE_OCC4</t>
  </si>
  <si>
    <t>DT_MR8M_1_CHECK_TEXT_OF_STATUSBAR</t>
  </si>
  <si>
    <t>PU40022439</t>
  </si>
  <si>
    <t>Scenario</t>
  </si>
  <si>
    <t>Output Data</t>
  </si>
  <si>
    <t>%blank%</t>
  </si>
  <si>
    <t>OFF</t>
  </si>
  <si>
    <t>/nmigo</t>
  </si>
  <si>
    <t>200</t>
  </si>
  <si>
    <t>DT_EXPECTEDVALUE</t>
  </si>
  <si>
    <t>DT_MR8M_100_CREATED_BY</t>
  </si>
  <si>
    <t>MIGO</t>
  </si>
  <si>
    <t>DT_MR8M_0304_ITEM_OK</t>
  </si>
  <si>
    <t>ON</t>
  </si>
  <si>
    <t>DT_SAPSYSTEM</t>
  </si>
  <si>
    <t>AUTOAB</t>
  </si>
  <si>
    <t>DT_MR8M_600_GRIDCELL_23_VARIANT_NAME_OCC2</t>
  </si>
  <si>
    <t>DT_GR_NUM_OUTPUT</t>
  </si>
  <si>
    <t>Input Data</t>
  </si>
  <si>
    <t>DT_SAPLANGUAGE</t>
  </si>
  <si>
    <t>DT_SAPOPTIONS</t>
  </si>
  <si>
    <t>S</t>
  </si>
  <si>
    <t>WE09</t>
  </si>
  <si>
    <t>/nmir4</t>
  </si>
  <si>
    <t>DT_MR8M_6150_INVOICE_DOCUMENT_NO</t>
  </si>
  <si>
    <t>DT_MR8M_1000_TEST_MODE</t>
  </si>
  <si>
    <t>DT_EXPECTEDTRANSACTIONCODE_OCC5</t>
  </si>
  <si>
    <t>DT_PU_OUTPUT</t>
  </si>
  <si>
    <t>Row</t>
  </si>
  <si>
    <t>DT_MR8M_300_OKCD</t>
  </si>
  <si>
    <t>DT_MR8M_120_CHECK_TEXT_OF_DATA_PASSED_TO_PORT_OK</t>
  </si>
  <si>
    <t>DT_MR8M_120_CHECK_TEXT_OF_STATUSBAR</t>
  </si>
  <si>
    <t>Formulas Date</t>
  </si>
  <si>
    <t>Verifications</t>
  </si>
  <si>
    <t>Execution Control Data</t>
  </si>
  <si>
    <t>DT_ACC_DOC_NUM_OUTPUT</t>
  </si>
  <si>
    <t>5437a04a21e66f6527e527dfa825c285e0597d03328a917b</t>
  </si>
  <si>
    <t>EN</t>
  </si>
  <si>
    <t>DT_MR8M_300_REVERSAL_REASON</t>
  </si>
  <si>
    <t>DT_EXPECTEDTRANSACTIONCODE_OCC2</t>
  </si>
  <si>
    <t>AUTOMATION PURPOSE</t>
  </si>
  <si>
    <t>DT_MR8M_120_OKCD_OCC2</t>
  </si>
  <si>
    <t>DT_NUM_OUTPUT</t>
  </si>
  <si>
    <t>Formulas General</t>
  </si>
  <si>
    <t>DT_EXPECTEDTRANSACTIONCODE</t>
  </si>
  <si>
    <t>DT_MR8M_300_FISCAL_YEAR</t>
  </si>
  <si>
    <t>MIR4</t>
  </si>
  <si>
    <t>03</t>
  </si>
  <si>
    <t>DT_MR8M_1000_FOR_VALUE_</t>
  </si>
  <si>
    <t>DT_EXPECTEDVALUE_OCC2</t>
  </si>
  <si>
    <t>J1GP01</t>
  </si>
  <si>
    <t>R1E - SAP RETAIL Pre-Production EUROPE</t>
  </si>
  <si>
    <t>Fixed Data</t>
  </si>
  <si>
    <t>DT_SAPPASSWORD</t>
  </si>
  <si>
    <t>/nwe09</t>
  </si>
  <si>
    <t>DT_VARIANT_NAME</t>
  </si>
  <si>
    <t>ZMDIV_MIRO</t>
  </si>
  <si>
    <t>DT_GR_NUM</t>
  </si>
  <si>
    <t>02LIV08_002_Deliv_Note-Invoice_DC_Cancellation_Fresh_Goods</t>
  </si>
  <si>
    <t>Login Information</t>
  </si>
  <si>
    <t>DT_SAPUSER</t>
  </si>
  <si>
    <t>MR8M</t>
  </si>
  <si>
    <t>DT_MR8M_300_INVOICE_DOCUMENT_NO</t>
  </si>
  <si>
    <t>DT_EXPECTEDTRANSACTIONCODE_OCC3</t>
  </si>
  <si>
    <t>DT_MR8M_6000_OKCD</t>
  </si>
  <si>
    <t>/nj1gp01</t>
  </si>
  <si>
    <t>DT_SAPCLIENT</t>
  </si>
  <si>
    <t>DT_MR8M_300_CHECK_TEXT_OF_STATUSBAR</t>
  </si>
  <si>
    <t>DT_MR8M_1000_DOCUMENT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</si>
</sst>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10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08_002_Deliv_Note-Invoice_DC_Cancellation_Fresh_Good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P15"/>
  <sheetViews>
    <sheetView workbookViewId="0">
      <pane xSplit="1" ySplit="0" topLeftCell="AQ2" activePane="topRight"/>
      <selection activeCell="AQ2" sqref="AQ2"/>
      <selection pane="topRight" activeCell="AQ2" sqref="AQ2"/>
    </sheetView>
  </sheetViews>
  <sheetFormatPr defaultColWidth="9.125" defaultRowHeight="14.25"/>
  <cols>
    <col min="1" max="1" width="4.75" style="12" customWidth="1"/>
    <col min="2" max="2" width="55.25" style="12" customWidth="1"/>
    <col min="3" max="3" width="38.875" style="12" customWidth="1"/>
    <col min="4" max="4" width="15" style="12" customWidth="1"/>
    <col min="5" max="5" width="13.625" style="12" customWidth="1"/>
    <col min="6" max="6" width="49" style="12" customWidth="1"/>
    <col min="7" max="7" width="18.625" style="12" customWidth="1"/>
    <col min="8" max="8" width="16.75" style="12" customWidth="1"/>
    <col min="9" max="9" width="27.125" style="12" customWidth="1"/>
    <col min="10" max="10" width="33.875" style="12" customWidth="1"/>
    <col min="11" max="11" width="39.125" style="12" customWidth="1"/>
    <col min="12" max="12" width="19" style="12" customWidth="1"/>
    <col min="13" max="13" width="27.625" style="12" customWidth="1"/>
    <col min="14" max="14" width="34.375" style="12" customWidth="1"/>
    <col min="15" max="15" width="20.75" style="12" customWidth="1"/>
    <col min="16" max="16" width="66.875" style="12" customWidth="1"/>
    <col min="17" max="17" width="20.75" style="12" customWidth="1"/>
    <col min="18" max="18" width="40.25" style="12" customWidth="1"/>
    <col min="19" max="19" width="23.25" style="12" customWidth="1"/>
    <col min="20" max="20" width="27.75" style="12" customWidth="1"/>
    <col min="21" max="21" width="43.25" style="12" customWidth="1"/>
    <col min="22" max="22" width="49.625" style="12" customWidth="1"/>
    <col min="23" max="23" width="28.375" style="12" customWidth="1"/>
    <col min="24" max="24" width="27.125" style="12" customWidth="1"/>
    <col min="25" max="25" width="60.375" style="12" customWidth="1"/>
    <col min="26" max="26" width="20.75" style="12" customWidth="1"/>
    <col min="27" max="27" width="40.25" style="12" customWidth="1"/>
    <col min="28" max="28" width="40.125" style="12" customWidth="1"/>
    <col min="29" max="29" width="21.875" style="12" customWidth="1"/>
    <col min="30" max="30" width="40.25" style="12" customWidth="1"/>
    <col min="31" max="31" width="19.125" style="12" customWidth="1"/>
    <col min="32" max="32" width="27.5" style="12" customWidth="1"/>
    <col min="33" max="33" width="28" style="12" customWidth="1"/>
    <col min="34" max="34" width="27.125" style="12" customWidth="1"/>
    <col min="35" max="35" width="12.5" style="12" customWidth="1"/>
    <col min="36" max="36" width="51.875" style="12" customWidth="1"/>
    <col min="37" max="37" width="27.25" style="12" customWidth="1"/>
    <col min="38" max="38" width="40.25" style="12" customWidth="1"/>
    <col min="39" max="39" width="36.875" style="12" customWidth="1"/>
    <col min="40" max="40" width="24.5" style="12" customWidth="1"/>
    <col min="41" max="41" width="12.625" style="12" customWidth="1"/>
    <col min="42" max="42" width="42" style="12" customWidth="1"/>
    <col min="43" max="16384" width="9.125" style="12" customWidth="1"/>
  </cols>
  <sheetData>
    <row r="1" ht="12.75" customHeight="1" customFormat="1">
      <c r="A1" t="s">
        <v>40</v>
      </c>
      <c r="B1" t="s">
        <v>15</v>
      </c>
      <c r="C1" t="s">
        <v>26</v>
      </c>
      <c r="D1" t="s">
        <v>78</v>
      </c>
      <c r="E1" t="s">
        <v>72</v>
      </c>
      <c r="F1" t="s">
        <v>65</v>
      </c>
      <c r="G1" t="s">
        <v>31</v>
      </c>
      <c r="H1" t="s">
        <v>32</v>
      </c>
      <c r="I1" t="s">
        <v>1</v>
      </c>
      <c r="J1" t="s">
        <v>56</v>
      </c>
      <c r="K1" t="s">
        <v>74</v>
      </c>
      <c r="L1" t="s">
        <v>4</v>
      </c>
      <c r="M1" t="s">
        <v>57</v>
      </c>
      <c r="N1" t="s">
        <v>50</v>
      </c>
      <c r="O1" t="s">
        <v>21</v>
      </c>
      <c r="P1" t="s">
        <v>79</v>
      </c>
      <c r="Q1" t="s">
        <v>41</v>
      </c>
      <c r="R1" t="s">
        <v>51</v>
      </c>
      <c r="S1" t="s">
        <v>67</v>
      </c>
      <c r="T1" t="s">
        <v>22</v>
      </c>
      <c r="U1" t="s">
        <v>5</v>
      </c>
      <c r="V1" t="s">
        <v>28</v>
      </c>
      <c r="W1" t="s">
        <v>60</v>
      </c>
      <c r="X1" t="s">
        <v>61</v>
      </c>
      <c r="Y1" t="s">
        <v>42</v>
      </c>
      <c r="Z1" t="s">
        <v>7</v>
      </c>
      <c r="AA1" t="s">
        <v>75</v>
      </c>
      <c r="AB1" t="s">
        <v>36</v>
      </c>
      <c r="AC1" t="s">
        <v>76</v>
      </c>
      <c r="AD1" t="s">
        <v>12</v>
      </c>
      <c r="AE1" t="s">
        <v>2</v>
      </c>
      <c r="AF1" t="s">
        <v>80</v>
      </c>
      <c r="AG1" t="s">
        <v>37</v>
      </c>
      <c r="AH1" t="s">
        <v>3</v>
      </c>
      <c r="AI1" t="s">
        <v>8</v>
      </c>
      <c r="AJ1" t="s">
        <v>43</v>
      </c>
      <c r="AK1" t="s">
        <v>53</v>
      </c>
      <c r="AL1" t="s">
        <v>38</v>
      </c>
      <c r="AM1" t="s">
        <v>9</v>
      </c>
      <c r="AN1" t="s">
        <v>24</v>
      </c>
      <c r="AO1" t="s">
        <v>69</v>
      </c>
      <c r="AP1" t="s">
        <v>13</v>
      </c>
    </row>
    <row r="2">
      <c r="A2" s="4">
        <v>1</v>
      </c>
      <c r="B2" s="4" t="s">
        <v>70</v>
      </c>
      <c r="C2" s="2" t="s">
        <v>63</v>
      </c>
      <c r="D2" s="2" t="s">
        <v>20</v>
      </c>
      <c r="E2" s="2" t="s">
        <v>27</v>
      </c>
      <c r="F2" s="2" t="s">
        <v>48</v>
      </c>
      <c r="G2" s="2" t="s">
        <v>49</v>
      </c>
      <c r="H2" s="2" t="s">
        <v>0</v>
      </c>
      <c r="I2" s="2" t="s">
        <v>73</v>
      </c>
      <c r="J2" s="2" t="s">
        <v>73</v>
      </c>
      <c r="K2" s="7">
        <v>0</v>
      </c>
      <c r="L2" s="6" t="e">
        <f>[1]Output!C2</f>
        <v>#REF!</v>
      </c>
      <c r="M2" s="10" t="str">
        <f ca="1">TEXT(TODAY(),"yyyy")</f>
        <v>2025</v>
      </c>
      <c r="N2" s="10" t="s">
        <v>59</v>
      </c>
      <c r="O2" s="20" t="s">
        <v>33</v>
      </c>
      <c r="P2" s="5" t="e">
        <f>CONCATENATE("Document reversed with no. ",L2,": Please manually clear FI documents")</f>
        <v>#REF!</v>
      </c>
      <c r="Q2" s="1" t="s">
        <v>66</v>
      </c>
      <c r="R2" s="1" t="s">
        <v>34</v>
      </c>
      <c r="S2" s="3" t="s">
        <v>68</v>
      </c>
      <c r="T2" s="3" t="s">
        <v>17</v>
      </c>
      <c r="U2" s="3">
        <v>23</v>
      </c>
      <c r="V2" s="3">
        <v>23</v>
      </c>
      <c r="W2" s="9" t="e">
        <f>L2</f>
        <v>#REF!</v>
      </c>
      <c r="X2" s="1" t="s">
        <v>33</v>
      </c>
      <c r="Y2" s="5" t="s">
        <v>6</v>
      </c>
      <c r="Z2" s="1" t="s">
        <v>35</v>
      </c>
      <c r="AA2" s="1" t="s">
        <v>58</v>
      </c>
      <c r="AB2" s="9" t="e">
        <f>L2</f>
        <v>#REF!</v>
      </c>
      <c r="AC2" s="1" t="s">
        <v>77</v>
      </c>
      <c r="AD2" s="1" t="s">
        <v>62</v>
      </c>
      <c r="AE2" s="6" t="e">
        <f>[1]Output!D2</f>
        <v>#REF!</v>
      </c>
      <c r="AF2" s="9" t="e">
        <f>AE2</f>
        <v>#REF!</v>
      </c>
      <c r="AG2" s="1" t="s">
        <v>18</v>
      </c>
      <c r="AH2" s="1" t="s">
        <v>33</v>
      </c>
      <c r="AI2" s="6" t="e">
        <f>[1]Output!E2</f>
        <v>#REF!</v>
      </c>
      <c r="AJ2" s="5" t="e">
        <f>CONCATENATE("Document ",AI2," was posted in company code GR02")</f>
        <v>#REF!</v>
      </c>
      <c r="AK2" s="1" t="s">
        <v>19</v>
      </c>
      <c r="AL2" s="1" t="s">
        <v>23</v>
      </c>
      <c r="AM2" s="7">
        <v>5079046297</v>
      </c>
      <c r="AN2" s="1" t="s">
        <v>25</v>
      </c>
      <c r="AO2" s="6" t="e">
        <f>[1]Output!F2</f>
        <v>#REF!</v>
      </c>
      <c r="AP2" s="17" t="e">
        <f>CONCATENATE("Article document ",AO2," posted")</f>
        <v>#REF!</v>
      </c>
    </row>
    <row r="3">
      <c r="A3" s="4">
        <v>2</v>
      </c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" t="s">
        <v>52</v>
      </c>
      <c r="T3" s="1"/>
      <c r="U3" s="3">
        <v>50</v>
      </c>
      <c r="V3" s="3">
        <v>50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3"/>
    </row>
    <row r="4">
      <c r="A4" s="4"/>
      <c r="B4" s="4"/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3"/>
    </row>
    <row r="5">
      <c r="A5" s="4"/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3"/>
    </row>
    <row r="6">
      <c r="A6" s="4"/>
      <c r="B6" s="4"/>
      <c r="C6" s="19" t="s">
        <v>71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3"/>
    </row>
    <row r="7">
      <c r="A7" s="4"/>
      <c r="B7" s="4"/>
      <c r="C7" s="3" t="s">
        <v>30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3"/>
    </row>
    <row r="8">
      <c r="A8" s="4"/>
      <c r="B8" s="4"/>
      <c r="C8" s="11" t="s">
        <v>64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3"/>
    </row>
    <row r="9">
      <c r="A9" s="4"/>
      <c r="B9" s="4"/>
      <c r="C9" s="21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3"/>
    </row>
    <row r="10">
      <c r="A10" s="4"/>
      <c r="B10" s="4"/>
      <c r="C10" s="14" t="s">
        <v>44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3"/>
    </row>
    <row r="11">
      <c r="A11" s="4"/>
      <c r="B11" s="4"/>
      <c r="C11" s="15" t="s">
        <v>55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3"/>
    </row>
    <row r="12">
      <c r="A12" s="4"/>
      <c r="B12" s="4"/>
      <c r="C12" s="5" t="s">
        <v>45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3"/>
    </row>
    <row r="13">
      <c r="A13" s="4"/>
      <c r="B13" s="4"/>
      <c r="C13" s="18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3"/>
    </row>
    <row r="14">
      <c r="A14" s="4"/>
      <c r="B14" s="4"/>
      <c r="C14" s="7" t="s">
        <v>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3"/>
    </row>
    <row r="15">
      <c r="A15" s="4"/>
      <c r="B15" s="4"/>
      <c r="C15" s="16" t="s">
        <v>46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3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selection activeCell="A2" sqref="A2"/>
    </sheetView>
  </sheetViews>
  <sheetFormatPr defaultColWidth="9.125" defaultRowHeight="14.25"/>
  <cols>
    <col min="1" max="1" width="9.125" style="12" customWidth="1"/>
    <col min="2" max="2" width="56.5" style="12" bestFit="1" customWidth="1"/>
    <col min="3" max="3" width="17.75" style="12" bestFit="1" customWidth="1"/>
    <col min="4" max="4" width="28.125" style="12" bestFit="1" customWidth="1"/>
    <col min="5" max="5" width="15.875" style="12" bestFit="1" customWidth="1"/>
    <col min="6" max="6" width="21.75" style="12" bestFit="1" customWidth="1"/>
    <col min="7" max="16384" width="9.125" style="12" customWidth="1"/>
  </cols>
  <sheetData>
    <row r="1" ht="12.75" customHeight="1" customFormat="1">
      <c r="A1" t="s">
        <v>40</v>
      </c>
      <c r="B1" t="s">
        <v>15</v>
      </c>
      <c r="C1" t="s">
        <v>54</v>
      </c>
      <c r="D1" t="s">
        <v>47</v>
      </c>
      <c r="E1" t="s">
        <v>39</v>
      </c>
      <c r="F1" t="s">
        <v>29</v>
      </c>
    </row>
    <row r="2">
      <c r="A2" s="4">
        <v>1</v>
      </c>
      <c r="B2" s="4" t="s">
        <v>70</v>
      </c>
      <c r="C2" s="1">
        <v>6056580258</v>
      </c>
      <c r="D2" s="1"/>
      <c r="E2" s="1" t="s">
        <v>14</v>
      </c>
      <c r="F2" s="13">
        <v>5070167989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8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