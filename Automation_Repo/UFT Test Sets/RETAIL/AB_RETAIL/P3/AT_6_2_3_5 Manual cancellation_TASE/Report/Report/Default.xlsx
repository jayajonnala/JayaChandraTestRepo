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T1_DataTransfer_OneValue" sheetId="3" r:id="rId3"/>
    <sheet name="TC1_Test_06TS01_001" sheetId="4" r:id="rId4"/>
    <sheet name="TC2_Test_06TS_001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<sst xmlns="http://schemas.openxmlformats.org/spreadsheetml/2006/main" uniqueCount="72">
  <si>
    <t>LEGEND</t>
  </si>
  <si>
    <t>54abbf64761ae81fba4ee84f9e6106f803499f48f4d090e9</t>
  </si>
  <si>
    <t/>
  </si>
  <si>
    <t>DT_SAPTRANSACTIONCODE</t>
  </si>
  <si>
    <t>DT_VF11_0102_TABLECELL_DOCUMENT_0</t>
  </si>
  <si>
    <t>VL09</t>
  </si>
  <si>
    <t>GW32</t>
  </si>
  <si>
    <t>DT_VF11_4004_CHECK_TEXT_OF_STATUSBAR</t>
  </si>
  <si>
    <t>DT_VF11_0102_CHECK_TEXT_OF_STATUSBAR_OCC1</t>
  </si>
  <si>
    <t>Data Coming from another test</t>
  </si>
  <si>
    <t>DT_EXPECTEDTRANSACTIONCODE_OCC4</t>
  </si>
  <si>
    <t>AT_6_2_4_1  Triangular Sales cancellation-Negative</t>
  </si>
  <si>
    <t>Output Data</t>
  </si>
  <si>
    <t>DT_VF11_0500_GRIDCELL_1_</t>
  </si>
  <si>
    <t>DT_VF11_0120_CHECK_TEXT_OF_GOODS_ISSUE_FOR_DELIVERY_80161599_CANCELED</t>
  </si>
  <si>
    <t>/nmigo</t>
  </si>
  <si>
    <t>Formulas</t>
  </si>
  <si>
    <t>200</t>
  </si>
  <si>
    <t>DT_DOC_NO</t>
  </si>
  <si>
    <t>DT_VF11_4004_OUTBOUND_DELIVERY</t>
  </si>
  <si>
    <t>/nVA02</t>
  </si>
  <si>
    <t>MIGO</t>
  </si>
  <si>
    <t>DT_VF11_2010_GODYNPROMAT_DOC</t>
  </si>
  <si>
    <t>920</t>
  </si>
  <si>
    <t>DT_SAPSYSTEM</t>
  </si>
  <si>
    <t>AUTOAB</t>
  </si>
  <si>
    <t>DT_INBOUND</t>
  </si>
  <si>
    <t>DT_VF11_0500_OKCD</t>
  </si>
  <si>
    <t>VL02N</t>
  </si>
  <si>
    <t>Input Data</t>
  </si>
  <si>
    <t>DT_SAPLANGUAGE</t>
  </si>
  <si>
    <t>DT_SAPOPTIONS</t>
  </si>
  <si>
    <t>/nvl09</t>
  </si>
  <si>
    <t>DT_EXPECTEDTRANSACTIONCODE_OCC1</t>
  </si>
  <si>
    <t>0</t>
  </si>
  <si>
    <t>SCENARIO</t>
  </si>
  <si>
    <t>DT_DOC_NO_OUTPUT</t>
  </si>
  <si>
    <t>Verifications</t>
  </si>
  <si>
    <t>Execution Control Data</t>
  </si>
  <si>
    <t>AT_6_2_3_5 Manual cancellation</t>
  </si>
  <si>
    <t>DT_VF11_0010_GODYNPROACTION</t>
  </si>
  <si>
    <t>A03</t>
  </si>
  <si>
    <t>DT_VF11_2010_GODYNPRODOC_YEAR</t>
  </si>
  <si>
    <t>EN</t>
  </si>
  <si>
    <t>DT_VF11_0102_BILLING_DATE</t>
  </si>
  <si>
    <t>DT_EXPECTEDTRANSACTIONCODE_OCC2</t>
  </si>
  <si>
    <t>DT_VF11_0001_CHECK_TEXT_OF_STATUSBAR</t>
  </si>
  <si>
    <t>DT_INCREMENT</t>
  </si>
  <si>
    <t>VF11</t>
  </si>
  <si>
    <t>DT_EXPECTEDTRANSACTIONCODE</t>
  </si>
  <si>
    <t>VA02</t>
  </si>
  <si>
    <t>DT_VF11_0325_CHECK_TEXT_OF_MOVEMENT_TYPE</t>
  </si>
  <si>
    <t>DT_DOC_2</t>
  </si>
  <si>
    <t>DT_VF11_0102_OKCD</t>
  </si>
  <si>
    <t>DT_VF11_0102_ORDER</t>
  </si>
  <si>
    <t>DT_ME21N_0001_CHECK_MESSAGEPARAMETER_OF_STATUSBAR</t>
  </si>
  <si>
    <t>R1E - SAP RETAIL Pre-Production EUROPE</t>
  </si>
  <si>
    <t>Fixed Data</t>
  </si>
  <si>
    <t>DT_SAPPASSWORD</t>
  </si>
  <si>
    <t>DT_VF11_0102_CHECK_TEXT_OF_STATUSBAR</t>
  </si>
  <si>
    <t>DT_VF11_1000_INBOUND__OUTBOUND_DELIVERY</t>
  </si>
  <si>
    <t>DT_VF11_0500_CHECK_GETCELLVALUE_OF_GRIDCELL_0_VBELN</t>
  </si>
  <si>
    <t>DT_VF11_4004_OKCD</t>
  </si>
  <si>
    <t>DT_VF11_0102_OKCD_OCC1</t>
  </si>
  <si>
    <t>ROW</t>
  </si>
  <si>
    <t>Login Information</t>
  </si>
  <si>
    <t>DT_SAPUSER</t>
  </si>
  <si>
    <t>DT_VF11_1000_SHIPPING_POINT</t>
  </si>
  <si>
    <t>DT_EXPECTEDTRANSACTIONCODE_OCC3</t>
  </si>
  <si>
    <t>DT_DOC_2_OUTPUT</t>
  </si>
  <si>
    <t>DT_SAPCLIENT</t>
  </si>
  <si>
    <t>/nvl02n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</si>
</sst>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######"/>
    <numFmt numFmtId="166" formatCode="yyyy"/>
  </numFmts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name val="Mic Shell Dlg"/>
      <charset val="1"/>
    </font>
    <font>
      <sz val="10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0" borderId="1" xfId="0" applyFont="1" applyBorder="1" applyProtection="1">
      <protection locked="0"/>
    </xf>
    <xf numFmtId="165" fontId="5" fillId="6" borderId="1" xfId="0" applyNumberFormat="1" applyFont="1" applyFill="1" applyBorder="1" applyProtection="1">
      <protection locked="0"/>
    </xf>
    <xf numFmtId="166" fontId="1" fillId="7" borderId="1" xfId="0" applyNumberFormat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ill="1" applyBorder="1" applyProtection="1">
      <protection locked="0"/>
    </xf>
    <xf numFmtId="49" fontId="4" fillId="3" borderId="1" xfId="0" applyNumberFormat="1" applyFont="1" applyFill="1" applyBorder="1" applyProtection="1">
      <protection locked="0"/>
    </xf>
    <xf numFmtId="0" fontId="6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TASE_DT_06TS_001_%20Manual_cancellatio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17"/>
  <sheetViews>
    <sheetView topLeftCell="G1" workbookViewId="0">
      <selection activeCell="G2" sqref="G2"/>
    </sheetView>
  </sheetViews>
  <sheetFormatPr defaultColWidth="9.125" defaultRowHeight="14.25"/>
  <cols>
    <col min="1" max="1" width="9.125" style="11" customWidth="1"/>
    <col min="2" max="2" width="44.375" style="11" customWidth="1"/>
    <col min="3" max="3" width="38.125" style="11" customWidth="1"/>
    <col min="4" max="4" width="15" style="11" customWidth="1"/>
    <col min="5" max="5" width="13.625" style="11" customWidth="1"/>
    <col min="6" max="6" width="46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28.125" style="11" customWidth="1"/>
    <col min="12" max="12" width="39.25" style="11" customWidth="1"/>
    <col min="13" max="13" width="19" style="11" customWidth="1"/>
    <col min="14" max="14" width="71" style="11" customWidth="1"/>
    <col min="15" max="15" width="20.125" style="11" customWidth="1"/>
    <col min="16" max="16" width="39.25" style="11" customWidth="1"/>
    <col min="17" max="17" width="30.625" style="11" customWidth="1"/>
    <col min="18" max="18" width="30.25" style="11" customWidth="1"/>
    <col min="19" max="19" width="46.625" style="11" customWidth="1"/>
    <col min="20" max="20" width="59.5" style="11" customWidth="1"/>
    <col min="21" max="21" width="27.125" style="11" customWidth="1"/>
    <col min="22" max="22" width="80.125" style="11" customWidth="1"/>
    <col min="23" max="23" width="20.125" style="11" customWidth="1"/>
    <col min="24" max="24" width="39.25" style="11" customWidth="1"/>
    <col min="25" max="25" width="36" style="11" customWidth="1"/>
    <col min="26" max="26" width="43.125" style="11" customWidth="1"/>
    <col min="27" max="27" width="20.125" style="11" customWidth="1"/>
    <col min="28" max="28" width="39.25" style="11" customWidth="1"/>
    <col min="29" max="29" width="21.75" style="11" customWidth="1"/>
    <col min="30" max="30" width="49" style="11" customWidth="1"/>
    <col min="31" max="31" width="26" style="11" customWidth="1"/>
    <col min="32" max="32" width="39.25" style="11" customWidth="1"/>
    <col min="33" max="33" width="32.75" style="11" customWidth="1"/>
    <col min="34" max="34" width="34.75" style="11" customWidth="1"/>
    <col min="35" max="35" width="35.875" style="11" customWidth="1"/>
    <col min="36" max="36" width="48.375" style="11" customWidth="1"/>
    <col min="37" max="37" width="46.875" style="11" customWidth="1"/>
    <col min="38" max="38" width="43.125" style="11" customWidth="1"/>
    <col min="39" max="16384" width="9.125" style="11" customWidth="1"/>
  </cols>
  <sheetData>
    <row r="1" ht="12.75" customHeight="1" customFormat="1">
      <c r="A1" t="s">
        <v>64</v>
      </c>
      <c r="B1" t="s">
        <v>35</v>
      </c>
      <c r="C1" t="s">
        <v>24</v>
      </c>
      <c r="D1" t="s">
        <v>70</v>
      </c>
      <c r="E1" t="s">
        <v>66</v>
      </c>
      <c r="F1" t="s">
        <v>58</v>
      </c>
      <c r="G1" t="s">
        <v>30</v>
      </c>
      <c r="H1" t="s">
        <v>31</v>
      </c>
      <c r="I1" t="s">
        <v>3</v>
      </c>
      <c r="J1" t="s">
        <v>49</v>
      </c>
      <c r="K1" t="s">
        <v>44</v>
      </c>
      <c r="L1" t="s">
        <v>4</v>
      </c>
      <c r="M1" t="s">
        <v>18</v>
      </c>
      <c r="N1" t="s">
        <v>59</v>
      </c>
      <c r="O1" t="s">
        <v>53</v>
      </c>
      <c r="P1" t="s">
        <v>33</v>
      </c>
      <c r="Q1" t="s">
        <v>67</v>
      </c>
      <c r="R1" t="s">
        <v>26</v>
      </c>
      <c r="S1" t="s">
        <v>60</v>
      </c>
      <c r="T1" t="s">
        <v>61</v>
      </c>
      <c r="U1" t="s">
        <v>13</v>
      </c>
      <c r="V1" t="s">
        <v>14</v>
      </c>
      <c r="W1" t="s">
        <v>27</v>
      </c>
      <c r="X1" t="s">
        <v>45</v>
      </c>
      <c r="Y1" t="s">
        <v>19</v>
      </c>
      <c r="Z1" t="s">
        <v>7</v>
      </c>
      <c r="AA1" t="s">
        <v>62</v>
      </c>
      <c r="AB1" t="s">
        <v>68</v>
      </c>
      <c r="AC1" t="s">
        <v>54</v>
      </c>
      <c r="AD1" t="s">
        <v>8</v>
      </c>
      <c r="AE1" t="s">
        <v>63</v>
      </c>
      <c r="AF1" t="s">
        <v>10</v>
      </c>
      <c r="AG1" t="s">
        <v>40</v>
      </c>
      <c r="AH1" t="s">
        <v>22</v>
      </c>
      <c r="AI1" t="s">
        <v>42</v>
      </c>
      <c r="AJ1" t="s">
        <v>51</v>
      </c>
      <c r="AK1" t="s">
        <v>52</v>
      </c>
      <c r="AL1" t="s">
        <v>46</v>
      </c>
      <c r="AM1" t="s">
        <v>36</v>
      </c>
      <c r="AN1" t="s">
        <v>69</v>
      </c>
      <c r="AO1" t="s">
        <v>47</v>
      </c>
    </row>
    <row r="2">
      <c r="A2" s="1">
        <v>1</v>
      </c>
      <c r="B2" s="1"/>
      <c r="C2" s="5" t="s">
        <v>56</v>
      </c>
      <c r="D2" s="4" t="s">
        <v>17</v>
      </c>
      <c r="E2" s="4"/>
      <c r="F2" s="4"/>
      <c r="G2" s="4" t="s">
        <v>43</v>
      </c>
      <c r="H2" s="5" t="s">
        <v>2</v>
      </c>
      <c r="I2" s="3" t="s">
        <v>48</v>
      </c>
      <c r="J2" s="2" t="s">
        <v>48</v>
      </c>
      <c r="K2" s="16">
        <f ca="1">TODAY()</f>
        <v>45958</v>
      </c>
      <c r="L2" s="8">
        <v>9000053704</v>
      </c>
      <c r="M2" s="6" t="e">
        <f>[1]Output!C2</f>
        <v>#REF!</v>
      </c>
      <c r="N2" s="2" t="e">
        <f>CONCATENATE("Document ",M2," has been saved")</f>
        <v>#REF!</v>
      </c>
      <c r="O2" s="3" t="s">
        <v>32</v>
      </c>
      <c r="P2" s="2" t="s">
        <v>5</v>
      </c>
      <c r="Q2" s="3" t="s">
        <v>6</v>
      </c>
      <c r="R2" s="8"/>
      <c r="S2" s="14" t="str">
        <f>RIGHT(R2,8)</f>
        <v/>
      </c>
      <c r="T2" s="2" t="str">
        <f>S2</f>
        <v/>
      </c>
      <c r="U2" s="5" t="s">
        <v>34</v>
      </c>
      <c r="V2" s="2" t="str">
        <f>CONCATENATE("Goods issue for delivery ",S2," canceled")</f>
        <v>Goods issue for delivery  canceled</v>
      </c>
      <c r="W2" s="3" t="s">
        <v>71</v>
      </c>
      <c r="X2" s="2" t="s">
        <v>28</v>
      </c>
      <c r="Y2" s="9" t="str">
        <f>S2</f>
        <v/>
      </c>
      <c r="Z2" s="2" t="str">
        <f>CONCATENATE("AB_TriangularSales ",S2," deleted")</f>
        <v>AB_TriangularSales  deleted</v>
      </c>
      <c r="AA2" s="1" t="s">
        <v>20</v>
      </c>
      <c r="AB2" s="2" t="s">
        <v>50</v>
      </c>
      <c r="AC2" s="7">
        <v>86385</v>
      </c>
      <c r="AD2" s="2" t="str">
        <f>CONCATENATE("TriangularSales ",AC2," deleted")</f>
        <v>TriangularSales 86385 deleted</v>
      </c>
      <c r="AE2" s="3" t="s">
        <v>15</v>
      </c>
      <c r="AF2" s="2" t="s">
        <v>21</v>
      </c>
      <c r="AG2" s="3" t="s">
        <v>41</v>
      </c>
      <c r="AH2" s="7">
        <v>5001836833</v>
      </c>
      <c r="AI2" s="15">
        <f ca="1">TODAY()</f>
        <v>45958</v>
      </c>
      <c r="AJ2" s="2" t="s">
        <v>23</v>
      </c>
      <c r="AK2" s="6" t="e">
        <f>[1]Output!D2</f>
        <v>#REF!</v>
      </c>
      <c r="AL2" s="2" t="e">
        <f>CONCATENATE("Article document ",AK2," posted")</f>
        <v>#REF!</v>
      </c>
      <c r="AM2" s="1"/>
      <c r="AN2" s="1"/>
      <c r="AO2" s="1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3"/>
      <c r="AD3" s="1"/>
      <c r="AE3" s="1"/>
      <c r="AF3" s="1"/>
      <c r="AG3" s="1"/>
      <c r="AH3" s="13"/>
      <c r="AI3" s="1"/>
      <c r="AJ3" s="1"/>
      <c r="AK3" s="1"/>
      <c r="AL3" s="1"/>
      <c r="AM3" s="1"/>
      <c r="AN3" s="1"/>
      <c r="AO3" s="12"/>
    </row>
    <row r="4">
      <c r="A4" s="1">
        <v>3</v>
      </c>
      <c r="B4" s="1" t="s">
        <v>39</v>
      </c>
      <c r="C4" s="5" t="s">
        <v>56</v>
      </c>
      <c r="D4" s="4" t="s">
        <v>17</v>
      </c>
      <c r="E4" s="4" t="s">
        <v>25</v>
      </c>
      <c r="F4" s="4" t="s">
        <v>1</v>
      </c>
      <c r="G4" s="4" t="s">
        <v>43</v>
      </c>
      <c r="H4" s="5" t="s">
        <v>2</v>
      </c>
      <c r="I4" s="3" t="s">
        <v>48</v>
      </c>
      <c r="J4" s="2" t="s">
        <v>48</v>
      </c>
      <c r="K4" s="16">
        <f ca="1" t="shared" si="0" ref="K4:K5">TODAY()</f>
        <v>45958</v>
      </c>
      <c r="L4" s="8">
        <v>9301112027</v>
      </c>
      <c r="M4" s="6" t="e">
        <f>[1]Output!C4</f>
        <v>#REF!</v>
      </c>
      <c r="N4" s="2" t="e">
        <f t="shared" si="1" ref="N4:N5">CONCATENATE("Document ",M4," saved (no automatic clearing of billing document ",L4,")")</f>
        <v>#REF!</v>
      </c>
      <c r="O4" s="3" t="s">
        <v>32</v>
      </c>
      <c r="P4" s="2" t="s">
        <v>5</v>
      </c>
      <c r="Q4" s="3" t="s">
        <v>6</v>
      </c>
      <c r="R4" s="19">
        <v>67406300</v>
      </c>
      <c r="S4" s="14" t="str">
        <f t="shared" si="2" ref="S4:S5">RIGHT(R4,8)</f>
        <v>67406300</v>
      </c>
      <c r="T4" s="2" t="str">
        <f t="shared" si="3" ref="T4:T5">S4</f>
        <v>67406300</v>
      </c>
      <c r="U4" s="5" t="s">
        <v>34</v>
      </c>
      <c r="V4" s="2" t="str">
        <f t="shared" si="4" ref="V4:V5">CONCATENATE("Goods issue for delivery ",S4," canceled")</f>
        <v>Goods issue for delivery 67406300 canceled</v>
      </c>
      <c r="W4" s="3" t="s">
        <v>71</v>
      </c>
      <c r="X4" s="2" t="s">
        <v>28</v>
      </c>
      <c r="Y4" s="9" t="str">
        <f t="shared" si="5" ref="Y4:Y5">S4</f>
        <v>67406300</v>
      </c>
      <c r="Z4" s="2" t="str">
        <f t="shared" si="6" ref="Z4:Z5">CONCATENATE("AB_Outbound Delivery ",S4," deleted")</f>
        <v>AB_Outbound Delivery 67406300 deleted</v>
      </c>
      <c r="AA4" s="1" t="s">
        <v>20</v>
      </c>
      <c r="AB4" s="2" t="s">
        <v>50</v>
      </c>
      <c r="AC4" s="7">
        <v>227203405</v>
      </c>
      <c r="AD4" s="2" t="str">
        <f t="shared" si="7" ref="AD4:AD5">CONCATENATE("TriangularSales ",AC4," deleted")</f>
        <v>TriangularSales 227203405 deleted</v>
      </c>
      <c r="AE4" s="3" t="s">
        <v>15</v>
      </c>
      <c r="AF4" s="2" t="s">
        <v>21</v>
      </c>
      <c r="AG4" s="3" t="s">
        <v>41</v>
      </c>
      <c r="AH4" s="7" t="s">
        <v>55</v>
      </c>
      <c r="AI4" s="15">
        <f ca="1" t="shared" si="8" ref="AI4:AI5">TODAY()</f>
        <v>45958</v>
      </c>
      <c r="AJ4" s="2" t="s">
        <v>23</v>
      </c>
      <c r="AK4" s="6" t="e">
        <f>[1]Output!D4</f>
        <v>#REF!</v>
      </c>
      <c r="AL4" s="2" t="e">
        <f t="shared" si="9" ref="AL4:AL5">CONCATENATE("Article document ",AK4," posted")</f>
        <v>#REF!</v>
      </c>
      <c r="AM4" s="1">
        <v>9045455683</v>
      </c>
      <c r="AN4" s="1">
        <v>5070167972</v>
      </c>
      <c r="AO4" s="12">
        <v>26</v>
      </c>
    </row>
    <row r="5">
      <c r="A5" s="1">
        <v>4</v>
      </c>
      <c r="B5" s="1" t="s">
        <v>11</v>
      </c>
      <c r="C5" s="5" t="s">
        <v>56</v>
      </c>
      <c r="D5" s="4" t="s">
        <v>17</v>
      </c>
      <c r="E5" s="4" t="s">
        <v>25</v>
      </c>
      <c r="F5" s="4" t="s">
        <v>1</v>
      </c>
      <c r="G5" s="4" t="s">
        <v>43</v>
      </c>
      <c r="H5" s="5" t="s">
        <v>2</v>
      </c>
      <c r="I5" s="3" t="s">
        <v>48</v>
      </c>
      <c r="J5" s="2" t="s">
        <v>48</v>
      </c>
      <c r="K5" s="16">
        <f ca="1" t="shared" si="0"/>
        <v>45958</v>
      </c>
      <c r="L5" s="8">
        <v>9301112207</v>
      </c>
      <c r="M5" s="6" t="e">
        <f>[1]Output!C5</f>
        <v>#REF!</v>
      </c>
      <c r="N5" s="2" t="e">
        <f t="shared" si="1"/>
        <v>#REF!</v>
      </c>
      <c r="O5" s="3" t="s">
        <v>32</v>
      </c>
      <c r="P5" s="2" t="s">
        <v>5</v>
      </c>
      <c r="Q5" s="3" t="s">
        <v>6</v>
      </c>
      <c r="R5" s="19">
        <v>67406200</v>
      </c>
      <c r="S5" s="14" t="str">
        <f t="shared" si="2"/>
        <v>67406200</v>
      </c>
      <c r="T5" s="2" t="str">
        <f t="shared" si="3"/>
        <v>67406200</v>
      </c>
      <c r="U5" s="5" t="s">
        <v>34</v>
      </c>
      <c r="V5" s="2" t="str">
        <f t="shared" si="4"/>
        <v>Goods issue for delivery 67406200 canceled</v>
      </c>
      <c r="W5" s="3" t="s">
        <v>71</v>
      </c>
      <c r="X5" s="2" t="s">
        <v>28</v>
      </c>
      <c r="Y5" s="9" t="str">
        <f t="shared" si="5"/>
        <v>67406200</v>
      </c>
      <c r="Z5" s="2" t="str">
        <f t="shared" si="6"/>
        <v>AB_Outbound Delivery 67406200 deleted</v>
      </c>
      <c r="AA5" s="1" t="s">
        <v>20</v>
      </c>
      <c r="AB5" s="2" t="s">
        <v>50</v>
      </c>
      <c r="AC5" s="7">
        <v>227203604</v>
      </c>
      <c r="AD5" s="2" t="str">
        <f t="shared" si="7"/>
        <v>TriangularSales 227203604 deleted</v>
      </c>
      <c r="AE5" s="3" t="s">
        <v>15</v>
      </c>
      <c r="AF5" s="2" t="s">
        <v>21</v>
      </c>
      <c r="AG5" s="3" t="s">
        <v>41</v>
      </c>
      <c r="AH5" s="7">
        <v>5079046296</v>
      </c>
      <c r="AI5" s="15">
        <f ca="1" t="shared" si="8"/>
        <v>45958</v>
      </c>
      <c r="AJ5" s="2" t="s">
        <v>23</v>
      </c>
      <c r="AK5" s="6" t="e">
        <f>[1]Output!D5</f>
        <v>#REF!</v>
      </c>
      <c r="AL5" s="2" t="e">
        <f t="shared" si="9"/>
        <v>#REF!</v>
      </c>
      <c r="AM5" s="1">
        <v>10067313</v>
      </c>
      <c r="AN5" s="1">
        <v>5079043379</v>
      </c>
      <c r="AO5" s="1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2"/>
    </row>
    <row r="9">
      <c r="A9" s="1"/>
      <c r="B9" s="1"/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2"/>
    </row>
    <row r="10">
      <c r="A10" s="1"/>
      <c r="B10" s="1"/>
      <c r="C10" s="4" t="s">
        <v>65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2"/>
    </row>
    <row r="11">
      <c r="A11" s="1"/>
      <c r="B11" s="1"/>
      <c r="C11" s="3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2"/>
    </row>
    <row r="12">
      <c r="A12" s="1"/>
      <c r="B12" s="1"/>
      <c r="C12" s="18" t="s">
        <v>57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2"/>
    </row>
    <row r="13">
      <c r="A13" s="1"/>
      <c r="B13" s="1"/>
      <c r="C13" s="6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2"/>
    </row>
    <row r="14">
      <c r="A14" s="1"/>
      <c r="B14" s="1"/>
      <c r="C14" s="9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2"/>
    </row>
    <row r="15">
      <c r="A15" s="1"/>
      <c r="B15" s="1"/>
      <c r="C15" s="2" t="s">
        <v>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2"/>
    </row>
    <row r="16">
      <c r="A16" s="1"/>
      <c r="B16" s="1"/>
      <c r="C16" s="8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2"/>
    </row>
    <row r="17">
      <c r="A17" s="1"/>
      <c r="B17" s="1"/>
      <c r="C17" s="17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2" t="str">
        <f>CONCATENATE("Document ",M17," has been saved")</f>
        <v>Document  has been saved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5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44.375" style="11" bestFit="1" customWidth="1"/>
    <col min="3" max="3" width="21.625" style="11" bestFit="1" customWidth="1"/>
    <col min="4" max="4" width="19.625" style="11" bestFit="1" customWidth="1"/>
    <col min="5" max="16384" width="9.125" style="11" customWidth="1"/>
  </cols>
  <sheetData>
    <row r="1" ht="12.75" customHeight="1" customFormat="1">
      <c r="A1" t="s">
        <v>64</v>
      </c>
      <c r="B1" t="s">
        <v>35</v>
      </c>
      <c r="C1" t="s">
        <v>36</v>
      </c>
      <c r="D1" t="s">
        <v>69</v>
      </c>
    </row>
    <row r="2">
      <c r="A2" s="1">
        <v>1</v>
      </c>
      <c r="B2" s="1"/>
      <c r="C2" s="1"/>
      <c r="D2" s="12"/>
    </row>
    <row r="3">
      <c r="A3" s="1"/>
      <c r="B3" s="1"/>
      <c r="C3" s="1"/>
      <c r="D3" s="12"/>
    </row>
    <row r="4">
      <c r="A4" s="1">
        <v>3</v>
      </c>
      <c r="B4" s="1" t="s">
        <v>39</v>
      </c>
      <c r="C4" s="1">
        <v>10067803</v>
      </c>
      <c r="D4" s="12">
        <v>5079044211</v>
      </c>
    </row>
    <row r="5">
      <c r="A5" s="1">
        <v>4</v>
      </c>
      <c r="B5" s="1" t="s">
        <v>11</v>
      </c>
      <c r="C5" s="1">
        <v>10067900</v>
      </c>
      <c r="D5" s="12">
        <v>5079044205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