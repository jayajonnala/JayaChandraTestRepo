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06_001" sheetId="4" r:id="rId4"/>
    <sheet name="TC2_Test_02LIV06_001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<sst xmlns="http://schemas.openxmlformats.org/spreadsheetml/2006/main" uniqueCount="98">
  <si>
    <t>Scripting</t>
  </si>
  <si>
    <t/>
  </si>
  <si>
    <t>DT_SAPTRANSACTIONCODE</t>
  </si>
  <si>
    <t>DT_MIRO_0010_AMOUNT</t>
  </si>
  <si>
    <t>DT_SEL_DN</t>
  </si>
  <si>
    <t>DT_MIRO_6005_DETAILS</t>
  </si>
  <si>
    <t>DT_MIRO_0150_DOC_TYPE_OCC2</t>
  </si>
  <si>
    <t>DT_EXPECTEDVALUE_OCC3</t>
  </si>
  <si>
    <t>0000003801722400</t>
  </si>
  <si>
    <t>DT_MIRO_120_GETTEXT_PU_NBR_OUTPUT</t>
  </si>
  <si>
    <t>Verifications Date</t>
  </si>
  <si>
    <t>Data Coming from another test</t>
  </si>
  <si>
    <t>DT_MIRO_0010_REFERENCE</t>
  </si>
  <si>
    <t>DT_MIRO_100_CHECK_TEXT_OF_TABLECELL_FLD_CONT_3</t>
  </si>
  <si>
    <t>DT_EXPECTEDTRANSACTIONCODE_OCC4</t>
  </si>
  <si>
    <t>DT_MIRO_120_OKCD</t>
  </si>
  <si>
    <t>/nexit</t>
  </si>
  <si>
    <t>4.52-</t>
  </si>
  <si>
    <t>PU70007169</t>
  </si>
  <si>
    <t>Scenario</t>
  </si>
  <si>
    <t>Output Data</t>
  </si>
  <si>
    <t>DT_MIRO_6310_CHECK_TEXT_OF_TABLECELL_AMOUNT_3</t>
  </si>
  <si>
    <t>%blank%</t>
  </si>
  <si>
    <t>OFF</t>
  </si>
  <si>
    <t>DT_GET_BALANCE_OUTPUT</t>
  </si>
  <si>
    <t>200</t>
  </si>
  <si>
    <t>GR02</t>
  </si>
  <si>
    <t>DT_GET_TOTAL_VALUE</t>
  </si>
  <si>
    <t>ON</t>
  </si>
  <si>
    <t>DT_MIRO_H</t>
  </si>
  <si>
    <t>6,4</t>
  </si>
  <si>
    <t>DT_EXPECTEDVALUE</t>
  </si>
  <si>
    <t>SESSION_MANAGER</t>
  </si>
  <si>
    <t>DT_IDOC_OUTPUT</t>
  </si>
  <si>
    <t>DT_SAPSYSTEM</t>
  </si>
  <si>
    <t>AUTOAB</t>
  </si>
  <si>
    <t>54363b985b32332e19fc27af1d85c6bf1fbcd011bd52a981</t>
  </si>
  <si>
    <t>DN5201947982</t>
  </si>
  <si>
    <t>Input Data</t>
  </si>
  <si>
    <t>DT_SAPLANGUAGE</t>
  </si>
  <si>
    <t>DT_SAPOPTIONS</t>
  </si>
  <si>
    <t>DT_AMOUNT</t>
  </si>
  <si>
    <t>S</t>
  </si>
  <si>
    <t>WE09</t>
  </si>
  <si>
    <t>DT_EXPECTEDTRANSACTIONCODE_OCC5</t>
  </si>
  <si>
    <t>DN5236299968</t>
  </si>
  <si>
    <t>DT_MIRO_6310_CHECK_TEXT_OF_TABLECELL_AMOUNT_0</t>
  </si>
  <si>
    <t>________________</t>
  </si>
  <si>
    <t>DT_MIRO_200_GETCELLVALUE_OF_GRIDCELL_0_DOCNR</t>
  </si>
  <si>
    <t>DT_MIRO_6000_OKCD_OCC2</t>
  </si>
  <si>
    <t>DT_MIRO_1000_TEST_MODE_OCC2</t>
  </si>
  <si>
    <t>DT_MIRO_120_GETTEXT_OF_PU_NBR</t>
  </si>
  <si>
    <t>DT_MIRO_6000_INV_NUMBER_OUTPUT</t>
  </si>
  <si>
    <t>Formulas Date</t>
  </si>
  <si>
    <t>Verifications</t>
  </si>
  <si>
    <t>Execution Control Data</t>
  </si>
  <si>
    <t>DT_MIRO_120_CHECK_TEXT_OF_DOCUMENT_PU40000039_WAS_POSTED_IN_COMPANY_CODE_GR04</t>
  </si>
  <si>
    <t>Row_Number</t>
  </si>
  <si>
    <t>DT_MIRO_0010_INVOICE_DATE</t>
  </si>
  <si>
    <t>DT_MIRO_6310_CHECK_TEXT_PURCHASE_ORDER_0</t>
  </si>
  <si>
    <t>DT_MIRO_100_CREATED_BY_OCC2</t>
  </si>
  <si>
    <t>PU70089617</t>
  </si>
  <si>
    <t>EN</t>
  </si>
  <si>
    <t>MIRO</t>
  </si>
  <si>
    <t>DT_MIRO_6212_RM08MLFSNR</t>
  </si>
  <si>
    <t>DT_MIRO_6000_TRANSACTION_OCC2</t>
  </si>
  <si>
    <t>DT_EXPECTEDTRANSACTIONCODE_OCC2</t>
  </si>
  <si>
    <t>DT_EXPECTEDTRANSACTIONCODE_OCC6</t>
  </si>
  <si>
    <t>Formulas General</t>
  </si>
  <si>
    <t>DT_EXPECTEDTRANSACTIONCODE</t>
  </si>
  <si>
    <t>DT_MIRO_6310_CHECK_TEXT_OF_TABLECELL_AMOUNT_1</t>
  </si>
  <si>
    <t>2,31</t>
  </si>
  <si>
    <t>MIR4</t>
  </si>
  <si>
    <t>DT_MIRO_1000_FOR_VALUE</t>
  </si>
  <si>
    <t>AT_3_6_2 LIV Local Vendor DC and DSD Subsequent Credit for Invoice</t>
  </si>
  <si>
    <t>DT_MIRO_1000_COMPANY_CODE</t>
  </si>
  <si>
    <t>RG</t>
  </si>
  <si>
    <t>DT_EXPECTEDVALUE_OCC2</t>
  </si>
  <si>
    <t>J1GP01</t>
  </si>
  <si>
    <t>R1E - SAP RETAIL Pre-Production EUROPE</t>
  </si>
  <si>
    <t>Fixed Data</t>
  </si>
  <si>
    <t>DT_SAPPASSWORD</t>
  </si>
  <si>
    <t>DT_MIRO_6000_INV_NUMBER</t>
  </si>
  <si>
    <t>/ZMDIV_MIRO</t>
  </si>
  <si>
    <t>DT_MIRO_1000_DOCUMENT_OCC2</t>
  </si>
  <si>
    <t>DT_MIRO_200_GETCELLVALUE_DOCNR_OUTPUT</t>
  </si>
  <si>
    <t>Login Information</t>
  </si>
  <si>
    <t>DT_SAPUSER</t>
  </si>
  <si>
    <t>DT_MIRO_0010_CALCULATE_TAX_OCC2</t>
  </si>
  <si>
    <t>3,14</t>
  </si>
  <si>
    <t>DT_GET_BALANCE</t>
  </si>
  <si>
    <t>2</t>
  </si>
  <si>
    <t>DT_EXPECTEDTRANSACTIONCODE_OCC3</t>
  </si>
  <si>
    <t>DT_MIRO_100_OKCD</t>
  </si>
  <si>
    <t>DT_SAPCLIENT</t>
  </si>
  <si>
    <t>DT_MIRO_6310_CHECK_TEXT_OF_TABLECELL_AMOUNT_2</t>
  </si>
  <si>
    <t>DT_MIRO_6000_OKCD</t>
  </si>
  <si>
    <t>DT_MIRO_100_VARIANT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</si>
</sst>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2" xfId="0" applyBorder="1" applyProtection="1">
      <protection locked="0"/>
    </xf>
    <xf numFmtId="49" fontId="4" fillId="2" borderId="1" xfId="0" applyNumberFormat="1" applyFont="1" applyFill="1" applyBorder="1" applyProtection="1">
      <protection locked="0"/>
    </xf>
    <xf numFmtId="164" fontId="1" fillId="7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7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164" fontId="3" fillId="3" borderId="1" xfId="0" applyNumberFormat="1" applyFont="1" applyFill="1" applyBorder="1" applyProtection="1">
      <protection locked="0"/>
    </xf>
    <xf numFmtId="0" fontId="5" fillId="2" borderId="1" xfId="0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6_001_LIV_Loc_Vend_DC_and_DSD_Subsequent_Credit_for_Invoic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Y16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12.5" style="15" customWidth="1"/>
    <col min="2" max="2" width="26" style="15" customWidth="1"/>
    <col min="3" max="3" width="17.75" style="15" customWidth="1"/>
    <col min="4" max="4" width="15" style="15" customWidth="1"/>
    <col min="5" max="5" width="13.625" style="15" customWidth="1"/>
    <col min="6" max="6" width="47" style="15" customWidth="1"/>
    <col min="7" max="7" width="18.625" style="15" customWidth="1"/>
    <col min="8" max="8" width="16.75" style="15" customWidth="1"/>
    <col min="9" max="9" width="27.125" style="15" customWidth="1"/>
    <col min="10" max="10" width="33.375" style="15" customWidth="1"/>
    <col min="11" max="11" width="30.875" style="15" customWidth="1"/>
    <col min="12" max="12" width="29" style="15" customWidth="1"/>
    <col min="13" max="14" width="26.875" style="15" customWidth="1"/>
    <col min="15" max="15" width="23.5" style="15" customWidth="1"/>
    <col min="16" max="16" width="36.75" style="15" customWidth="1"/>
    <col min="17" max="17" width="27.875" style="15" customWidth="1"/>
    <col min="18" max="18" width="50.125" style="15" bestFit="1" customWidth="1"/>
    <col min="19" max="19" width="63.625" style="15" customWidth="1"/>
    <col min="20" max="20" width="12.875" style="15" customWidth="1"/>
    <col min="21" max="24" width="53.625" style="15" customWidth="1"/>
    <col min="25" max="27" width="34.75" style="15" customWidth="1"/>
    <col min="28" max="28" width="23.25" style="15" customWidth="1"/>
    <col min="29" max="29" width="31.25" style="15" customWidth="1"/>
    <col min="30" max="30" width="20.75" style="15" customWidth="1"/>
    <col min="31" max="31" width="27.625" style="15" customWidth="1"/>
    <col min="32" max="32" width="39.25" style="15" customWidth="1"/>
    <col min="33" max="33" width="20.5" style="15" customWidth="1"/>
    <col min="34" max="34" width="39.25" style="15" customWidth="1"/>
    <col min="35" max="35" width="32.75" style="15" customWidth="1"/>
    <col min="36" max="36" width="22.625" style="15" customWidth="1"/>
    <col min="37" max="37" width="27.375" style="15" customWidth="1"/>
    <col min="38" max="38" width="26.625" style="15" customWidth="1"/>
    <col min="39" max="39" width="54.25" style="15" customWidth="1"/>
    <col min="40" max="40" width="19.5" style="15" customWidth="1"/>
    <col min="41" max="41" width="39.25" style="15" customWidth="1"/>
    <col min="42" max="42" width="52.25" style="15" customWidth="1"/>
    <col min="43" max="43" width="26.375" style="15" customWidth="1"/>
    <col min="44" max="44" width="39.25" style="15" customWidth="1"/>
    <col min="45" max="45" width="32" style="15" customWidth="1"/>
    <col min="46" max="46" width="32.75" style="15" customWidth="1"/>
    <col min="47" max="47" width="26.625" style="15" customWidth="1"/>
    <col min="48" max="48" width="35.25" style="15" customWidth="1"/>
    <col min="49" max="49" width="92.5" style="15" customWidth="1"/>
    <col min="50" max="50" width="19.5" style="15" customWidth="1"/>
    <col min="51" max="51" width="39.25" style="15" customWidth="1"/>
    <col min="52" max="16384" width="9.125" style="15" customWidth="1"/>
  </cols>
  <sheetData>
    <row r="1" ht="12.75" customHeight="1" customFormat="1">
      <c r="A1" t="s">
        <v>57</v>
      </c>
      <c r="B1" t="s">
        <v>19</v>
      </c>
      <c r="C1" t="s">
        <v>34</v>
      </c>
      <c r="D1" t="s">
        <v>94</v>
      </c>
      <c r="E1" t="s">
        <v>87</v>
      </c>
      <c r="F1" t="s">
        <v>81</v>
      </c>
      <c r="G1" t="s">
        <v>39</v>
      </c>
      <c r="H1" t="s">
        <v>40</v>
      </c>
      <c r="I1" t="s">
        <v>2</v>
      </c>
      <c r="J1" t="s">
        <v>69</v>
      </c>
      <c r="K1" t="s">
        <v>75</v>
      </c>
      <c r="L1" t="s">
        <v>58</v>
      </c>
      <c r="M1" t="s">
        <v>12</v>
      </c>
      <c r="N1" t="s">
        <v>27</v>
      </c>
      <c r="O1" t="s">
        <v>3</v>
      </c>
      <c r="P1" t="s">
        <v>88</v>
      </c>
      <c r="Q1" t="s">
        <v>64</v>
      </c>
      <c r="R1" t="s">
        <v>59</v>
      </c>
      <c r="S1" t="s">
        <v>29</v>
      </c>
      <c r="T1" t="s">
        <v>4</v>
      </c>
      <c r="U1" t="s">
        <v>46</v>
      </c>
      <c r="V1" t="s">
        <v>70</v>
      </c>
      <c r="W1" t="s">
        <v>95</v>
      </c>
      <c r="X1" t="s">
        <v>21</v>
      </c>
      <c r="Y1" t="s">
        <v>65</v>
      </c>
      <c r="Z1" t="s">
        <v>90</v>
      </c>
      <c r="AA1" t="s">
        <v>41</v>
      </c>
      <c r="AB1" t="s">
        <v>5</v>
      </c>
      <c r="AC1" t="s">
        <v>6</v>
      </c>
      <c r="AD1" t="s">
        <v>31</v>
      </c>
      <c r="AE1" t="s">
        <v>82</v>
      </c>
      <c r="AF1" t="s">
        <v>66</v>
      </c>
      <c r="AG1" t="s">
        <v>96</v>
      </c>
      <c r="AH1" t="s">
        <v>92</v>
      </c>
      <c r="AI1" t="s">
        <v>60</v>
      </c>
      <c r="AJ1" t="s">
        <v>97</v>
      </c>
      <c r="AK1" t="s">
        <v>73</v>
      </c>
      <c r="AL1" t="s">
        <v>77</v>
      </c>
      <c r="AM1" t="s">
        <v>13</v>
      </c>
      <c r="AN1" t="s">
        <v>93</v>
      </c>
      <c r="AO1" t="s">
        <v>14</v>
      </c>
      <c r="AP1" t="s">
        <v>48</v>
      </c>
      <c r="AQ1" t="s">
        <v>49</v>
      </c>
      <c r="AR1" t="s">
        <v>44</v>
      </c>
      <c r="AS1" t="s">
        <v>84</v>
      </c>
      <c r="AT1" t="s">
        <v>50</v>
      </c>
      <c r="AU1" t="s">
        <v>7</v>
      </c>
      <c r="AV1" t="s">
        <v>51</v>
      </c>
      <c r="AW1" t="s">
        <v>56</v>
      </c>
      <c r="AX1" t="s">
        <v>15</v>
      </c>
      <c r="AY1" t="s">
        <v>67</v>
      </c>
    </row>
    <row r="2">
      <c r="A2" s="6">
        <v>2</v>
      </c>
      <c r="B2" s="6" t="s">
        <v>0</v>
      </c>
      <c r="C2" s="5" t="s">
        <v>79</v>
      </c>
      <c r="D2" s="5" t="s">
        <v>25</v>
      </c>
      <c r="E2" s="5" t="s">
        <v>35</v>
      </c>
      <c r="F2" s="5" t="s">
        <v>36</v>
      </c>
      <c r="G2" s="5" t="s">
        <v>62</v>
      </c>
      <c r="H2" s="1" t="s">
        <v>1</v>
      </c>
      <c r="I2" s="1" t="s">
        <v>63</v>
      </c>
      <c r="J2" s="1" t="s">
        <v>63</v>
      </c>
      <c r="K2" s="3" t="s">
        <v>26</v>
      </c>
      <c r="L2" s="14">
        <f ca="1">TODAY()</f>
        <v>45959</v>
      </c>
      <c r="M2" s="9" t="str">
        <f>CONCATENATE("SCI",Q2)</f>
        <v>SCIDN5201947982</v>
      </c>
      <c r="N2" s="8" t="str">
        <f>"0,00 "</f>
        <v xml:space="preserve">0,00 </v>
      </c>
      <c r="O2" s="3" t="str">
        <f>LEFT(N2,LEN(N2)-1)</f>
        <v>0,00</v>
      </c>
      <c r="P2" s="3" t="s">
        <v>28</v>
      </c>
      <c r="Q2" s="13" t="s">
        <v>37</v>
      </c>
      <c r="R2" s="4" t="str">
        <f>RIGHT(Q2,10)</f>
        <v>5201947982</v>
      </c>
      <c r="S2" s="4">
        <v>4</v>
      </c>
      <c r="T2" s="4">
        <v>2</v>
      </c>
      <c r="U2" s="2">
        <v>47.460000000000001</v>
      </c>
      <c r="V2" s="2">
        <v>37.380000000000003</v>
      </c>
      <c r="W2" s="2">
        <v>28.84</v>
      </c>
      <c r="X2" s="2">
        <v>18.780000000000001</v>
      </c>
      <c r="Y2" s="2">
        <v>4</v>
      </c>
      <c r="Z2" s="8" t="e">
        <f>[1]Output!C2</f>
        <v>#REF!</v>
      </c>
      <c r="AA2" s="2"/>
      <c r="AB2" s="3" t="s">
        <v>91</v>
      </c>
      <c r="AC2" s="3" t="s">
        <v>76</v>
      </c>
      <c r="AD2" s="1" t="s">
        <v>42</v>
      </c>
      <c r="AE2" s="7" t="e">
        <f>[1]Output!D2</f>
        <v>#REF!</v>
      </c>
      <c r="AF2" s="1" t="s">
        <v>72</v>
      </c>
      <c r="AG2" s="1" t="s">
        <v>43</v>
      </c>
      <c r="AH2" s="1" t="s">
        <v>43</v>
      </c>
      <c r="AI2" s="1" t="s">
        <v>22</v>
      </c>
      <c r="AJ2" s="3" t="s">
        <v>83</v>
      </c>
      <c r="AK2" s="16" t="e">
        <f>AE2</f>
        <v>#REF!</v>
      </c>
      <c r="AL2" s="1" t="s">
        <v>42</v>
      </c>
      <c r="AM2" s="4" t="str">
        <f>R2</f>
        <v>5201947982</v>
      </c>
      <c r="AN2" s="1" t="s">
        <v>72</v>
      </c>
      <c r="AO2" s="1" t="s">
        <v>72</v>
      </c>
      <c r="AP2" s="7" t="e">
        <f>[1]Output!F2</f>
        <v>#REF!</v>
      </c>
      <c r="AQ2" s="1" t="s">
        <v>78</v>
      </c>
      <c r="AR2" s="1" t="s">
        <v>78</v>
      </c>
      <c r="AS2" s="9" t="e">
        <f>AP2</f>
        <v>#REF!</v>
      </c>
      <c r="AT2" s="1" t="s">
        <v>23</v>
      </c>
      <c r="AU2" s="1" t="s">
        <v>42</v>
      </c>
      <c r="AV2" s="7" t="s">
        <v>61</v>
      </c>
      <c r="AW2" s="4" t="str">
        <f>CONCATENATE("Document ",AV2," was posted in company code ",K2)</f>
        <v>Document PU70089617 was posted in company code GR02</v>
      </c>
      <c r="AX2" s="1" t="s">
        <v>16</v>
      </c>
      <c r="AY2" s="12" t="s">
        <v>32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2"/>
    </row>
    <row r="4">
      <c r="A4" s="6">
        <v>4</v>
      </c>
      <c r="B4" s="6" t="s">
        <v>74</v>
      </c>
      <c r="C4" s="5" t="s">
        <v>79</v>
      </c>
      <c r="D4" s="5" t="s">
        <v>25</v>
      </c>
      <c r="E4" s="5" t="s">
        <v>35</v>
      </c>
      <c r="F4" s="5" t="s">
        <v>36</v>
      </c>
      <c r="G4" s="5" t="s">
        <v>62</v>
      </c>
      <c r="H4" s="1" t="s">
        <v>1</v>
      </c>
      <c r="I4" s="1" t="s">
        <v>63</v>
      </c>
      <c r="J4" s="1" t="s">
        <v>63</v>
      </c>
      <c r="K4" s="3" t="s">
        <v>26</v>
      </c>
      <c r="L4" s="14">
        <f ca="1">TODAY()</f>
        <v>45959</v>
      </c>
      <c r="M4" s="9" t="str">
        <f>CONCATENATE("SCI",Q4)</f>
        <v>SCIDN5236299968</v>
      </c>
      <c r="N4" s="8" t="str">
        <f>"0,00 "</f>
        <v xml:space="preserve">0,00 </v>
      </c>
      <c r="O4" s="3" t="str">
        <f>LEFT(N4,LEN(N4)-1)</f>
        <v>0,00</v>
      </c>
      <c r="P4" s="3" t="s">
        <v>28</v>
      </c>
      <c r="Q4" s="13" t="s">
        <v>45</v>
      </c>
      <c r="R4" s="4" t="str">
        <f>RIGHT(Q4,10)</f>
        <v>5236299968</v>
      </c>
      <c r="S4" s="4">
        <v>4</v>
      </c>
      <c r="T4" s="4">
        <v>2</v>
      </c>
      <c r="U4" s="2" t="s">
        <v>89</v>
      </c>
      <c r="V4" s="2" t="s">
        <v>30</v>
      </c>
      <c r="W4" s="2">
        <v>4</v>
      </c>
      <c r="X4" s="2" t="s">
        <v>71</v>
      </c>
      <c r="Y4" s="2">
        <v>4</v>
      </c>
      <c r="Z4" s="8" t="e">
        <f>[1]Output!C4</f>
        <v>#REF!</v>
      </c>
      <c r="AA4" s="3" t="e">
        <f>SUBSTITUTE(Z4,"-","")</f>
        <v>#REF!</v>
      </c>
      <c r="AB4" s="3" t="s">
        <v>91</v>
      </c>
      <c r="AC4" s="3" t="s">
        <v>76</v>
      </c>
      <c r="AD4" s="1" t="s">
        <v>42</v>
      </c>
      <c r="AE4" s="7" t="e">
        <f>[1]Output!D4</f>
        <v>#REF!</v>
      </c>
      <c r="AF4" s="1" t="s">
        <v>72</v>
      </c>
      <c r="AG4" s="1" t="s">
        <v>43</v>
      </c>
      <c r="AH4" s="1" t="s">
        <v>43</v>
      </c>
      <c r="AI4" s="1" t="s">
        <v>22</v>
      </c>
      <c r="AJ4" s="3" t="s">
        <v>83</v>
      </c>
      <c r="AK4" s="16" t="e">
        <f>AE4</f>
        <v>#REF!</v>
      </c>
      <c r="AL4" s="1" t="s">
        <v>42</v>
      </c>
      <c r="AM4" s="4" t="str">
        <f>R4</f>
        <v>5236299968</v>
      </c>
      <c r="AN4" s="1" t="s">
        <v>72</v>
      </c>
      <c r="AO4" s="1" t="s">
        <v>72</v>
      </c>
      <c r="AP4" s="7" t="e">
        <f>[1]Output!F4</f>
        <v>#REF!</v>
      </c>
      <c r="AQ4" s="1" t="s">
        <v>78</v>
      </c>
      <c r="AR4" s="1" t="s">
        <v>78</v>
      </c>
      <c r="AS4" s="9" t="e">
        <f>AP4</f>
        <v>#REF!</v>
      </c>
      <c r="AT4" s="1" t="s">
        <v>23</v>
      </c>
      <c r="AU4" s="1" t="s">
        <v>42</v>
      </c>
      <c r="AV4" s="7" t="e">
        <f>[1]Output!G4</f>
        <v>#REF!</v>
      </c>
      <c r="AW4" s="4" t="e">
        <f>CONCATENATE("Document ",AV4," was posted in company code ",K4)</f>
        <v>#REF!</v>
      </c>
      <c r="AX4" s="1" t="s">
        <v>16</v>
      </c>
      <c r="AY4" s="12" t="s">
        <v>32</v>
      </c>
    </row>
    <row r="5">
      <c r="A5" s="11"/>
      <c r="B5" s="11"/>
      <c r="C5" s="1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2"/>
    </row>
    <row r="6">
      <c r="A6" s="11"/>
      <c r="B6" s="11"/>
      <c r="C6" s="1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>
        <v>47.460000000000001</v>
      </c>
      <c r="Y6" s="1">
        <v>42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2"/>
    </row>
    <row r="7">
      <c r="A7" s="11"/>
      <c r="B7" s="11"/>
      <c r="C7" s="24" t="s">
        <v>86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>
        <v>37.380000000000003</v>
      </c>
      <c r="Y7" s="1">
        <v>42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2"/>
    </row>
    <row r="8">
      <c r="A8" s="11"/>
      <c r="B8" s="11"/>
      <c r="C8" s="22" t="s">
        <v>38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2">
        <v>3.1400000000000001</v>
      </c>
      <c r="V8" s="2">
        <v>6.4000000000000004</v>
      </c>
      <c r="W8" s="1"/>
      <c r="X8" s="1">
        <v>28.84</v>
      </c>
      <c r="Y8" s="1">
        <v>28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2"/>
    </row>
    <row r="9">
      <c r="A9" s="11"/>
      <c r="B9" s="11"/>
      <c r="C9" s="25" t="s">
        <v>80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>
        <v>18.780000000000001</v>
      </c>
      <c r="Y9" s="1">
        <v>6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2"/>
    </row>
    <row r="10">
      <c r="A10" s="11"/>
      <c r="B10" s="11"/>
      <c r="C10" s="8" t="s">
        <v>20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 t="s">
        <v>47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2"/>
    </row>
    <row r="11">
      <c r="A11" s="11"/>
      <c r="B11" s="11"/>
      <c r="C11" s="23" t="s">
        <v>53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2"/>
    </row>
    <row r="12">
      <c r="A12" s="11"/>
      <c r="B12" s="11"/>
      <c r="C12" s="20" t="s">
        <v>68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2"/>
    </row>
    <row r="13">
      <c r="A13" s="11"/>
      <c r="B13" s="11"/>
      <c r="C13" s="4" t="s">
        <v>54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2"/>
    </row>
    <row r="14">
      <c r="A14" s="11"/>
      <c r="B14" s="11"/>
      <c r="C14" s="18" t="s">
        <v>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2">
        <v>2.3100000000000001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2"/>
    </row>
    <row r="15">
      <c r="A15" s="11"/>
      <c r="B15" s="11"/>
      <c r="C15" s="19" t="s">
        <v>11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2"/>
    </row>
    <row r="16">
      <c r="A16" s="11"/>
      <c r="B16" s="11"/>
      <c r="C16" s="21" t="s">
        <v>55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G4"/>
  <sheetViews>
    <sheetView topLeftCell="D1" workbookViewId="0">
      <selection activeCell="D2" sqref="D2"/>
    </sheetView>
  </sheetViews>
  <sheetFormatPr defaultColWidth="9.125" defaultRowHeight="14.25"/>
  <cols>
    <col min="1" max="1" width="12.375" style="15" bestFit="1" customWidth="1"/>
    <col min="2" max="2" width="60.875" style="15" bestFit="1" customWidth="1"/>
    <col min="3" max="3" width="27" style="15" bestFit="1" customWidth="1"/>
    <col min="4" max="4" width="36.875" style="15" bestFit="1" customWidth="1"/>
    <col min="5" max="5" width="29.125" style="15" bestFit="1" customWidth="1"/>
    <col min="6" max="6" width="53.75" style="15" bestFit="1" customWidth="1"/>
    <col min="7" max="7" width="35.875" style="15" bestFit="1" customWidth="1"/>
    <col min="8" max="16384" width="9.125" style="15" customWidth="1"/>
  </cols>
  <sheetData>
    <row r="1" ht="12.75" customHeight="1" customFormat="1">
      <c r="A1" t="s">
        <v>57</v>
      </c>
      <c r="B1" t="s">
        <v>19</v>
      </c>
      <c r="C1" t="s">
        <v>24</v>
      </c>
      <c r="D1" t="s">
        <v>52</v>
      </c>
      <c r="E1" t="s">
        <v>33</v>
      </c>
      <c r="F1" t="s">
        <v>85</v>
      </c>
      <c r="G1" t="s">
        <v>9</v>
      </c>
    </row>
    <row r="2">
      <c r="A2" s="6">
        <v>2</v>
      </c>
      <c r="B2" s="6" t="s">
        <v>0</v>
      </c>
      <c r="C2" s="1"/>
      <c r="D2" s="1"/>
      <c r="E2" s="1"/>
      <c r="F2" s="1"/>
      <c r="G2" s="12"/>
    </row>
    <row r="3">
      <c r="A3" s="1"/>
      <c r="B3" s="1"/>
      <c r="C3" s="1"/>
      <c r="D3" s="1"/>
      <c r="E3" s="1"/>
      <c r="F3" s="1"/>
      <c r="G3" s="12"/>
    </row>
    <row r="4">
      <c r="A4" s="6">
        <v>4</v>
      </c>
      <c r="B4" s="6" t="s">
        <v>74</v>
      </c>
      <c r="C4" s="1" t="s">
        <v>17</v>
      </c>
      <c r="D4" s="1">
        <v>6056580400</v>
      </c>
      <c r="E4" s="17" t="s">
        <v>8</v>
      </c>
      <c r="F4" s="1"/>
      <c r="G4" s="12" t="s">
        <v>18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0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