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DataTransfer_1" sheetId="3" r:id="rId3"/>
    <sheet name="TC2_Test_02GR01_001_GR" sheetId="4" r:id="rId4"/>
    <sheet name="DataTransfer_2" sheetId="5" r:id="rId5"/>
    <sheet name="TC1_Test_PRE_02LIV12_006" sheetId="6" r:id="rId6"/>
    <sheet name="TC3_Test_02LIV12_006_Collective" sheetId="7" r:id="rId7"/>
  </sheets>
  <externalReferences>
    <externalReference r:id="rId11"/>
  </externalReferences>
  <calcPr calcId="40001"/>
</workbook>
</file>

<file path=xl/sharedStrings.xml><?xml version="1.0" encoding="utf-8"?>
<sst xmlns="http://schemas.openxmlformats.org/spreadsheetml/2006/main" uniqueCount="57">
  <si>
    <t>Scripting</t>
  </si>
  <si>
    <t>AT_3_12_04 Collective LIV Local Vendor DSD against multiple delivery notes</t>
  </si>
  <si>
    <t/>
  </si>
  <si>
    <t>DT_SAPTRANSACTIONCODE</t>
  </si>
  <si>
    <t>DT_MIRO_6222_TABLECELL_DELIVERY_NOTE_0</t>
  </si>
  <si>
    <t>DN5236299977</t>
  </si>
  <si>
    <t>DT_MIRO_0010_AMOUNT</t>
  </si>
  <si>
    <t>Fixed</t>
  </si>
  <si>
    <t>Data Coming from another test</t>
  </si>
  <si>
    <t>DT_MIRO_0010_REFERENCE</t>
  </si>
  <si>
    <t>DT_MIRO_6000_GET_TEXT_OF_STATUSBAR</t>
  </si>
  <si>
    <t>Scenario</t>
  </si>
  <si>
    <t>DN5201948462</t>
  </si>
  <si>
    <t>DT_MIRO_0010_CALCULATE_TAX</t>
  </si>
  <si>
    <t>Formulas</t>
  </si>
  <si>
    <t>200</t>
  </si>
  <si>
    <t>56f52deff1375df79753e55cafeebbde3a7c837a7eaa1bcc</t>
  </si>
  <si>
    <t>GR02</t>
  </si>
  <si>
    <t>DT_MIRO_6222_TABLECELL_DELIVERY_NOTE_1</t>
  </si>
  <si>
    <t>ON</t>
  </si>
  <si>
    <t>0,00%space%</t>
  </si>
  <si>
    <t>/nex</t>
  </si>
  <si>
    <t xml:space="preserve">0,00 </t>
  </si>
  <si>
    <t>DT_SAPSYSTEM</t>
  </si>
  <si>
    <t>AUTOAB</t>
  </si>
  <si>
    <t>0,00</t>
  </si>
  <si>
    <t>changing due to process change</t>
  </si>
  <si>
    <t>RGS - SAP RETAIL Staging GLOBAL</t>
  </si>
  <si>
    <t>Input Data</t>
  </si>
  <si>
    <t>DT_SAPLANGUAGE</t>
  </si>
  <si>
    <t>DT_SAPOPTIONS</t>
  </si>
  <si>
    <t>S</t>
  </si>
  <si>
    <t>5433e12d8593075d578f80933855dbe114bdf586c91e5197</t>
  </si>
  <si>
    <t>Verifications</t>
  </si>
  <si>
    <t>Execution Control Data</t>
  </si>
  <si>
    <t>DT_MIRO_6000_CHECK_TEXT_OF_BALANCE_OCC2</t>
  </si>
  <si>
    <t>Row_Number</t>
  </si>
  <si>
    <t>DT_MIRO_0010_INVOICE_DATE</t>
  </si>
  <si>
    <t>DT_GET_AMOUNT_OUTPUT</t>
  </si>
  <si>
    <t>AUTOFICO</t>
  </si>
  <si>
    <t>EN</t>
  </si>
  <si>
    <t>MIRO</t>
  </si>
  <si>
    <t>DT_EXPECTEDTRANSACTIONCODE</t>
  </si>
  <si>
    <t>DN5236299976</t>
  </si>
  <si>
    <t>220,01-</t>
  </si>
  <si>
    <t>DT_MIRO_1000_COMPANY_CODE</t>
  </si>
  <si>
    <t>R1E - SAP RETAIL Pre-Production EUROPE</t>
  </si>
  <si>
    <t>DT_SAPPASSWORD</t>
  </si>
  <si>
    <t>56cdc0f877135018dcd14dd9</t>
  </si>
  <si>
    <t>DT_UNIQUE_VALUE</t>
  </si>
  <si>
    <t>DT_SAPUSER</t>
  </si>
  <si>
    <t>DT_DOC_NUM_OUTPUT</t>
  </si>
  <si>
    <t>Output data</t>
  </si>
  <si>
    <t>DT_SAPCLIENT</t>
  </si>
  <si>
    <t>DN5201948461</t>
  </si>
  <si>
    <t>DT_MIRO_6000_GET_TEXT_OF_BALANCE</t>
  </si>
  <si>
    <t>DT_MIRO_6000_OKCD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</si>
</sst>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4" borderId="1" xfId="0" applyFill="1" applyBorder="1" applyProtection="1">
      <protection locked="0"/>
    </xf>
    <xf numFmtId="49" fontId="1" fillId="2" borderId="1" xfId="0" applyNumberFormat="1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1" fillId="6" borderId="1" xfId="0" applyFill="1" applyBorder="1" applyProtection="1">
      <protection locked="0"/>
    </xf>
    <xf numFmtId="0" fontId="2" fillId="4" borderId="1" xfId="0" applyFont="1" applyFill="1" applyBorder="1" applyAlignment="1" applyProtection="1">
      <alignment wrapText="1"/>
      <protection locked="0"/>
    </xf>
    <xf numFmtId="0" fontId="1" fillId="7" borderId="1" xfId="0" applyFill="1" applyBorder="1" applyProtection="1">
      <protection locked="0"/>
    </xf>
    <xf numFmtId="0" fontId="1" fillId="0" borderId="2" xfId="0" applyBorder="1" applyProtection="1">
      <protection locked="0"/>
    </xf>
    <xf numFmtId="49" fontId="1" fillId="0" borderId="2" xfId="0" applyNumberFormat="1" applyBorder="1" applyProtection="1">
      <protection locked="0"/>
    </xf>
    <xf numFmtId="164" fontId="1" fillId="4" borderId="1" xfId="0" applyNumberFormat="1" applyFill="1" applyBorder="1" applyProtection="1">
      <protection locked="0"/>
    </xf>
    <xf numFmtId="0" fontId="3" fillId="8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8" borderId="1" xfId="0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6" borderId="1" xfId="0" applyFill="1" applyBorder="1" applyAlignment="1" applyProtection="1">
      <alignment horizontal="center"/>
      <protection locked="0"/>
    </xf>
    <xf numFmtId="49" fontId="3" fillId="8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11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2LIV12_006_Collective_LIV_Loc_Vend_DSD_against_mult_Deliv_notes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W15"/>
  <sheetViews>
    <sheetView topLeftCell="M1" workbookViewId="0">
      <selection activeCell="M2" sqref="M2"/>
    </sheetView>
  </sheetViews>
  <sheetFormatPr defaultColWidth="9.125" defaultRowHeight="14.25"/>
  <cols>
    <col min="1" max="1" width="12.5" style="16" customWidth="1"/>
    <col min="2" max="2" width="63.5" style="16" customWidth="1"/>
    <col min="3" max="3" width="38.125" style="16" customWidth="1"/>
    <col min="4" max="4" width="15" style="16" customWidth="1"/>
    <col min="5" max="5" width="13.625" style="16" customWidth="1"/>
    <col min="6" max="6" width="48" style="16" customWidth="1"/>
    <col min="7" max="7" width="18.625" style="16" customWidth="1"/>
    <col min="8" max="8" width="16.75" style="16" customWidth="1"/>
    <col min="9" max="9" width="27.125" style="16" customWidth="1"/>
    <col min="10" max="10" width="33.375" style="16" customWidth="1"/>
    <col min="11" max="11" width="30.875" style="16" customWidth="1"/>
    <col min="12" max="12" width="29" style="16" customWidth="1"/>
    <col min="13" max="13" width="19" style="16" customWidth="1"/>
    <col min="14" max="14" width="26.875" style="16" customWidth="1"/>
    <col min="15" max="16" width="44.375" style="16" customWidth="1"/>
    <col min="17" max="17" width="30.875" style="16" customWidth="1"/>
    <col min="18" max="19" width="38.25" style="16" customWidth="1"/>
    <col min="20" max="20" width="23.5" style="16" customWidth="1"/>
    <col min="21" max="21" width="46.5" style="16" customWidth="1"/>
    <col min="22" max="22" width="41.125" style="16" customWidth="1"/>
    <col min="23" max="23" width="20.5" style="16" customWidth="1"/>
    <col min="24" max="16384" width="9.125" style="16" customWidth="1"/>
  </cols>
  <sheetData>
    <row r="1" ht="12.75" customHeight="1" customFormat="1">
      <c r="A1" t="s">
        <v>36</v>
      </c>
      <c r="B1" t="s">
        <v>11</v>
      </c>
      <c r="C1" t="s">
        <v>23</v>
      </c>
      <c r="D1" t="s">
        <v>53</v>
      </c>
      <c r="E1" t="s">
        <v>50</v>
      </c>
      <c r="F1" t="s">
        <v>47</v>
      </c>
      <c r="G1" t="s">
        <v>29</v>
      </c>
      <c r="H1" t="s">
        <v>30</v>
      </c>
      <c r="I1" t="s">
        <v>3</v>
      </c>
      <c r="J1" t="s">
        <v>42</v>
      </c>
      <c r="K1" t="s">
        <v>45</v>
      </c>
      <c r="L1" t="s">
        <v>37</v>
      </c>
      <c r="M1" t="s">
        <v>49</v>
      </c>
      <c r="N1" t="s">
        <v>9</v>
      </c>
      <c r="O1" t="s">
        <v>4</v>
      </c>
      <c r="P1" t="s">
        <v>18</v>
      </c>
      <c r="Q1" t="s">
        <v>13</v>
      </c>
      <c r="R1" t="s">
        <v>55</v>
      </c>
      <c r="S1" t="s">
        <v>31</v>
      </c>
      <c r="T1" t="s">
        <v>6</v>
      </c>
      <c r="U1" t="s">
        <v>35</v>
      </c>
      <c r="V1" t="s">
        <v>10</v>
      </c>
      <c r="W1" t="s">
        <v>56</v>
      </c>
    </row>
    <row r="2">
      <c r="A2" s="3">
        <v>1</v>
      </c>
      <c r="B2" s="3" t="s">
        <v>0</v>
      </c>
      <c r="C2" s="2" t="s">
        <v>46</v>
      </c>
      <c r="D2" s="2" t="s">
        <v>15</v>
      </c>
      <c r="E2" s="2" t="s">
        <v>24</v>
      </c>
      <c r="F2" s="2" t="s">
        <v>32</v>
      </c>
      <c r="G2" s="11" t="s">
        <v>40</v>
      </c>
      <c r="H2" s="11" t="s">
        <v>2</v>
      </c>
      <c r="I2" s="4" t="s">
        <v>41</v>
      </c>
      <c r="J2" s="4" t="s">
        <v>41</v>
      </c>
      <c r="K2" s="5" t="s">
        <v>17</v>
      </c>
      <c r="L2" s="14">
        <f ca="1">TODAY()</f>
        <v>45960</v>
      </c>
      <c r="M2" s="5">
        <v>26</v>
      </c>
      <c r="N2" s="9" t="str">
        <f>CONCATENATE("I",O2)</f>
        <v>IDN5201948461</v>
      </c>
      <c r="O2" s="10" t="s">
        <v>54</v>
      </c>
      <c r="P2" s="10" t="s">
        <v>12</v>
      </c>
      <c r="Q2" s="4" t="s">
        <v>19</v>
      </c>
      <c r="R2" s="7" t="s">
        <v>44</v>
      </c>
      <c r="S2" s="1">
        <f>SEARCH("-",R2,1)</f>
        <v>7</v>
      </c>
      <c r="T2" s="9" t="str">
        <f>REPLACE(R2,S2,1,"")</f>
        <v>220,01</v>
      </c>
      <c r="U2" s="15" t="s">
        <v>20</v>
      </c>
      <c r="V2" s="7" t="e">
        <f>[1]Output!D2</f>
        <v>#REF!</v>
      </c>
      <c r="W2" s="13" t="s">
        <v>21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2"/>
    </row>
    <row r="4">
      <c r="A4" s="3">
        <v>3</v>
      </c>
      <c r="B4" s="3" t="s">
        <v>1</v>
      </c>
      <c r="C4" s="2" t="s">
        <v>46</v>
      </c>
      <c r="D4" s="2" t="s">
        <v>15</v>
      </c>
      <c r="E4" s="2" t="s">
        <v>24</v>
      </c>
      <c r="F4" s="2" t="s">
        <v>16</v>
      </c>
      <c r="G4" s="6" t="s">
        <v>40</v>
      </c>
      <c r="H4" s="11" t="s">
        <v>2</v>
      </c>
      <c r="I4" s="4" t="s">
        <v>41</v>
      </c>
      <c r="J4" s="4" t="s">
        <v>41</v>
      </c>
      <c r="K4" s="5" t="s">
        <v>17</v>
      </c>
      <c r="L4" s="14">
        <f ca="1">TODAY()</f>
        <v>45960</v>
      </c>
      <c r="M4" s="5">
        <v>81</v>
      </c>
      <c r="N4" s="9" t="str">
        <f>CONCATENATE("I",O4)</f>
        <v>IDN5236299976</v>
      </c>
      <c r="O4" s="10" t="s">
        <v>43</v>
      </c>
      <c r="P4" s="10" t="s">
        <v>5</v>
      </c>
      <c r="Q4" s="4" t="s">
        <v>19</v>
      </c>
      <c r="R4" s="7" t="str">
        <f>"0,00 "</f>
        <v xml:space="preserve">0,00 </v>
      </c>
      <c r="S4" s="1"/>
      <c r="T4" s="9" t="str">
        <f>LEFT(R4, 6)</f>
        <v xml:space="preserve">0,00 </v>
      </c>
      <c r="U4" s="20" t="s">
        <v>25</v>
      </c>
      <c r="V4" s="7" t="e">
        <f>[1]Output!D4</f>
        <v>#REF!</v>
      </c>
      <c r="W4" s="13" t="s">
        <v>21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 t="s">
        <v>26</v>
      </c>
      <c r="V5" s="1"/>
      <c r="W5" s="12"/>
    </row>
    <row r="6">
      <c r="A6" s="1"/>
      <c r="B6" s="1"/>
      <c r="C6" s="6" t="s">
        <v>27</v>
      </c>
      <c r="D6" s="6" t="s">
        <v>15</v>
      </c>
      <c r="E6" s="6" t="s">
        <v>39</v>
      </c>
      <c r="F6" s="6" t="s">
        <v>48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2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2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2"/>
    </row>
    <row r="9">
      <c r="A9" s="1"/>
      <c r="B9" s="1"/>
      <c r="C9" s="5" t="s">
        <v>28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2"/>
    </row>
    <row r="10">
      <c r="A10" s="1"/>
      <c r="B10" s="1"/>
      <c r="C10" s="1" t="s">
        <v>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2"/>
    </row>
    <row r="11">
      <c r="A11" s="1"/>
      <c r="B11" s="1"/>
      <c r="C11" s="7" t="s">
        <v>52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2"/>
    </row>
    <row r="12">
      <c r="A12" s="1"/>
      <c r="B12" s="1"/>
      <c r="C12" s="19" t="s">
        <v>14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2"/>
    </row>
    <row r="13">
      <c r="A13" s="1"/>
      <c r="B13" s="1"/>
      <c r="C13" s="15" t="s">
        <v>33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2"/>
    </row>
    <row r="14">
      <c r="A14" s="1"/>
      <c r="B14" s="1"/>
      <c r="C14" s="18" t="s">
        <v>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2"/>
    </row>
    <row r="15">
      <c r="A15" s="1"/>
      <c r="B15" s="1"/>
      <c r="C15" s="17" t="s">
        <v>34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2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selection activeCell="A2" sqref="A2"/>
    </sheetView>
  </sheetViews>
  <sheetFormatPr defaultColWidth="9.125" defaultRowHeight="14.25"/>
  <cols>
    <col min="1" max="1" width="9.125" style="16" customWidth="1"/>
    <col min="2" max="2" width="65" style="16" bestFit="1" customWidth="1"/>
    <col min="3" max="3" width="26.625" style="16" bestFit="1" customWidth="1"/>
    <col min="4" max="4" width="23.125" style="16" bestFit="1" customWidth="1"/>
    <col min="5" max="16384" width="9.125" style="16" customWidth="1"/>
  </cols>
  <sheetData>
    <row r="1" ht="12.75" customHeight="1" customFormat="1">
      <c r="A1" t="s">
        <v>36</v>
      </c>
      <c r="B1" t="s">
        <v>11</v>
      </c>
      <c r="C1" t="s">
        <v>38</v>
      </c>
      <c r="D1" t="s">
        <v>51</v>
      </c>
    </row>
    <row r="2">
      <c r="A2" s="3">
        <v>1</v>
      </c>
      <c r="B2" s="3" t="s">
        <v>0</v>
      </c>
      <c r="C2" s="1"/>
      <c r="D2" s="12"/>
    </row>
    <row r="3">
      <c r="A3" s="1"/>
      <c r="B3" s="1"/>
      <c r="C3" s="1"/>
      <c r="D3" s="12"/>
    </row>
    <row r="4">
      <c r="A4" s="3">
        <v>3</v>
      </c>
      <c r="B4" s="3" t="s">
        <v>1</v>
      </c>
      <c r="C4" s="1" t="s">
        <v>22</v>
      </c>
      <c r="D4" s="12"/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8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