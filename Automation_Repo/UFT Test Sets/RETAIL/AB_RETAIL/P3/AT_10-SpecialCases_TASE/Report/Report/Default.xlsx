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GR_Deliv_Note_w_Trad_Goods" sheetId="3" r:id="rId3"/>
    <sheet name="TC2_Store_Order_for_Inter" sheetId="4" r:id="rId4"/>
    <sheet name="DataTransfer_1" sheetId="5" r:id="rId5"/>
    <sheet name="TC3_DSD_GR_Deliv_Note_w_Trading" sheetId="6" r:id="rId6"/>
  </sheets>
  <externalReferences>
    <externalReference r:id="rId10"/>
  </externalReferences>
  <calcPr calcId="40001"/>
</workbook>
</file>

<file path=xl/sharedStrings.xml><?xml version="1.0" encoding="utf-8"?>
<sst xmlns="http://schemas.openxmlformats.org/spreadsheetml/2006/main" uniqueCount="77">
  <si>
    <t>Scripting</t>
  </si>
  <si>
    <t/>
  </si>
  <si>
    <t>DT_SAPTRANSACTIONCODE</t>
  </si>
  <si>
    <t>A01</t>
  </si>
  <si>
    <t>101</t>
  </si>
  <si>
    <t>DT_MIGO_0304_ITEM_OK_OCC4</t>
  </si>
  <si>
    <t>DT_EXPECTEDVALUE_OCC3</t>
  </si>
  <si>
    <t>DT_MIGO_100_IDOC_TREE_CONTROLINT_SEG_CONTROL</t>
  </si>
  <si>
    <t>DT_MIGO_100_IDOC_TREE_CONTROLINT_SEG_CONTROL_OCC4</t>
  </si>
  <si>
    <t>DT_MIGO_100_OKCD</t>
  </si>
  <si>
    <t>DT_MIGO_0325_CHECK_TEXT_OF_MOVEMENT_TYPE</t>
  </si>
  <si>
    <t>DT_MIGO_1_OKCD</t>
  </si>
  <si>
    <t>DT_MIGO_100_VARIANT</t>
  </si>
  <si>
    <t>Data passed to port OK</t>
  </si>
  <si>
    <t>DT_MIGO_0010_GODYNPROACTION</t>
  </si>
  <si>
    <t>DT_MIGO_100_CREATED_BY_OCC2</t>
  </si>
  <si>
    <t>/nexit</t>
  </si>
  <si>
    <t>AP</t>
  </si>
  <si>
    <t>Scenario</t>
  </si>
  <si>
    <t>%blank%</t>
  </si>
  <si>
    <t>3</t>
  </si>
  <si>
    <t>200</t>
  </si>
  <si>
    <t>MIGO</t>
  </si>
  <si>
    <t>DT_EXPECTEDVALUE</t>
  </si>
  <si>
    <t>we09</t>
  </si>
  <si>
    <t>SESSION_MANAGER</t>
  </si>
  <si>
    <t>DT_IDOC_NUMBER</t>
  </si>
  <si>
    <t>10-SpecialCases</t>
  </si>
  <si>
    <t>DT_SAPSYSTEM</t>
  </si>
  <si>
    <t>AUTOAB</t>
  </si>
  <si>
    <t>5f93edb3da92bdc819e195d7be568c7eb6af7aebbdeecb6b</t>
  </si>
  <si>
    <t>DT_MIGO_0010_GODEFAULT_TVBWART_OCC2</t>
  </si>
  <si>
    <t>DT_MIGO_0010_GODYNPROACTION_OCC9</t>
  </si>
  <si>
    <t>DT_ME21N_0300_WHERE</t>
  </si>
  <si>
    <t>MBGMCR</t>
  </si>
  <si>
    <t>DT_ARTICLE_NO_OUTPUT</t>
  </si>
  <si>
    <t>RGS - SAP RETAIL Staging GLOBAL</t>
  </si>
  <si>
    <t>DT_SAPLANGUAGE</t>
  </si>
  <si>
    <t>DT_SAPOPTIONS</t>
  </si>
  <si>
    <t>S</t>
  </si>
  <si>
    <t>WE09</t>
  </si>
  <si>
    <t>5357b5f3d93536319381f29be85ab0e2660e6c8ed3cb</t>
  </si>
  <si>
    <t>DT_MIGO_0304_ITEM_OK_OCC2</t>
  </si>
  <si>
    <t>DT_MIGO_1_CHECK_TEXT_OF_STATUSBAR</t>
  </si>
  <si>
    <t>DT_MIGO_1000_FOR_VALUE__OCC2</t>
  </si>
  <si>
    <t>DT_MIGO_100_IDOC_TREE_CONTROLINT_SEG_CONTROL_OCC2</t>
  </si>
  <si>
    <t>4</t>
  </si>
  <si>
    <t>DT_BD87_OKCD</t>
  </si>
  <si>
    <t>13</t>
  </si>
  <si>
    <t>/nBD87</t>
  </si>
  <si>
    <t>Row_Number</t>
  </si>
  <si>
    <t>A03</t>
  </si>
  <si>
    <t>EN</t>
  </si>
  <si>
    <t>DT_EXPECTEDTRANSACTIONCODE_OCC2</t>
  </si>
  <si>
    <t>1</t>
  </si>
  <si>
    <t>DT_EXPECTEDTRANSACTIONCODE</t>
  </si>
  <si>
    <t>DT_MIGO_2000_GODYNPROPO_NUMBER</t>
  </si>
  <si>
    <t>DT_NUM</t>
  </si>
  <si>
    <t>DT_MIGO_1_GR_NUMBER</t>
  </si>
  <si>
    <t>DT_MIGO_100_IDOC_TREE_CONTROLINT_SEG_CONTROL_OCC3</t>
  </si>
  <si>
    <t>true</t>
  </si>
  <si>
    <t>DT_EXPECTEDVALUE_OCC2</t>
  </si>
  <si>
    <t>R1E - SAP RETAIL Pre-Production EUROPE</t>
  </si>
  <si>
    <t>DT_SAPPASSWORD</t>
  </si>
  <si>
    <t>DT_MIGO_0110_DELIVERY_NOTE</t>
  </si>
  <si>
    <t>DT_MIGO_0010_GODYNPROACTION_OCC7</t>
  </si>
  <si>
    <t>A04</t>
  </si>
  <si>
    <t>DT_MIGO_120_CHECK_TEXT_OF_DATA_PASSED_TO_PORT_OK</t>
  </si>
  <si>
    <t>DT_SAPUSER</t>
  </si>
  <si>
    <t>rreye</t>
  </si>
  <si>
    <t>2</t>
  </si>
  <si>
    <t>DT_MIGO_100_CHECK_TEXT_OF_TABLECELL_FLD_CONT_9</t>
  </si>
  <si>
    <t>DT_EXPECTEDTRANSACTIONCODE_OCC3</t>
  </si>
  <si>
    <t>DT_ME21N_120_CHECK_TEXT_OF_DATA_PASSED_TO_PORT_OK</t>
  </si>
  <si>
    <t>DT_SAPCLIENT</t>
  </si>
  <si>
    <t>Document is O.K.</t>
  </si>
  <si>
    <t>DT_MIGO_600_GRIDCELL_13_SHORT_DESCRIPTION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</si>
</sst>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1" fillId="0" borderId="2" xfId="0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1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10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GR10_002_LocVend_w_Subrange_DSD_GR_Deliv_Note_w_Trading_Goods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Q6"/>
  <sheetViews>
    <sheetView topLeftCell="AA1" workbookViewId="0">
      <selection activeCell="AA2" sqref="AA2"/>
    </sheetView>
  </sheetViews>
  <sheetFormatPr defaultColWidth="9.125" defaultRowHeight="14.25"/>
  <cols>
    <col min="1" max="1" width="12.5" style="13" customWidth="1"/>
    <col min="2" max="2" width="15" style="13" customWidth="1"/>
    <col min="3" max="3" width="38.125" style="13" customWidth="1"/>
    <col min="4" max="4" width="15" style="13" customWidth="1"/>
    <col min="5" max="5" width="13.625" style="13" customWidth="1"/>
    <col min="6" max="6" width="48.5" style="13" customWidth="1"/>
    <col min="7" max="7" width="18.625" style="13" customWidth="1"/>
    <col min="8" max="8" width="16.75" style="13" customWidth="1"/>
    <col min="9" max="9" width="27.125" style="13" customWidth="1"/>
    <col min="10" max="10" width="33.375" style="13" customWidth="1"/>
    <col min="11" max="11" width="33.125" style="13" customWidth="1"/>
    <col min="12" max="12" width="43" style="13" customWidth="1"/>
    <col min="13" max="13" width="37.875" style="13" customWidth="1"/>
    <col min="14" max="14" width="29.25" style="13" customWidth="1"/>
    <col min="15" max="15" width="9.125" style="13" customWidth="1"/>
    <col min="16" max="16" width="30.875" style="13" customWidth="1"/>
    <col min="17" max="17" width="29.25" style="13" customWidth="1"/>
    <col min="18" max="18" width="20.75" style="13" customWidth="1"/>
    <col min="19" max="19" width="26.625" style="13" customWidth="1"/>
    <col min="20" max="20" width="24.25" style="13" customWidth="1"/>
    <col min="21" max="22" width="39" style="13" customWidth="1"/>
    <col min="23" max="23" width="23.75" style="13" customWidth="1"/>
    <col min="24" max="24" width="48.75" style="13" customWidth="1"/>
    <col min="25" max="25" width="17.5" style="13" customWidth="1"/>
    <col min="26" max="26" width="39.25" style="13" customWidth="1"/>
    <col min="27" max="27" width="32.75" style="13" customWidth="1"/>
    <col min="28" max="28" width="22.625" style="13" customWidth="1"/>
    <col min="29" max="29" width="47.875" style="13" customWidth="1"/>
    <col min="30" max="30" width="33.25" style="13" customWidth="1"/>
    <col min="31" max="31" width="26.625" style="13" customWidth="1"/>
    <col min="32" max="32" width="53" style="13" customWidth="1"/>
    <col min="33" max="35" width="58.875" style="13" customWidth="1"/>
    <col min="36" max="36" width="54.25" style="13" customWidth="1"/>
    <col min="37" max="38" width="25.875" style="13" customWidth="1"/>
    <col min="39" max="39" width="39.25" style="13" customWidth="1"/>
    <col min="40" max="16384" width="9.125" style="13" customWidth="1"/>
  </cols>
  <sheetData>
    <row r="1" ht="12.75" customHeight="1" customFormat="1">
      <c r="A1" t="s">
        <v>50</v>
      </c>
      <c r="B1" t="s">
        <v>18</v>
      </c>
      <c r="C1" t="s">
        <v>28</v>
      </c>
      <c r="D1" t="s">
        <v>74</v>
      </c>
      <c r="E1" t="s">
        <v>68</v>
      </c>
      <c r="F1" t="s">
        <v>63</v>
      </c>
      <c r="G1" t="s">
        <v>37</v>
      </c>
      <c r="H1" t="s">
        <v>38</v>
      </c>
      <c r="I1" t="s">
        <v>2</v>
      </c>
      <c r="J1" t="s">
        <v>55</v>
      </c>
      <c r="K1" t="s">
        <v>14</v>
      </c>
      <c r="L1" t="s">
        <v>31</v>
      </c>
      <c r="M1" t="s">
        <v>56</v>
      </c>
      <c r="N1" t="s">
        <v>42</v>
      </c>
      <c r="O1" t="s">
        <v>57</v>
      </c>
      <c r="P1" t="s">
        <v>64</v>
      </c>
      <c r="Q1" t="s">
        <v>5</v>
      </c>
      <c r="R1" t="s">
        <v>23</v>
      </c>
      <c r="S1" t="s">
        <v>61</v>
      </c>
      <c r="T1" t="s">
        <v>43</v>
      </c>
      <c r="U1" t="s">
        <v>58</v>
      </c>
      <c r="V1" t="s">
        <v>65</v>
      </c>
      <c r="W1" t="s">
        <v>32</v>
      </c>
      <c r="X1" t="s">
        <v>33</v>
      </c>
      <c r="Y1" t="s">
        <v>10</v>
      </c>
      <c r="Z1" t="s">
        <v>11</v>
      </c>
      <c r="AA1" t="s">
        <v>53</v>
      </c>
      <c r="AB1" t="s">
        <v>15</v>
      </c>
      <c r="AC1" t="s">
        <v>12</v>
      </c>
      <c r="AD1" t="s">
        <v>76</v>
      </c>
      <c r="AE1" t="s">
        <v>44</v>
      </c>
      <c r="AF1" t="s">
        <v>6</v>
      </c>
      <c r="AG1" t="s">
        <v>7</v>
      </c>
      <c r="AH1" t="s">
        <v>45</v>
      </c>
      <c r="AI1" t="s">
        <v>59</v>
      </c>
      <c r="AJ1" t="s">
        <v>8</v>
      </c>
      <c r="AK1" t="s">
        <v>71</v>
      </c>
      <c r="AL1" t="s">
        <v>67</v>
      </c>
      <c r="AM1" t="s">
        <v>9</v>
      </c>
      <c r="AN1" t="s">
        <v>72</v>
      </c>
      <c r="AO1" t="s">
        <v>73</v>
      </c>
      <c r="AP1" t="s">
        <v>17</v>
      </c>
      <c r="AQ1" t="s">
        <v>47</v>
      </c>
    </row>
    <row r="2">
      <c r="A2" s="6">
        <v>1</v>
      </c>
      <c r="B2" s="6" t="s">
        <v>0</v>
      </c>
      <c r="C2" s="3" t="s">
        <v>62</v>
      </c>
      <c r="D2" s="3" t="s">
        <v>21</v>
      </c>
      <c r="E2" s="3" t="s">
        <v>29</v>
      </c>
      <c r="F2" s="3" t="s">
        <v>30</v>
      </c>
      <c r="G2" s="3" t="s">
        <v>52</v>
      </c>
      <c r="H2" s="1" t="s">
        <v>1</v>
      </c>
      <c r="I2" s="1" t="s">
        <v>22</v>
      </c>
      <c r="J2" s="1" t="s">
        <v>22</v>
      </c>
      <c r="K2" s="2" t="s">
        <v>3</v>
      </c>
      <c r="L2" s="2" t="s">
        <v>4</v>
      </c>
      <c r="M2" s="2">
        <v>5218867071</v>
      </c>
      <c r="N2" s="2" t="s">
        <v>60</v>
      </c>
      <c r="O2" s="1">
        <v>11</v>
      </c>
      <c r="P2" s="2" t="str">
        <f>CONCATENATE("DN",M2)</f>
        <v>DN5218867071</v>
      </c>
      <c r="Q2" s="2" t="s">
        <v>60</v>
      </c>
      <c r="R2" s="1" t="s">
        <v>39</v>
      </c>
      <c r="S2" s="1" t="s">
        <v>39</v>
      </c>
      <c r="T2" s="4" t="s">
        <v>75</v>
      </c>
      <c r="U2" s="9" t="e">
        <f>[1]Output!A2</f>
        <v>#REF!</v>
      </c>
      <c r="V2" s="2" t="s">
        <v>51</v>
      </c>
      <c r="W2" s="2" t="s">
        <v>66</v>
      </c>
      <c r="X2" s="1">
        <v>2</v>
      </c>
      <c r="Y2" s="5" t="s">
        <v>4</v>
      </c>
      <c r="Z2" s="1" t="s">
        <v>24</v>
      </c>
      <c r="AA2" s="1" t="s">
        <v>40</v>
      </c>
      <c r="AB2" s="1" t="s">
        <v>19</v>
      </c>
      <c r="AC2" s="8" t="s">
        <v>34</v>
      </c>
      <c r="AD2" s="1" t="s">
        <v>48</v>
      </c>
      <c r="AE2" s="10" t="e">
        <f ca="1">CONCATENATE(U2,YEAR(TODAY()))</f>
        <v>#REF!</v>
      </c>
      <c r="AF2" s="1" t="s">
        <v>39</v>
      </c>
      <c r="AG2" s="1" t="s">
        <v>54</v>
      </c>
      <c r="AH2" s="1" t="s">
        <v>70</v>
      </c>
      <c r="AI2" s="1" t="s">
        <v>20</v>
      </c>
      <c r="AJ2" s="1" t="s">
        <v>46</v>
      </c>
      <c r="AK2" s="5">
        <f>M2</f>
        <v>5218867071</v>
      </c>
      <c r="AL2" s="4" t="s">
        <v>13</v>
      </c>
      <c r="AM2" s="1" t="s">
        <v>16</v>
      </c>
      <c r="AN2" s="1" t="s">
        <v>25</v>
      </c>
      <c r="AO2" s="1" t="s">
        <v>13</v>
      </c>
      <c r="AP2" s="1"/>
      <c r="AQ2" s="11" t="s">
        <v>49</v>
      </c>
    </row>
    <row r="3">
      <c r="A3" s="6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1"/>
    </row>
    <row r="4">
      <c r="A4" s="6">
        <v>3</v>
      </c>
      <c r="B4" s="6" t="s">
        <v>27</v>
      </c>
      <c r="C4" s="3" t="s">
        <v>62</v>
      </c>
      <c r="D4" s="3" t="s">
        <v>21</v>
      </c>
      <c r="E4" s="3" t="s">
        <v>29</v>
      </c>
      <c r="F4" s="3" t="s">
        <v>30</v>
      </c>
      <c r="G4" s="3" t="s">
        <v>52</v>
      </c>
      <c r="H4" s="1" t="s">
        <v>1</v>
      </c>
      <c r="I4" s="1" t="s">
        <v>22</v>
      </c>
      <c r="J4" s="1" t="s">
        <v>22</v>
      </c>
      <c r="K4" s="2" t="s">
        <v>3</v>
      </c>
      <c r="L4" s="2" t="s">
        <v>4</v>
      </c>
      <c r="M4" s="12">
        <v>5236300066</v>
      </c>
      <c r="N4" s="2" t="s">
        <v>60</v>
      </c>
      <c r="O4" s="1">
        <v>126</v>
      </c>
      <c r="P4" s="2" t="str">
        <f>CONCATENATE("DN",M4)</f>
        <v>DN5236300066</v>
      </c>
      <c r="Q4" s="2" t="s">
        <v>60</v>
      </c>
      <c r="R4" s="1" t="s">
        <v>39</v>
      </c>
      <c r="S4" s="1" t="s">
        <v>39</v>
      </c>
      <c r="T4" s="4" t="s">
        <v>75</v>
      </c>
      <c r="U4" s="9" t="e">
        <f>[1]Output!A4</f>
        <v>#REF!</v>
      </c>
      <c r="V4" s="2" t="s">
        <v>51</v>
      </c>
      <c r="W4" s="2" t="s">
        <v>66</v>
      </c>
      <c r="X4" s="1">
        <v>2</v>
      </c>
      <c r="Y4" s="5" t="s">
        <v>4</v>
      </c>
      <c r="Z4" s="1" t="s">
        <v>24</v>
      </c>
      <c r="AA4" s="1" t="s">
        <v>40</v>
      </c>
      <c r="AB4" s="1" t="s">
        <v>19</v>
      </c>
      <c r="AC4" s="8" t="s">
        <v>34</v>
      </c>
      <c r="AD4" s="1" t="s">
        <v>48</v>
      </c>
      <c r="AE4" s="10" t="e">
        <f ca="1">CONCATENATE(U4,YEAR(TODAY()))</f>
        <v>#REF!</v>
      </c>
      <c r="AF4" s="1" t="s">
        <v>39</v>
      </c>
      <c r="AG4" s="1" t="s">
        <v>54</v>
      </c>
      <c r="AH4" s="1" t="s">
        <v>70</v>
      </c>
      <c r="AI4" s="1" t="s">
        <v>20</v>
      </c>
      <c r="AJ4" s="1" t="s">
        <v>46</v>
      </c>
      <c r="AK4" s="5">
        <f>M4</f>
        <v>5236300066</v>
      </c>
      <c r="AL4" s="4" t="s">
        <v>13</v>
      </c>
      <c r="AM4" s="1" t="s">
        <v>16</v>
      </c>
      <c r="AN4" s="1" t="s">
        <v>25</v>
      </c>
      <c r="AO4" s="1" t="s">
        <v>13</v>
      </c>
      <c r="AP4" s="1"/>
      <c r="AQ4" s="11" t="s">
        <v>49</v>
      </c>
    </row>
    <row r="5">
      <c r="A5" s="6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1"/>
    </row>
    <row r="6">
      <c r="A6" s="6">
        <v>5</v>
      </c>
      <c r="B6" s="6" t="s">
        <v>27</v>
      </c>
      <c r="C6" s="3" t="s">
        <v>36</v>
      </c>
      <c r="D6" s="3" t="s">
        <v>21</v>
      </c>
      <c r="E6" s="3" t="s">
        <v>69</v>
      </c>
      <c r="F6" s="3" t="s">
        <v>41</v>
      </c>
      <c r="G6" s="3" t="s">
        <v>52</v>
      </c>
      <c r="H6" s="1" t="s">
        <v>1</v>
      </c>
      <c r="I6" s="1" t="s">
        <v>22</v>
      </c>
      <c r="J6" s="1" t="s">
        <v>22</v>
      </c>
      <c r="K6" s="2" t="s">
        <v>3</v>
      </c>
      <c r="L6" s="2" t="s">
        <v>4</v>
      </c>
      <c r="M6" s="12">
        <v>4300013030</v>
      </c>
      <c r="N6" s="2" t="s">
        <v>60</v>
      </c>
      <c r="O6" s="1">
        <v>18</v>
      </c>
      <c r="P6" s="2" t="str">
        <f>CONCATENATE("DN",M6)</f>
        <v>DN4300013030</v>
      </c>
      <c r="Q6" s="2" t="s">
        <v>60</v>
      </c>
      <c r="R6" s="1" t="s">
        <v>39</v>
      </c>
      <c r="S6" s="1" t="s">
        <v>39</v>
      </c>
      <c r="T6" s="4" t="s">
        <v>75</v>
      </c>
      <c r="U6" s="9" t="e">
        <f>[1]Output!A6</f>
        <v>#REF!</v>
      </c>
      <c r="V6" s="2" t="s">
        <v>51</v>
      </c>
      <c r="W6" s="2" t="s">
        <v>66</v>
      </c>
      <c r="X6" s="1">
        <v>2</v>
      </c>
      <c r="Y6" s="5" t="s">
        <v>4</v>
      </c>
      <c r="Z6" s="1" t="s">
        <v>24</v>
      </c>
      <c r="AA6" s="1" t="s">
        <v>40</v>
      </c>
      <c r="AB6" s="1" t="s">
        <v>19</v>
      </c>
      <c r="AC6" s="8" t="s">
        <v>34</v>
      </c>
      <c r="AD6" s="1" t="s">
        <v>48</v>
      </c>
      <c r="AE6" s="10" t="e">
        <f ca="1">CONCATENATE(U6,YEAR(TODAY()))</f>
        <v>#REF!</v>
      </c>
      <c r="AF6" s="1" t="s">
        <v>39</v>
      </c>
      <c r="AG6" s="1" t="s">
        <v>54</v>
      </c>
      <c r="AH6" s="1" t="s">
        <v>70</v>
      </c>
      <c r="AI6" s="1" t="s">
        <v>20</v>
      </c>
      <c r="AJ6" s="1" t="s">
        <v>46</v>
      </c>
      <c r="AK6" s="5">
        <f>M6</f>
        <v>4300013030</v>
      </c>
      <c r="AL6" s="4" t="s">
        <v>13</v>
      </c>
      <c r="AM6" s="1" t="s">
        <v>16</v>
      </c>
      <c r="AN6" s="1" t="s">
        <v>25</v>
      </c>
      <c r="AO6" s="1" t="s">
        <v>13</v>
      </c>
      <c r="AP6" s="1"/>
      <c r="AQ6" s="11" t="s">
        <v>49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B4"/>
  <sheetViews>
    <sheetView workbookViewId="0">
      <selection activeCell="A2" sqref="A2"/>
    </sheetView>
  </sheetViews>
  <sheetFormatPr defaultColWidth="9.125" defaultRowHeight="14.25"/>
  <cols>
    <col min="1" max="1" width="19.375" style="13" customWidth="1"/>
    <col min="2" max="2" width="25.125" style="13" customWidth="1"/>
    <col min="3" max="16384" width="9.125" style="13" customWidth="1"/>
  </cols>
  <sheetData>
    <row r="1" ht="12.75" customHeight="1" customFormat="1">
      <c r="A1" t="s">
        <v>35</v>
      </c>
      <c r="B1" t="s">
        <v>26</v>
      </c>
    </row>
    <row r="2">
      <c r="A2" s="1">
        <v>5034359231</v>
      </c>
      <c r="B2" s="11"/>
    </row>
    <row r="3">
      <c r="A3" s="1"/>
      <c r="B3" s="11"/>
    </row>
    <row r="4">
      <c r="A4" s="1">
        <v>5079044105</v>
      </c>
      <c r="B4" s="11">
        <v>3729774327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