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PRE_02LIV13_009_P1_TASE" sheetId="3" r:id="rId3"/>
    <sheet name="DataTransfer_1" sheetId="4" r:id="rId4"/>
    <sheet name="TC2_02GR01_001_GR_LV_DC_GR" sheetId="5" r:id="rId5"/>
    <sheet name="DataTransfer_2" sheetId="6" r:id="rId6"/>
    <sheet name="TC3_PRE_02LIV13_009_P4_TASE" sheetId="7" r:id="rId7"/>
    <sheet name="DataTransfer_3" sheetId="8" r:id="rId8"/>
    <sheet name="TC4_02LIV13_009_LIV_Reverse" sheetId="9" r:id="rId9"/>
  </sheets>
  <calcPr calcId="40001"/>
</workbook>
</file>

<file path=xl/sharedStrings.xml><?xml version="1.0" encoding="utf-8"?>
<sst xmlns="http://schemas.openxmlformats.org/spreadsheetml/2006/main" uniqueCount="75">
  <si>
    <t/>
  </si>
  <si>
    <t>DT_SAPTRANSACTIONCODE</t>
  </si>
  <si>
    <t>04</t>
  </si>
  <si>
    <t>=Output!C3</t>
  </si>
  <si>
    <t>=Output!D4</t>
  </si>
  <si>
    <t>DT_MIR4_200_VIEW_CLUSTER</t>
  </si>
  <si>
    <t>J</t>
  </si>
  <si>
    <t>DT_MIR4_6150_FISCAL_YEAR</t>
  </si>
  <si>
    <t>GR02 AB VASSILOPOULOS SM S.A. ΓΕΡΑΚΑΣ ΑΤΤΙΚΗΣ</t>
  </si>
  <si>
    <t>20250504</t>
  </si>
  <si>
    <t>DT_ROW_PARMETER_OUTPUT</t>
  </si>
  <si>
    <t>N</t>
  </si>
  <si>
    <t>R</t>
  </si>
  <si>
    <t>V</t>
  </si>
  <si>
    <t>Scenario</t>
  </si>
  <si>
    <t>DT_WAC_DATE</t>
  </si>
  <si>
    <t>DT_MIR4_300_POSTING_DATE</t>
  </si>
  <si>
    <t>200</t>
  </si>
  <si>
    <t>DT_MIR4_300_REVERSAL_REASON</t>
  </si>
  <si>
    <t>DT_FORMULA_YEAR</t>
  </si>
  <si>
    <t>DT_POSTING_DATE_OUTPUT</t>
  </si>
  <si>
    <t>DT_SAPSYSTEM</t>
  </si>
  <si>
    <t>AUTOAB</t>
  </si>
  <si>
    <t>=Output!C4</t>
  </si>
  <si>
    <t>=Output!E2</t>
  </si>
  <si>
    <t>ABE002</t>
  </si>
  <si>
    <t>G</t>
  </si>
  <si>
    <t>K</t>
  </si>
  <si>
    <t>DT_SAPLANGUAGE</t>
  </si>
  <si>
    <t>DT_SAPOPTIONS</t>
  </si>
  <si>
    <t>DT_MIR4_6000_OKCD</t>
  </si>
  <si>
    <t>O</t>
  </si>
  <si>
    <t>S</t>
  </si>
  <si>
    <t>5433e12d8593075d578f80933855dbe114bdf586c91e5197</t>
  </si>
  <si>
    <t>DT_POSTING_DATE</t>
  </si>
  <si>
    <t>DT_PARAMETER_DESCR</t>
  </si>
  <si>
    <t>10.06.2025</t>
  </si>
  <si>
    <t>W</t>
  </si>
  <si>
    <t>DT_MIR4_130_OKCD</t>
  </si>
  <si>
    <t>Row_Number</t>
  </si>
  <si>
    <t>AT_3_13_08-E2E-LIV-Negative tests-Try to reverse invoice in closed WAC period</t>
  </si>
  <si>
    <t>=Output!D2</t>
  </si>
  <si>
    <t>H</t>
  </si>
  <si>
    <t>L</t>
  </si>
  <si>
    <t>EN</t>
  </si>
  <si>
    <t>DT_EXPECTEDTRANSACTIONCODE_OCC2</t>
  </si>
  <si>
    <t>P</t>
  </si>
  <si>
    <t>T</t>
  </si>
  <si>
    <t>MIR4</t>
  </si>
  <si>
    <t>DT_EXPECTEDTRANSACTIONCODE</t>
  </si>
  <si>
    <t>SM34</t>
  </si>
  <si>
    <t>DT_COMPANY_CODE</t>
  </si>
  <si>
    <t>DT_WAD_DT</t>
  </si>
  <si>
    <t>DT_LOGICAL_GROUP_NAME</t>
  </si>
  <si>
    <t>DT_COMPANY_CODE_OUTPUT</t>
  </si>
  <si>
    <t>R1E - SAP RETAIL Pre-Production EUROPE</t>
  </si>
  <si>
    <t>DT_SAPPASSWORD</t>
  </si>
  <si>
    <t>=Output!C2</t>
  </si>
  <si>
    <t>=Output!D3</t>
  </si>
  <si>
    <t>DT_MIR4_100_SAPLZACPF_TAB_MNTTCTRL_ZACPF_V_LOG_LOGV</t>
  </si>
  <si>
    <t>DT_WAC_DATE_OUTPUT</t>
  </si>
  <si>
    <t>I</t>
  </si>
  <si>
    <t>M</t>
  </si>
  <si>
    <t>DT_SAPUSER</t>
  </si>
  <si>
    <t>DT_MIR4_6150_INVOICE_DOCUMENT_NO</t>
  </si>
  <si>
    <t>=Output!E4</t>
  </si>
  <si>
    <t>MR8M</t>
  </si>
  <si>
    <t>DT_EXPECTEDTRANSACTIONCODE_OCC3</t>
  </si>
  <si>
    <t>DT_MIR4_300_POSTING_DATE_OCC1</t>
  </si>
  <si>
    <t>Q</t>
  </si>
  <si>
    <t>U</t>
  </si>
  <si>
    <t>DT_SAPCLIENT</t>
  </si>
  <si>
    <t>zacpf_data</t>
  </si>
  <si>
    <t>True</t>
  </si>
  <si>
    <t>DT_MIR4_300_CHECK_TEXT_OF_STATUSBAR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</si>
</sst>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;@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3.5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49" fontId="1" fillId="0" borderId="2" xfId="0" applyNumberFormat="1" applyBorder="1" applyProtection="1">
      <protection locked="0"/>
    </xf>
    <xf numFmtId="164" fontId="1" fillId="6" borderId="1" xfId="0" applyNumberFormat="1" applyFill="1" applyBorder="1" applyProtection="1">
      <protection locked="0"/>
    </xf>
    <xf numFmtId="165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164" fontId="1" fillId="0" borderId="2" xfId="0" applyNumberFormat="1" applyBorder="1" applyProtection="1">
      <protection locked="0"/>
    </xf>
    <xf numFmtId="0" fontId="3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9"/>
  <sheetViews>
    <sheetView workbookViewId="0">
      <selection activeCell="A2" sqref="A2"/>
    </sheetView>
  </sheetViews>
  <sheetFormatPr defaultColWidth="9.125" defaultRowHeight="14.25"/>
  <cols>
    <col min="1" max="1" width="12.5" style="11" customWidth="1"/>
    <col min="2" max="2" width="67.375" style="11" customWidth="1"/>
    <col min="3" max="3" width="38.125" style="11" customWidth="1"/>
    <col min="4" max="4" width="15" style="11" customWidth="1"/>
    <col min="5" max="5" width="13.625" style="11" customWidth="1"/>
    <col min="6" max="6" width="48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8" style="11" customWidth="1"/>
    <col min="12" max="12" width="27.5" style="11" customWidth="1"/>
    <col min="13" max="13" width="47" style="11" customWidth="1"/>
    <col min="14" max="14" width="19.125" style="11" customWidth="1"/>
    <col min="15" max="15" width="23.875" style="11" customWidth="1"/>
    <col min="16" max="16" width="20.125" style="11" customWidth="1"/>
    <col min="17" max="17" width="39.25" style="11" customWidth="1"/>
    <col min="18" max="18" width="28.5" style="11" customWidth="1"/>
    <col min="19" max="19" width="60.75" style="11" customWidth="1"/>
    <col min="20" max="20" width="15" style="11" customWidth="1"/>
    <col min="21" max="21" width="12.625" style="11" customWidth="1"/>
    <col min="22" max="22" width="19.125" style="11" customWidth="1"/>
    <col min="23" max="23" width="39.25" style="11" customWidth="1"/>
    <col min="24" max="24" width="32.875" style="11" customWidth="1"/>
    <col min="25" max="25" width="28.5" style="11" customWidth="1"/>
    <col min="26" max="26" width="83.125" style="11" customWidth="1"/>
    <col min="27" max="27" width="19.75" style="11" customWidth="1"/>
    <col min="28" max="28" width="28" style="11" customWidth="1"/>
    <col min="29" max="29" width="35" style="11" bestFit="1" customWidth="1"/>
    <col min="30" max="16384" width="9.125" style="11" customWidth="1"/>
  </cols>
  <sheetData>
    <row r="1" ht="12.75" customHeight="1" customFormat="1">
      <c r="A1" t="s">
        <v>39</v>
      </c>
      <c r="B1" t="s">
        <v>14</v>
      </c>
      <c r="C1" t="s">
        <v>21</v>
      </c>
      <c r="D1" t="s">
        <v>71</v>
      </c>
      <c r="E1" t="s">
        <v>63</v>
      </c>
      <c r="F1" t="s">
        <v>56</v>
      </c>
      <c r="G1" t="s">
        <v>28</v>
      </c>
      <c r="H1" t="s">
        <v>29</v>
      </c>
      <c r="I1" t="s">
        <v>1</v>
      </c>
      <c r="J1" t="s">
        <v>49</v>
      </c>
      <c r="K1" t="s">
        <v>64</v>
      </c>
      <c r="L1" t="s">
        <v>7</v>
      </c>
      <c r="M1" t="s">
        <v>51</v>
      </c>
      <c r="N1" t="s">
        <v>34</v>
      </c>
      <c r="O1" t="s">
        <v>35</v>
      </c>
      <c r="P1" t="s">
        <v>30</v>
      </c>
      <c r="Q1" t="s">
        <v>45</v>
      </c>
      <c r="R1" t="s">
        <v>5</v>
      </c>
      <c r="S1" t="s">
        <v>59</v>
      </c>
      <c r="T1" t="s">
        <v>15</v>
      </c>
      <c r="U1" t="s">
        <v>52</v>
      </c>
      <c r="V1" t="s">
        <v>38</v>
      </c>
      <c r="W1" t="s">
        <v>67</v>
      </c>
      <c r="X1" t="s">
        <v>18</v>
      </c>
      <c r="Y1" t="s">
        <v>16</v>
      </c>
      <c r="Z1" t="s">
        <v>74</v>
      </c>
      <c r="AA1" t="s">
        <v>19</v>
      </c>
      <c r="AB1" t="s">
        <v>53</v>
      </c>
      <c r="AC1" t="s">
        <v>68</v>
      </c>
    </row>
    <row r="2">
      <c r="A2" s="4">
        <v>1</v>
      </c>
      <c r="B2" s="4"/>
      <c r="C2" s="3" t="s">
        <v>55</v>
      </c>
      <c r="D2" s="3" t="s">
        <v>17</v>
      </c>
      <c r="E2" s="3" t="s">
        <v>22</v>
      </c>
      <c r="F2" s="3" t="s">
        <v>33</v>
      </c>
      <c r="G2" s="3" t="s">
        <v>44</v>
      </c>
      <c r="H2" s="3" t="s">
        <v>0</v>
      </c>
      <c r="I2" s="3" t="s">
        <v>48</v>
      </c>
      <c r="J2" s="3" t="s">
        <v>48</v>
      </c>
      <c r="K2" s="12">
        <v>6001590410</v>
      </c>
      <c r="L2" s="12">
        <v>2014</v>
      </c>
      <c r="M2" s="6" t="s">
        <v>57</v>
      </c>
      <c r="N2" s="6" t="s">
        <v>41</v>
      </c>
      <c r="O2" s="7" t="str">
        <f>CONCATENATE("LAST_DATE_WAC_",LEFT(M2,4))</f>
        <v>LAST_DATE_WAC_=Out</v>
      </c>
      <c r="P2" s="1" t="s">
        <v>50</v>
      </c>
      <c r="Q2" s="1" t="s">
        <v>50</v>
      </c>
      <c r="R2" s="1" t="s">
        <v>72</v>
      </c>
      <c r="S2" s="1" t="s">
        <v>73</v>
      </c>
      <c r="T2" s="6" t="s">
        <v>24</v>
      </c>
      <c r="U2" s="9" t="str">
        <f>CONCATENATE(RIGHT(T2,2),".",MID(T2,5,2),".",LEFT(T2,4))</f>
        <v>E2.pu.=Out</v>
      </c>
      <c r="V2" s="1" t="s">
        <v>66</v>
      </c>
      <c r="W2" s="1" t="s">
        <v>66</v>
      </c>
      <c r="X2" s="1" t="s">
        <v>2</v>
      </c>
      <c r="Y2" s="10" t="str">
        <f>U2</f>
        <v>E2.pu.=Out</v>
      </c>
      <c r="Z2" s="17" t="str">
        <f>CONCATENATE("Company code: ",LEFT(M2,4)," Posting Date: ",TEXT(Y2,"dd.mm")," not allowed before Last WAC date ",U2,)</f>
        <v>Company code: =Out Posting Date: E2.pu.=Out not allowed before Last WAC date E2.pu.=Out</v>
      </c>
      <c r="AA2" s="1">
        <v>2016</v>
      </c>
      <c r="AB2" s="1" t="s">
        <v>25</v>
      </c>
      <c r="AC2" s="8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" t="s">
        <v>3</v>
      </c>
      <c r="N3" s="6" t="s">
        <v>58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7"/>
      <c r="AA3" s="1"/>
      <c r="AB3" s="1"/>
      <c r="AC3" s="8"/>
    </row>
    <row r="4" ht="17.25">
      <c r="A4" s="4">
        <v>3</v>
      </c>
      <c r="B4" s="4" t="s">
        <v>40</v>
      </c>
      <c r="C4" s="3" t="s">
        <v>55</v>
      </c>
      <c r="D4" s="3" t="s">
        <v>17</v>
      </c>
      <c r="E4" s="3" t="s">
        <v>22</v>
      </c>
      <c r="F4" s="3" t="s">
        <v>33</v>
      </c>
      <c r="G4" s="15" t="s">
        <v>44</v>
      </c>
      <c r="H4" s="3" t="s">
        <v>0</v>
      </c>
      <c r="I4" s="3" t="s">
        <v>48</v>
      </c>
      <c r="J4" s="3" t="s">
        <v>48</v>
      </c>
      <c r="K4" s="13"/>
      <c r="L4" s="7">
        <f ca="1">YEAR(NOW())</f>
        <v>2025</v>
      </c>
      <c r="M4" s="6" t="s">
        <v>23</v>
      </c>
      <c r="N4" s="6" t="s">
        <v>4</v>
      </c>
      <c r="O4" s="7" t="str">
        <f>CONCATENATE("LAST_DATE_WAC_",LEFT(M4,4))</f>
        <v>LAST_DATE_WAC_=Out</v>
      </c>
      <c r="P4" s="1" t="s">
        <v>50</v>
      </c>
      <c r="Q4" s="1" t="s">
        <v>50</v>
      </c>
      <c r="R4" s="1" t="s">
        <v>72</v>
      </c>
      <c r="S4" s="1" t="s">
        <v>73</v>
      </c>
      <c r="T4" s="6" t="s">
        <v>65</v>
      </c>
      <c r="U4" s="9" t="str">
        <f>CONCATENATE(RIGHT(T4,2),".",MID(T4,5,2),".",LEFT(T4,4))</f>
        <v>E4.pu.=Out</v>
      </c>
      <c r="V4" s="1" t="s">
        <v>66</v>
      </c>
      <c r="W4" s="1" t="s">
        <v>66</v>
      </c>
      <c r="X4" s="1" t="s">
        <v>2</v>
      </c>
      <c r="Y4" s="10" t="str">
        <f>U4</f>
        <v>E4.pu.=Out</v>
      </c>
      <c r="Z4" s="17" t="str">
        <f ca="1">CONCATENATE("Posting date must not be smaller than ",TEXT(TODAY(),"dd.mm.yyyy"))</f>
        <v>Posting date must not be smaller than 30.10.2025</v>
      </c>
      <c r="AA4" s="1">
        <v>2016</v>
      </c>
      <c r="AB4" s="1" t="s">
        <v>25</v>
      </c>
      <c r="AC4" s="16">
        <f ca="1">TODAY()-2</f>
        <v>45958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4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4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4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4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72</v>
      </c>
      <c r="U9" s="1"/>
      <c r="V9" s="1"/>
      <c r="W9" s="1"/>
      <c r="X9" s="1"/>
      <c r="Y9" s="1"/>
      <c r="Z9" s="1"/>
      <c r="AA9" s="1"/>
      <c r="AB9" s="1"/>
      <c r="AC9" s="14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W7"/>
  <sheetViews>
    <sheetView topLeftCell="D1" workbookViewId="0">
      <selection activeCell="D2" sqref="D2"/>
    </sheetView>
  </sheetViews>
  <sheetFormatPr defaultColWidth="9.125" defaultRowHeight="14.25"/>
  <cols>
    <col min="1" max="1" width="9.125" style="11" customWidth="1"/>
    <col min="2" max="2" width="69" style="11" bestFit="1" customWidth="1"/>
    <col min="3" max="3" width="29.625" style="11" bestFit="1" customWidth="1"/>
    <col min="4" max="4" width="27.875" style="11" bestFit="1" customWidth="1"/>
    <col min="5" max="5" width="23.75" style="11" bestFit="1" customWidth="1"/>
    <col min="6" max="6" width="29.875" style="11" bestFit="1" customWidth="1"/>
    <col min="7" max="7" width="35" style="11" bestFit="1" customWidth="1"/>
    <col min="8" max="16384" width="9.125" style="11" customWidth="1"/>
  </cols>
  <sheetData>
    <row r="1" ht="12.75" customHeight="1" customFormat="1">
      <c r="A1" t="s">
        <v>39</v>
      </c>
      <c r="B1" t="s">
        <v>14</v>
      </c>
      <c r="C1" t="s">
        <v>54</v>
      </c>
      <c r="D1" t="s">
        <v>20</v>
      </c>
      <c r="E1" t="s">
        <v>60</v>
      </c>
      <c r="F1" t="s">
        <v>10</v>
      </c>
      <c r="G1" t="s">
        <v>26</v>
      </c>
      <c r="H1" t="s">
        <v>42</v>
      </c>
      <c r="I1" t="s">
        <v>61</v>
      </c>
      <c r="J1" t="s">
        <v>6</v>
      </c>
      <c r="K1" t="s">
        <v>27</v>
      </c>
      <c r="L1" t="s">
        <v>43</v>
      </c>
      <c r="M1" t="s">
        <v>62</v>
      </c>
      <c r="N1" t="s">
        <v>11</v>
      </c>
      <c r="O1" t="s">
        <v>31</v>
      </c>
      <c r="P1" t="s">
        <v>46</v>
      </c>
      <c r="Q1" t="s">
        <v>69</v>
      </c>
      <c r="R1" t="s">
        <v>12</v>
      </c>
      <c r="S1" t="s">
        <v>32</v>
      </c>
      <c r="T1" t="s">
        <v>47</v>
      </c>
      <c r="U1" t="s">
        <v>70</v>
      </c>
      <c r="V1" t="s">
        <v>13</v>
      </c>
      <c r="W1" t="s">
        <v>37</v>
      </c>
    </row>
    <row r="2">
      <c r="A2" s="4">
        <v>1</v>
      </c>
      <c r="B2" s="4"/>
      <c r="C2" s="2"/>
      <c r="D2" s="2"/>
      <c r="E2" s="2"/>
      <c r="F2" s="2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8"/>
    </row>
    <row r="3">
      <c r="A3" s="1"/>
      <c r="B3" s="1"/>
      <c r="C3" s="2"/>
      <c r="D3" s="2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8"/>
    </row>
    <row r="4">
      <c r="A4" s="4">
        <v>3</v>
      </c>
      <c r="B4" s="4" t="s">
        <v>40</v>
      </c>
      <c r="C4" s="2" t="s">
        <v>8</v>
      </c>
      <c r="D4" s="2" t="s">
        <v>36</v>
      </c>
      <c r="E4" s="2" t="s">
        <v>9</v>
      </c>
      <c r="F4" s="2">
        <v>1</v>
      </c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8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8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8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8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