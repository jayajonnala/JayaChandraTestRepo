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7_001" sheetId="4" r:id="rId4"/>
    <sheet name="TC2_Test_02LIV07_001_LIV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<sst xmlns="http://schemas.openxmlformats.org/spreadsheetml/2006/main" uniqueCount="65">
  <si>
    <t>Scripting</t>
  </si>
  <si>
    <t/>
  </si>
  <si>
    <t>DT_SAPTRANSACTIONCODE</t>
  </si>
  <si>
    <t>DT_MIRO_120_GETTEXT_PU_NBR_OUTPUT</t>
  </si>
  <si>
    <t>DT_PU_ORD_OUTPUT</t>
  </si>
  <si>
    <t>PU40022515</t>
  </si>
  <si>
    <t>DT_MR8M_1000_FOR_VALUE</t>
  </si>
  <si>
    <t>DT_EXPECTEDTRANSACTIONCODE_OCC4</t>
  </si>
  <si>
    <t>Scenario</t>
  </si>
  <si>
    <t>DT_MR8M_1000_SEARCH_IN_FIELD</t>
  </si>
  <si>
    <t>AT_3_7_1 LIV Local Vendor DC Cancellation Dry Goods</t>
  </si>
  <si>
    <t>200</t>
  </si>
  <si>
    <t>DT_EXPECTEDVALUE</t>
  </si>
  <si>
    <t>ZMDIV_VINV01</t>
  </si>
  <si>
    <t>DT_MR8M_200_GRIDCELL_0_DOC_NUMBER</t>
  </si>
  <si>
    <t>DT_IDOC_OUTPUT</t>
  </si>
  <si>
    <t>DT_SAPSYSTEM</t>
  </si>
  <si>
    <t>AUTOAB</t>
  </si>
  <si>
    <t>DT_SAPLANGUAGE</t>
  </si>
  <si>
    <t>DT_SAPOPTIONS</t>
  </si>
  <si>
    <t>S</t>
  </si>
  <si>
    <t>WE09</t>
  </si>
  <si>
    <t>DT_MR8M_1000_LOGICAL_MESSAGE</t>
  </si>
  <si>
    <t>ZZMDIV_E1RBKP</t>
  </si>
  <si>
    <t>DT_MR8M_6150_INVOICE_DOCUMENT_NO</t>
  </si>
  <si>
    <t>0</t>
  </si>
  <si>
    <t>DT_EXPECTEDTRANSACTIONCODE_OCC5</t>
  </si>
  <si>
    <t>DT_PU</t>
  </si>
  <si>
    <t>DT_MR8M_300_OKCD</t>
  </si>
  <si>
    <t>DT_MR8M_1000_SEARCH_IN_SEGMENT</t>
  </si>
  <si>
    <t>Row_Number</t>
  </si>
  <si>
    <t>FB03</t>
  </si>
  <si>
    <t>DT_MR8M_120_CHECK_TEXT_OF_PU40000046</t>
  </si>
  <si>
    <t>5437a04a21e66f6527e527dfa825c285e0597d03328a917b</t>
  </si>
  <si>
    <t>EN</t>
  </si>
  <si>
    <t>DT_MR8M_300_REVERSAL_REASON</t>
  </si>
  <si>
    <t>DT_EXPECTEDTRANSACTIONCODE_OCC2</t>
  </si>
  <si>
    <t>1</t>
  </si>
  <si>
    <t>DT_MR8M_1000_BASIC_TYPE</t>
  </si>
  <si>
    <t>DT_EXPECTEDTRANSACTIONCODE_OCC6</t>
  </si>
  <si>
    <t>DT_NUM_OUTPUT</t>
  </si>
  <si>
    <t>DT_EXPECTEDTRANSACTIONCODE</t>
  </si>
  <si>
    <t>DT_MR8M_300_FISCAL_YEAR</t>
  </si>
  <si>
    <t>DT_NUM</t>
  </si>
  <si>
    <t>MIR4</t>
  </si>
  <si>
    <t>03</t>
  </si>
  <si>
    <t>BELNR</t>
  </si>
  <si>
    <t>J1GP01</t>
  </si>
  <si>
    <t>R1E - SAP RETAIL Pre-Production EUROPE</t>
  </si>
  <si>
    <t>DT_SAPPASSWORD</t>
  </si>
  <si>
    <t>ZMDIV_MIRO</t>
  </si>
  <si>
    <t>DT_MR8M_100_CHECK_TEXT_OF_TABLECELL_FLD_CONT_0</t>
  </si>
  <si>
    <t>DT_MR8M_100_OKCD</t>
  </si>
  <si>
    <t>DT_SAPUSER</t>
  </si>
  <si>
    <t>MR8M</t>
  </si>
  <si>
    <t>DT_MR8M_300_INVOICE_DOCUMENT_NO</t>
  </si>
  <si>
    <t>DT_MR8M_1000_DIRECTION__1OUTB__2INB</t>
  </si>
  <si>
    <t>DT_EXPECTEDTRANSACTIONCODE_OCC3</t>
  </si>
  <si>
    <t>DT_MR8M_6000_OKCD</t>
  </si>
  <si>
    <t>DT_SAPCLIENT</t>
  </si>
  <si>
    <t>DT_MR8M_300_CHECK_TEXT_OF_STATUSBAR</t>
  </si>
  <si>
    <t>DT_PU_ORD</t>
  </si>
  <si>
    <t>DT_MR8M_750_CHECK_TEXT_OF_DOCUMENT_NUMBER</t>
  </si>
  <si>
    <t>DT_MR8M_1000_DOCUMENT</t>
  </si>
  <si>
    <t>PU40155731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</si>
</sst>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b/>
      <sz val="13.5"/>
      <color indexed="1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6" borderId="2" xfId="0" applyFill="1" applyBorder="1" applyProtection="1">
      <protection locked="0"/>
    </xf>
    <xf numFmtId="0" fontId="1" fillId="0" borderId="0" xfId="0" applyBorder="1" applyProtection="1">
      <protection locked="0"/>
    </xf>
    <xf numFmtId="0" fontId="3" fillId="0" borderId="1" xfId="0" applyFon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7_001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8"/>
  <sheetViews>
    <sheetView topLeftCell="J1" workbookViewId="0">
      <selection activeCell="J2" sqref="J2"/>
    </sheetView>
  </sheetViews>
  <sheetFormatPr defaultColWidth="9.125" defaultRowHeight="14.25"/>
  <cols>
    <col min="1" max="1" width="12.5" style="11" customWidth="1"/>
    <col min="2" max="2" width="47.125" style="11" customWidth="1"/>
    <col min="3" max="3" width="38.125" style="11" customWidth="1"/>
    <col min="4" max="4" width="15" style="11" customWidth="1"/>
    <col min="5" max="5" width="13.625" style="11" customWidth="1"/>
    <col min="6" max="6" width="48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38" style="11" customWidth="1"/>
    <col min="12" max="12" width="27.5" style="11" customWidth="1"/>
    <col min="13" max="13" width="33.875" style="11" customWidth="1"/>
    <col min="14" max="14" width="20.75" style="11" customWidth="1"/>
    <col min="15" max="15" width="11" style="11" customWidth="1"/>
    <col min="16" max="16" width="65.25" style="11" customWidth="1"/>
    <col min="17" max="17" width="20.125" style="11" customWidth="1"/>
    <col min="18" max="18" width="39.25" style="11" customWidth="1"/>
    <col min="19" max="19" width="40.625" style="11" customWidth="1"/>
    <col min="20" max="20" width="27.5" style="11" customWidth="1"/>
    <col min="21" max="21" width="33.875" style="11" customWidth="1"/>
    <col min="22" max="22" width="37.875" style="11" customWidth="1"/>
    <col min="23" max="23" width="33.875" style="11" customWidth="1"/>
    <col min="24" max="24" width="28" style="11" customWidth="1"/>
    <col min="25" max="25" width="54.875" style="11" customWidth="1"/>
    <col min="26" max="26" width="20.125" style="11" customWidth="1"/>
    <col min="27" max="27" width="39.25" style="11" customWidth="1"/>
    <col min="28" max="28" width="39" style="11" customWidth="1"/>
    <col min="29" max="29" width="40.25" style="11" customWidth="1"/>
    <col min="30" max="30" width="39.25" style="11" customWidth="1"/>
    <col min="31" max="31" width="12.375" style="11" customWidth="1"/>
    <col min="32" max="32" width="51.5" style="11" customWidth="1"/>
    <col min="33" max="33" width="39.25" style="11" customWidth="1"/>
    <col min="34" max="34" width="21.125" style="11" customWidth="1"/>
    <col min="35" max="35" width="39.25" style="11" customWidth="1"/>
    <col min="36" max="36" width="26.75" style="11" customWidth="1"/>
    <col min="37" max="37" width="11.625" style="11" customWidth="1"/>
    <col min="38" max="38" width="42.25" style="11" customWidth="1"/>
    <col min="39" max="16384" width="9.125" style="11" customWidth="1"/>
  </cols>
  <sheetData>
    <row r="1" ht="12.75" customHeight="1" customFormat="1">
      <c r="A1" t="s">
        <v>30</v>
      </c>
      <c r="B1" t="s">
        <v>8</v>
      </c>
      <c r="C1" t="s">
        <v>16</v>
      </c>
      <c r="D1" t="s">
        <v>59</v>
      </c>
      <c r="E1" t="s">
        <v>53</v>
      </c>
      <c r="F1" t="s">
        <v>49</v>
      </c>
      <c r="G1" t="s">
        <v>18</v>
      </c>
      <c r="H1" t="s">
        <v>19</v>
      </c>
      <c r="I1" t="s">
        <v>2</v>
      </c>
      <c r="J1" t="s">
        <v>41</v>
      </c>
      <c r="K1" t="s">
        <v>55</v>
      </c>
      <c r="L1" t="s">
        <v>42</v>
      </c>
      <c r="M1" t="s">
        <v>35</v>
      </c>
      <c r="N1" t="s">
        <v>12</v>
      </c>
      <c r="O1" t="s">
        <v>43</v>
      </c>
      <c r="P1" t="s">
        <v>60</v>
      </c>
      <c r="Q1" t="s">
        <v>28</v>
      </c>
      <c r="R1" t="s">
        <v>36</v>
      </c>
      <c r="S1" t="s">
        <v>56</v>
      </c>
      <c r="T1" t="s">
        <v>38</v>
      </c>
      <c r="U1" t="s">
        <v>22</v>
      </c>
      <c r="V1" t="s">
        <v>29</v>
      </c>
      <c r="W1" t="s">
        <v>9</v>
      </c>
      <c r="X1" t="s">
        <v>6</v>
      </c>
      <c r="Y1" t="s">
        <v>51</v>
      </c>
      <c r="Z1" t="s">
        <v>52</v>
      </c>
      <c r="AA1" t="s">
        <v>57</v>
      </c>
      <c r="AB1" t="s">
        <v>24</v>
      </c>
      <c r="AC1" t="s">
        <v>14</v>
      </c>
      <c r="AD1" t="s">
        <v>7</v>
      </c>
      <c r="AE1" t="s">
        <v>61</v>
      </c>
      <c r="AF1" t="s">
        <v>62</v>
      </c>
      <c r="AG1" t="s">
        <v>26</v>
      </c>
      <c r="AH1" t="s">
        <v>58</v>
      </c>
      <c r="AI1" t="s">
        <v>39</v>
      </c>
      <c r="AJ1" t="s">
        <v>63</v>
      </c>
      <c r="AK1" t="s">
        <v>27</v>
      </c>
      <c r="AL1" t="s">
        <v>32</v>
      </c>
    </row>
    <row r="2">
      <c r="A2" s="5">
        <v>2</v>
      </c>
      <c r="B2" s="5" t="s">
        <v>0</v>
      </c>
      <c r="C2" s="3" t="s">
        <v>48</v>
      </c>
      <c r="D2" s="3" t="s">
        <v>11</v>
      </c>
      <c r="E2" s="3" t="s">
        <v>17</v>
      </c>
      <c r="F2" s="3" t="s">
        <v>33</v>
      </c>
      <c r="G2" s="3" t="s">
        <v>34</v>
      </c>
      <c r="H2" s="3" t="s">
        <v>1</v>
      </c>
      <c r="I2" s="1" t="s">
        <v>54</v>
      </c>
      <c r="J2" s="1" t="s">
        <v>54</v>
      </c>
      <c r="K2" s="9">
        <v>6002273660</v>
      </c>
      <c r="L2" s="2">
        <f ca="1">YEAR(NOW())</f>
        <v>2025</v>
      </c>
      <c r="M2" s="4" t="s">
        <v>45</v>
      </c>
      <c r="N2" s="1" t="s">
        <v>20</v>
      </c>
      <c r="O2" s="6" t="e">
        <f>[1]Output!C2</f>
        <v>#REF!</v>
      </c>
      <c r="P2" s="2" t="e">
        <f>CONCATENATE("Document reversed with no. ",O2,": Please manually clear FI documents")</f>
        <v>#REF!</v>
      </c>
      <c r="Q2" s="1" t="s">
        <v>21</v>
      </c>
      <c r="R2" s="1" t="s">
        <v>21</v>
      </c>
      <c r="S2" s="4" t="s">
        <v>37</v>
      </c>
      <c r="T2" s="4" t="s">
        <v>13</v>
      </c>
      <c r="U2" s="4" t="s">
        <v>50</v>
      </c>
      <c r="V2" s="4" t="s">
        <v>23</v>
      </c>
      <c r="W2" s="4" t="s">
        <v>46</v>
      </c>
      <c r="X2" s="2" t="e">
        <f>O2</f>
        <v>#REF!</v>
      </c>
      <c r="Y2" s="2" t="e">
        <f>O2</f>
        <v>#REF!</v>
      </c>
      <c r="Z2" s="1" t="s">
        <v>44</v>
      </c>
      <c r="AA2" s="1" t="s">
        <v>44</v>
      </c>
      <c r="AB2" s="2" t="e">
        <f>O2</f>
        <v>#REF!</v>
      </c>
      <c r="AC2" s="1" t="s">
        <v>25</v>
      </c>
      <c r="AD2" s="1" t="s">
        <v>31</v>
      </c>
      <c r="AE2" s="6" t="e">
        <f>[1]Output!E2</f>
        <v>#REF!</v>
      </c>
      <c r="AF2" s="2" t="e">
        <f>AE2</f>
        <v>#REF!</v>
      </c>
      <c r="AG2" s="1" t="s">
        <v>44</v>
      </c>
      <c r="AH2" s="1" t="s">
        <v>47</v>
      </c>
      <c r="AI2" s="1" t="s">
        <v>47</v>
      </c>
      <c r="AJ2" s="2" t="e">
        <f>AE2</f>
        <v>#REF!</v>
      </c>
      <c r="AK2" s="6" t="s">
        <v>64</v>
      </c>
      <c r="AL2" s="10" t="str">
        <f>AK2</f>
        <v>PU40155731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8"/>
    </row>
    <row r="4">
      <c r="A4" s="5">
        <v>4</v>
      </c>
      <c r="B4" s="5" t="s">
        <v>10</v>
      </c>
      <c r="C4" s="3" t="s">
        <v>48</v>
      </c>
      <c r="D4" s="3" t="s">
        <v>11</v>
      </c>
      <c r="E4" s="3" t="s">
        <v>17</v>
      </c>
      <c r="F4" s="3" t="s">
        <v>33</v>
      </c>
      <c r="G4" s="3" t="s">
        <v>34</v>
      </c>
      <c r="H4" s="3" t="s">
        <v>1</v>
      </c>
      <c r="I4" s="1" t="s">
        <v>54</v>
      </c>
      <c r="J4" s="1" t="s">
        <v>54</v>
      </c>
      <c r="K4" s="9">
        <v>0</v>
      </c>
      <c r="L4" s="2">
        <f ca="1">YEAR(NOW())</f>
        <v>2025</v>
      </c>
      <c r="M4" s="4" t="s">
        <v>45</v>
      </c>
      <c r="N4" s="1" t="s">
        <v>20</v>
      </c>
      <c r="O4" s="6" t="e">
        <f>[1]Output!C4</f>
        <v>#REF!</v>
      </c>
      <c r="P4" s="2" t="e">
        <f>CONCATENATE("Document reversed with no. ",O4,": Please manually clear FI documents")</f>
        <v>#REF!</v>
      </c>
      <c r="Q4" s="1" t="s">
        <v>21</v>
      </c>
      <c r="R4" s="1" t="s">
        <v>21</v>
      </c>
      <c r="S4" s="4" t="s">
        <v>37</v>
      </c>
      <c r="T4" s="4" t="s">
        <v>13</v>
      </c>
      <c r="U4" s="4" t="s">
        <v>50</v>
      </c>
      <c r="V4" s="4" t="s">
        <v>23</v>
      </c>
      <c r="W4" s="4" t="s">
        <v>46</v>
      </c>
      <c r="X4" s="2" t="e">
        <f>O4</f>
        <v>#REF!</v>
      </c>
      <c r="Y4" s="2" t="e">
        <f>O4</f>
        <v>#REF!</v>
      </c>
      <c r="Z4" s="1" t="s">
        <v>44</v>
      </c>
      <c r="AA4" s="1" t="s">
        <v>44</v>
      </c>
      <c r="AB4" s="2">
        <f>K4</f>
        <v>0</v>
      </c>
      <c r="AC4" s="1" t="s">
        <v>25</v>
      </c>
      <c r="AD4" s="1" t="s">
        <v>31</v>
      </c>
      <c r="AE4" s="6" t="e">
        <f>[1]Output!E4</f>
        <v>#REF!</v>
      </c>
      <c r="AF4" s="2" t="e">
        <f>AE4</f>
        <v>#REF!</v>
      </c>
      <c r="AG4" s="1" t="s">
        <v>44</v>
      </c>
      <c r="AH4" s="1" t="s">
        <v>47</v>
      </c>
      <c r="AI4" s="1" t="s">
        <v>47</v>
      </c>
      <c r="AJ4" s="2" t="e">
        <f>AE4</f>
        <v>#REF!</v>
      </c>
      <c r="AK4" s="6" t="e">
        <f>[1]Output!F4</f>
        <v>#REF!</v>
      </c>
      <c r="AL4" s="10" t="e">
        <f>AK4</f>
        <v>#REF!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8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8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8"/>
    </row>
    <row r="8" ht="17.25">
      <c r="A8" s="1"/>
      <c r="B8" s="1"/>
      <c r="C8" s="1"/>
      <c r="D8" s="1"/>
      <c r="E8" s="1"/>
      <c r="F8" s="1"/>
      <c r="G8" s="1"/>
      <c r="H8" s="1"/>
      <c r="I8" s="1"/>
      <c r="J8" s="1"/>
      <c r="K8" s="1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F4"/>
  <sheetViews>
    <sheetView topLeftCell="C1" workbookViewId="0">
      <selection activeCell="C2" sqref="C2"/>
    </sheetView>
  </sheetViews>
  <sheetFormatPr defaultColWidth="9.125" defaultRowHeight="14.25"/>
  <cols>
    <col min="1" max="1" width="9.125" style="11" customWidth="1"/>
    <col min="2" max="2" width="48.125" style="11" bestFit="1" customWidth="1"/>
    <col min="3" max="3" width="17.75" style="11" bestFit="1" customWidth="1"/>
    <col min="4" max="4" width="18" style="11" bestFit="1" customWidth="1"/>
    <col min="5" max="5" width="21.375" style="11" bestFit="1" customWidth="1"/>
    <col min="6" max="6" width="41.125" style="11" bestFit="1" customWidth="1"/>
    <col min="7" max="16384" width="9.125" style="11" customWidth="1"/>
  </cols>
  <sheetData>
    <row r="1" ht="12.75" customHeight="1" customFormat="1">
      <c r="A1" t="s">
        <v>30</v>
      </c>
      <c r="B1" t="s">
        <v>8</v>
      </c>
      <c r="C1" t="s">
        <v>40</v>
      </c>
      <c r="D1" t="s">
        <v>15</v>
      </c>
      <c r="E1" t="s">
        <v>4</v>
      </c>
      <c r="F1" t="s">
        <v>3</v>
      </c>
    </row>
    <row r="2">
      <c r="A2" s="5">
        <v>2</v>
      </c>
      <c r="B2" s="5" t="s">
        <v>0</v>
      </c>
      <c r="C2" s="1"/>
      <c r="D2" s="1"/>
      <c r="E2" s="1"/>
      <c r="F2" s="8"/>
    </row>
    <row r="3">
      <c r="A3" s="1"/>
      <c r="B3" s="1"/>
      <c r="C3" s="1"/>
      <c r="D3" s="1"/>
      <c r="E3" s="1"/>
      <c r="F3" s="8"/>
    </row>
    <row r="4">
      <c r="A4" s="5">
        <v>4</v>
      </c>
      <c r="B4" s="5" t="s">
        <v>10</v>
      </c>
      <c r="C4" s="1">
        <v>6056579505</v>
      </c>
      <c r="D4" s="1">
        <v>3729741711</v>
      </c>
      <c r="E4" s="1">
        <v>5140022515</v>
      </c>
      <c r="F4" s="8" t="s">
        <v>5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7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