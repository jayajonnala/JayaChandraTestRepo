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12_008" sheetId="4" r:id="rId4"/>
    <sheet name="TC2_Test_02LIV12_008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<sst xmlns="http://schemas.openxmlformats.org/spreadsheetml/2006/main" uniqueCount="65">
  <si>
    <t>DT_SAPTRANSACTIONCODE</t>
  </si>
  <si>
    <t>DT_MIRO_6005_DETAILS</t>
  </si>
  <si>
    <t>DT_MIRO_0010_AMOUNT</t>
  </si>
  <si>
    <t>S_TL_G</t>
  </si>
  <si>
    <t>527,25-</t>
  </si>
  <si>
    <t>Data passed to port OK</t>
  </si>
  <si>
    <t>DT_MIRO_0010_REFERENCE</t>
  </si>
  <si>
    <t>DT_MIRO_6000_GET_TEXT_OF_STATUSBAR</t>
  </si>
  <si>
    <t>DT_MIRO_1000_FOR_VALUE_</t>
  </si>
  <si>
    <t>DT_EXPECTEDTRANSACTIONCODE_OCC4</t>
  </si>
  <si>
    <t>%blank%</t>
  </si>
  <si>
    <t>DT_MIRO_0010_CALCULATE_TAX</t>
  </si>
  <si>
    <t>DN5236299974</t>
  </si>
  <si>
    <t>DT_MIRO_6000_CHECK_TEXT_OF_STATUSBAR</t>
  </si>
  <si>
    <t>OFF</t>
  </si>
  <si>
    <t>200</t>
  </si>
  <si>
    <t>GR02</t>
  </si>
  <si>
    <t>ON</t>
  </si>
  <si>
    <t>DN4300285511</t>
  </si>
  <si>
    <t>DT_EXPECTEDVALUE</t>
  </si>
  <si>
    <t>DT_IDOC_OUTPUT</t>
  </si>
  <si>
    <t>DT_SAPSYSTEM</t>
  </si>
  <si>
    <t>AUTOAB</t>
  </si>
  <si>
    <t>DT_NEG_VALUE</t>
  </si>
  <si>
    <t>DT_MIRO_6150_INVOICE_DOCUMENT_NO</t>
  </si>
  <si>
    <t>DT_SAPLANGUAGE</t>
  </si>
  <si>
    <t>DT_SAPOPTIONS</t>
  </si>
  <si>
    <t>0</t>
  </si>
  <si>
    <t>S</t>
  </si>
  <si>
    <t>WE09</t>
  </si>
  <si>
    <t>DT_MIRO_120_CHECK_TEXT_OF_DATA_PASSED_TO_PORT_OK</t>
  </si>
  <si>
    <t>DT_MIRO_200_GETCELLVALUE_OF_GRIDCELL_0_DOCNR_OUTPUT</t>
  </si>
  <si>
    <t>5433e12d8593075d578f80933855dbe114bdf586c91e5197</t>
  </si>
  <si>
    <t>20-</t>
  </si>
  <si>
    <t>DT_MIRO_200_GETCELLVALUE_OF_GRIDCELL_0_DOCNR</t>
  </si>
  <si>
    <t>DT_MIRO_6000_OKCD_OCC2</t>
  </si>
  <si>
    <t>DT_MIRO_0150_UNPL_DEL_CSTS</t>
  </si>
  <si>
    <t>DT_MIRO_1000_DOCUMENT</t>
  </si>
  <si>
    <t>DT_MIRO_0010_INVOICE_DATE</t>
  </si>
  <si>
    <t>DT_MIRO_100_CHECK_ICONNAME_OF_CURRENT_STATUS</t>
  </si>
  <si>
    <t>DT_GET_AMOUNT_OUTPUT</t>
  </si>
  <si>
    <t>EN</t>
  </si>
  <si>
    <t>MIRO</t>
  </si>
  <si>
    <t>DT_MIRO_6212_RM08MLFSNR</t>
  </si>
  <si>
    <t>DT_EXPECTEDTRANSACTIONCODE_OCC2</t>
  </si>
  <si>
    <t>DT_MIRO_120_CHECK_TEXT_OF_STATUSBAR</t>
  </si>
  <si>
    <t>DT_MIRO_6000_GET_TEXT_OF_STATUSBAR_OUTPUT</t>
  </si>
  <si>
    <t>DT_EXPECTEDTRANSACTIONCODE</t>
  </si>
  <si>
    <t>MIR4</t>
  </si>
  <si>
    <t>DT_MIRO_1000_COMPANY_CODE</t>
  </si>
  <si>
    <t>DT_EXPECTEDVALUE_OCC2</t>
  </si>
  <si>
    <t>J1GP01</t>
  </si>
  <si>
    <t>R1E - SAP RETAIL Pre-Production EUROPE</t>
  </si>
  <si>
    <t>DT_SAPPASSWORD</t>
  </si>
  <si>
    <t>ZMDIV_MIRO</t>
  </si>
  <si>
    <t>DT_MIRO_100_CREATED_BY</t>
  </si>
  <si>
    <t>DT_SAPUSER</t>
  </si>
  <si>
    <t>2</t>
  </si>
  <si>
    <t>DT_MIRO_6005_BASIC_DATA</t>
  </si>
  <si>
    <t>DT_MIRO_100_OKCD</t>
  </si>
  <si>
    <t>DT_EXPECTEDTRANSACTIONCODE_OCC3</t>
  </si>
  <si>
    <t>DT_SAPCLIENT</t>
  </si>
  <si>
    <t>DT_MIRO_6000_OKCD</t>
  </si>
  <si>
    <t>DT_MIRO_100_VARIANT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</si>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</sst>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0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4" borderId="1" xfId="0" applyFill="1" applyBorder="1" applyAlignment="1" applyProtection="1">
      <alignment wrapText="1"/>
      <protection locked="0"/>
    </xf>
    <xf numFmtId="164" fontId="1" fillId="3" borderId="1" xfId="0" applyNumberForma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3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8_LIV_Loc_Vend_DSD_Discount_on_Tota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3"/>
  <sheetViews>
    <sheetView topLeftCell="J1" workbookViewId="0">
      <selection activeCell="J2" sqref="J2"/>
    </sheetView>
  </sheetViews>
  <sheetFormatPr defaultColWidth="9.125" defaultRowHeight="14.25"/>
  <cols>
    <col min="1" max="1" width="38.125" style="7" customWidth="1"/>
    <col min="2" max="2" width="15" style="7" customWidth="1"/>
    <col min="3" max="3" width="13.625" style="7" customWidth="1"/>
    <col min="4" max="4" width="48" style="7" customWidth="1"/>
    <col min="5" max="5" width="18.625" style="7" customWidth="1"/>
    <col min="6" max="6" width="16.75" style="7" customWidth="1"/>
    <col min="7" max="7" width="27.125" style="7" customWidth="1"/>
    <col min="8" max="8" width="33.375" style="7" customWidth="1"/>
    <col min="9" max="9" width="30.875" style="7" customWidth="1"/>
    <col min="10" max="10" width="29" style="7" customWidth="1"/>
    <col min="11" max="11" width="26.875" style="7" customWidth="1"/>
    <col min="12" max="12" width="30.875" style="7" customWidth="1"/>
    <col min="13" max="13" width="27.875" style="7" customWidth="1"/>
    <col min="14" max="14" width="23.25" style="7" customWidth="1"/>
    <col min="15" max="15" width="31" style="7" customWidth="1"/>
    <col min="16" max="17" width="27" style="7" customWidth="1"/>
    <col min="18" max="18" width="23.75" style="7" customWidth="1"/>
    <col min="19" max="19" width="20.75" style="7" customWidth="1"/>
    <col min="20" max="20" width="41.125" style="7" customWidth="1"/>
    <col min="21" max="21" width="43.5" style="7" customWidth="1"/>
    <col min="22" max="22" width="20.5" style="7" customWidth="1"/>
    <col min="23" max="23" width="39.25" style="7" customWidth="1"/>
    <col min="24" max="24" width="22.625" style="7" customWidth="1"/>
    <col min="25" max="25" width="26.875" style="7" customWidth="1"/>
    <col min="26" max="26" width="27.375" style="7" customWidth="1"/>
    <col min="27" max="27" width="26.625" style="7" customWidth="1"/>
    <col min="28" max="28" width="58.125" style="7" customWidth="1"/>
    <col min="29" max="29" width="53.875" style="7" customWidth="1"/>
    <col min="30" max="30" width="19.5" style="7" customWidth="1"/>
    <col min="31" max="31" width="39.25" style="7" customWidth="1"/>
    <col min="32" max="32" width="38.75" style="7" customWidth="1"/>
    <col min="33" max="33" width="57.25" style="7" customWidth="1"/>
    <col min="34" max="34" width="26.375" style="7" customWidth="1"/>
    <col min="35" max="35" width="39.25" style="7" customWidth="1"/>
    <col min="36" max="36" width="26.125" style="7" customWidth="1"/>
    <col min="37" max="37" width="26.875" style="7" customWidth="1"/>
    <col min="38" max="38" width="53" style="7" customWidth="1"/>
    <col min="39" max="16384" width="9.125" style="7" customWidth="1"/>
  </cols>
  <sheetData>
    <row r="1" ht="12.75" customHeight="1" customFormat="1">
      <c r="A1" t="s">
        <v>21</v>
      </c>
      <c r="B1" t="s">
        <v>61</v>
      </c>
      <c r="C1" t="s">
        <v>56</v>
      </c>
      <c r="D1" t="s">
        <v>53</v>
      </c>
      <c r="E1" t="s">
        <v>25</v>
      </c>
      <c r="F1" t="s">
        <v>26</v>
      </c>
      <c r="G1" t="s">
        <v>0</v>
      </c>
      <c r="H1" t="s">
        <v>47</v>
      </c>
      <c r="I1" t="s">
        <v>49</v>
      </c>
      <c r="J1" t="s">
        <v>38</v>
      </c>
      <c r="K1" t="s">
        <v>6</v>
      </c>
      <c r="L1" t="s">
        <v>11</v>
      </c>
      <c r="M1" t="s">
        <v>43</v>
      </c>
      <c r="N1" t="s">
        <v>1</v>
      </c>
      <c r="O1" t="s">
        <v>36</v>
      </c>
      <c r="P1" t="s">
        <v>58</v>
      </c>
      <c r="Q1" t="s">
        <v>23</v>
      </c>
      <c r="R1" t="s">
        <v>2</v>
      </c>
      <c r="S1" t="s">
        <v>19</v>
      </c>
      <c r="T1" t="s">
        <v>7</v>
      </c>
      <c r="U1" t="s">
        <v>13</v>
      </c>
      <c r="V1" t="s">
        <v>62</v>
      </c>
      <c r="W1" t="s">
        <v>44</v>
      </c>
      <c r="X1" t="s">
        <v>63</v>
      </c>
      <c r="Y1" t="s">
        <v>55</v>
      </c>
      <c r="Z1" t="s">
        <v>8</v>
      </c>
      <c r="AA1" t="s">
        <v>50</v>
      </c>
      <c r="AB1" t="s">
        <v>30</v>
      </c>
      <c r="AC1" t="s">
        <v>39</v>
      </c>
      <c r="AD1" t="s">
        <v>59</v>
      </c>
      <c r="AE1" t="s">
        <v>60</v>
      </c>
      <c r="AF1" t="s">
        <v>24</v>
      </c>
      <c r="AG1" t="s">
        <v>34</v>
      </c>
      <c r="AH1" t="s">
        <v>35</v>
      </c>
      <c r="AI1" t="s">
        <v>9</v>
      </c>
      <c r="AJ1" t="s">
        <v>37</v>
      </c>
      <c r="AK1" t="s">
        <v>64</v>
      </c>
      <c r="AL1" t="s">
        <v>45</v>
      </c>
    </row>
    <row r="2">
      <c r="A2" s="2" t="s">
        <v>52</v>
      </c>
      <c r="B2" s="2" t="s">
        <v>15</v>
      </c>
      <c r="C2" s="2" t="s">
        <v>22</v>
      </c>
      <c r="D2" s="2" t="s">
        <v>32</v>
      </c>
      <c r="E2" s="2" t="s">
        <v>41</v>
      </c>
      <c r="F2" s="2" t="s">
        <v>10</v>
      </c>
      <c r="G2" s="1" t="s">
        <v>42</v>
      </c>
      <c r="H2" s="1" t="s">
        <v>42</v>
      </c>
      <c r="I2" s="1" t="s">
        <v>16</v>
      </c>
      <c r="J2" s="11">
        <f ca="1">TODAY()</f>
        <v>45960</v>
      </c>
      <c r="K2" s="5" t="str">
        <f ca="1">"1830-"&amp;TEXT(NOW(),"hhmmss")</f>
        <v>1830-033539</v>
      </c>
      <c r="L2" s="1" t="s">
        <v>17</v>
      </c>
      <c r="M2" s="10" t="s">
        <v>12</v>
      </c>
      <c r="N2" s="1" t="s">
        <v>57</v>
      </c>
      <c r="O2" s="13" t="s">
        <v>33</v>
      </c>
      <c r="P2" s="1" t="s">
        <v>27</v>
      </c>
      <c r="Q2" s="1" t="e">
        <f>[1]Output!A2</f>
        <v>#REF!</v>
      </c>
      <c r="R2" s="5" t="e">
        <f>SUBSTITUTE(Q2,"-","")</f>
        <v>#REF!</v>
      </c>
      <c r="S2" s="1" t="s">
        <v>28</v>
      </c>
      <c r="T2" s="8" t="e">
        <f>[1]Output!B2</f>
        <v>#REF!</v>
      </c>
      <c r="U2" s="9" t="e">
        <f>CONCATENATE("Document no. ",T2," created")</f>
        <v>#REF!</v>
      </c>
      <c r="V2" s="1" t="s">
        <v>29</v>
      </c>
      <c r="W2" s="1" t="s">
        <v>29</v>
      </c>
      <c r="X2" s="1" t="s">
        <v>54</v>
      </c>
      <c r="Y2" s="1" t="s">
        <v>10</v>
      </c>
      <c r="Z2" s="3" t="e">
        <f>T2</f>
        <v>#REF!</v>
      </c>
      <c r="AA2" s="1" t="s">
        <v>28</v>
      </c>
      <c r="AB2" s="9" t="s">
        <v>5</v>
      </c>
      <c r="AC2" s="14" t="s">
        <v>3</v>
      </c>
      <c r="AD2" s="1" t="s">
        <v>48</v>
      </c>
      <c r="AE2" s="1" t="s">
        <v>48</v>
      </c>
      <c r="AF2" s="3" t="e">
        <f>Z2</f>
        <v>#REF!</v>
      </c>
      <c r="AG2" s="8" t="e">
        <f>[1]Output!D2</f>
        <v>#REF!</v>
      </c>
      <c r="AH2" s="1" t="s">
        <v>51</v>
      </c>
      <c r="AI2" s="1" t="s">
        <v>51</v>
      </c>
      <c r="AJ2" s="3" t="e">
        <f>AG2</f>
        <v>#REF!</v>
      </c>
      <c r="AK2" s="1" t="s">
        <v>14</v>
      </c>
      <c r="AL2" s="12" t="e">
        <f>CONCATENATE("Document PU",(RIGHT(AJ2,8))," was posted in company code GR02")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 t="s">
        <v>18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26.625" style="7" bestFit="1" customWidth="1"/>
    <col min="2" max="2" width="50.5" style="7" bestFit="1" customWidth="1"/>
    <col min="3" max="3" width="18" style="7" bestFit="1" customWidth="1"/>
    <col min="4" max="4" width="62.875" style="7" bestFit="1" customWidth="1"/>
    <col min="5" max="16384" width="9.125" style="7" customWidth="1"/>
  </cols>
  <sheetData>
    <row r="1" ht="12.75" customHeight="1" customFormat="1">
      <c r="A1" t="s">
        <v>40</v>
      </c>
      <c r="B1" t="s">
        <v>46</v>
      </c>
      <c r="C1" t="s">
        <v>20</v>
      </c>
      <c r="D1" t="s">
        <v>31</v>
      </c>
    </row>
    <row r="2">
      <c r="A2" s="1" t="s">
        <v>4</v>
      </c>
      <c r="B2" s="1">
        <v>6056579402</v>
      </c>
      <c r="C2" s="1">
        <v>3729099121</v>
      </c>
      <c r="D2" s="6">
        <v>5140022506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