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_1" sheetId="3" r:id="rId3"/>
    <sheet name="DataTransfer_2" sheetId="4" r:id="rId4"/>
    <sheet name="DataTransfer_3" sheetId="5" r:id="rId5"/>
    <sheet name="TC1_Test_PRE_PO_created" sheetId="6" r:id="rId6"/>
    <sheet name="TC2_Test_07.01.05.05.10" sheetId="7" r:id="rId7"/>
    <sheet name="TC3_Test_07.01.05.05.10" sheetId="8" r:id="rId8"/>
    <sheet name="TC4_Test_07.01.05.01.10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<sst xmlns="http://schemas.openxmlformats.org/spreadsheetml/2006/main" uniqueCount="67">
  <si>
    <t>AT_12_01 - Procurement of Display Article - PORK</t>
  </si>
  <si>
    <t/>
  </si>
  <si>
    <t>DT_SAPTRANSACTIONCODE</t>
  </si>
  <si>
    <t>GP01</t>
  </si>
  <si>
    <t>DT_MB51_REFERENCE_INPUT</t>
  </si>
  <si>
    <t xml:space="preserve">5,000 </t>
  </si>
  <si>
    <t>Logon Information</t>
  </si>
  <si>
    <t>MEK3</t>
  </si>
  <si>
    <t>DT_MEK3_1000_ARTICLE_DOCUMENT</t>
  </si>
  <si>
    <t>=Output!D4</t>
  </si>
  <si>
    <t>F</t>
  </si>
  <si>
    <t>J</t>
  </si>
  <si>
    <t>Fix</t>
  </si>
  <si>
    <t>Scenario</t>
  </si>
  <si>
    <t>Input Value</t>
  </si>
  <si>
    <t>mb51</t>
  </si>
  <si>
    <t>DT_MEK3_1000_MOVEMENT_TYPE</t>
  </si>
  <si>
    <t>%blank%</t>
  </si>
  <si>
    <t>DT_QUANTITY</t>
  </si>
  <si>
    <t>DT_MEK3_0500_CHECK_GETCELLVALUE_OF_GRIDCELL_0_ERFMG</t>
  </si>
  <si>
    <t>Formulas</t>
  </si>
  <si>
    <t>Data from other test</t>
  </si>
  <si>
    <t>200</t>
  </si>
  <si>
    <t>GR02</t>
  </si>
  <si>
    <t>DN5236298974</t>
  </si>
  <si>
    <t>DT_MEK3_0500_CHECK_GETCELLVALUE_OF_GRIDCELL_0_MBLNR</t>
  </si>
  <si>
    <t>DT_SAPSYSTEM</t>
  </si>
  <si>
    <t>AUTOAB</t>
  </si>
  <si>
    <t>zlos</t>
  </si>
  <si>
    <t>G</t>
  </si>
  <si>
    <t>DT_SAPLANGUAGE</t>
  </si>
  <si>
    <t>DT_SAPOPTIONS</t>
  </si>
  <si>
    <t>DT_MEK3_0100_CONDITION_TYPE</t>
  </si>
  <si>
    <t>=Output!D5</t>
  </si>
  <si>
    <t>5079044145</t>
  </si>
  <si>
    <t>Row</t>
  </si>
  <si>
    <t>DT_MEK3_1000_ARTICLE_OCC1</t>
  </si>
  <si>
    <t xml:space="preserve">4.800 </t>
  </si>
  <si>
    <t>3903241559</t>
  </si>
  <si>
    <t>DT_MEK3_1993_GET_TEXT_OF_TABLECELL_AMOUNT_0_OUTPUT</t>
  </si>
  <si>
    <t>DT_MEK3_0500_CHECK_GETCELLVALUE_OF_GRIDCELL_0_MBLNR_OUTPUT</t>
  </si>
  <si>
    <t>=Output!D2</t>
  </si>
  <si>
    <t xml:space="preserve">4,800 </t>
  </si>
  <si>
    <t>H</t>
  </si>
  <si>
    <t>EN</t>
  </si>
  <si>
    <t>5079044004</t>
  </si>
  <si>
    <t>DT_MEK3_1000_PURCH_ORGANIZATION</t>
  </si>
  <si>
    <t>AT_12_01 - Procurement of Display Article - BEEF</t>
  </si>
  <si>
    <t>5714df9a2d8f4901e0b9ca32aa</t>
  </si>
  <si>
    <t>DT_MEK3_0100_OKCD</t>
  </si>
  <si>
    <t>DT_MEK3_1000_COMPANY_CODE</t>
  </si>
  <si>
    <t>DT_MB51_REFERENCE</t>
  </si>
  <si>
    <t>R1E - SAP RETAIL Pre-Production EUROPE</t>
  </si>
  <si>
    <t>DT_SAPPASSWORD</t>
  </si>
  <si>
    <t>DT_MEK3_1993_GET_TEXT_OF_TABLECELL_AMOUNT_0</t>
  </si>
  <si>
    <t>=Output!D3</t>
  </si>
  <si>
    <t>DT_MIGO_DOC</t>
  </si>
  <si>
    <t>E</t>
  </si>
  <si>
    <t>I</t>
  </si>
  <si>
    <t>Checks</t>
  </si>
  <si>
    <t>Output Value</t>
  </si>
  <si>
    <t>DT_SAPUSER</t>
  </si>
  <si>
    <t>DT_MEK3_1000_ARTICLE</t>
  </si>
  <si>
    <t>DT_MEK3_1000_SITE</t>
  </si>
  <si>
    <t>DT_SAPCLIENT</t>
  </si>
  <si>
    <t>G001</t>
  </si>
  <si>
    <t>DN5236299962</t>
  </si>
</sst>
</file>

<file path=xl/styles.xml><?xml version="1.0" encoding="utf-8"?>
<styleSheet xmlns="http://schemas.openxmlformats.org/spreadsheetml/2006/main">
  <numFmts count="1">
    <numFmt numFmtId="164" formatCode="#,###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2" fontId="1" fillId="6" borderId="1" xfId="0" applyNumberForma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2" fontId="1" fillId="0" borderId="1" xfId="0" applyNumberFormat="1" applyBorder="1" applyProtection="1">
      <protection locked="0"/>
    </xf>
    <xf numFmtId="0" fontId="4" fillId="0" borderId="2" xfId="0" applyFont="1" applyFill="1" applyBorder="1" applyProtection="1">
      <protection locked="0"/>
    </xf>
    <xf numFmtId="164" fontId="3" fillId="5" borderId="1" xfId="0" applyNumberFormat="1" applyFont="1" applyFill="1" applyBorder="1" applyProtection="1">
      <protection locked="0"/>
    </xf>
    <xf numFmtId="0" fontId="1" fillId="6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7.01.05.01.09%20Operational%20shrinkage%20for%20Goods%20Receipt%20cancellation%20from%20vendor%20_%20Mtype%2091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4"/>
  <sheetViews>
    <sheetView workbookViewId="0">
      <pane xSplit="1" ySplit="0" topLeftCell="D2" activePane="topRight"/>
      <selection activeCell="D2" sqref="D2"/>
      <selection pane="topRight" activeCell="D2" sqref="D2"/>
    </sheetView>
  </sheetViews>
  <sheetFormatPr defaultColWidth="9.125" defaultRowHeight="14.25"/>
  <cols>
    <col min="1" max="1" width="17.5" style="8" customWidth="1"/>
    <col min="2" max="2" width="47.5" style="8" customWidth="1"/>
    <col min="3" max="3" width="38.5" style="8" customWidth="1"/>
    <col min="4" max="4" width="15" style="8" customWidth="1"/>
    <col min="5" max="5" width="13.625" style="8" customWidth="1"/>
    <col min="6" max="6" width="26.375" style="8" customWidth="1"/>
    <col min="7" max="7" width="18.625" style="8" customWidth="1"/>
    <col min="8" max="8" width="16.75" style="8" customWidth="1"/>
    <col min="9" max="9" width="27.125" style="8" customWidth="1"/>
    <col min="10" max="10" width="31.875" style="8" customWidth="1"/>
    <col min="11" max="11" width="37.25" style="8" customWidth="1"/>
    <col min="12" max="12" width="23.375" style="8" customWidth="1"/>
    <col min="13" max="13" width="51.5" style="8" customWidth="1"/>
    <col min="14" max="14" width="21" style="8" customWidth="1"/>
    <col min="15" max="15" width="29.75" style="8" customWidth="1"/>
    <col min="16" max="16" width="19.75" style="8" customWidth="1"/>
    <col min="17" max="17" width="32.25" style="8" customWidth="1"/>
    <col min="18" max="18" width="31.375" style="8" customWidth="1"/>
    <col min="19" max="19" width="22.25" style="8" customWidth="1"/>
    <col min="20" max="20" width="42" style="8" customWidth="1"/>
    <col min="21" max="21" width="41" style="8" customWidth="1"/>
    <col min="22" max="22" width="14.25" style="8" customWidth="1"/>
    <col min="23" max="23" width="61.625" style="8" customWidth="1"/>
    <col min="24" max="24" width="61.375" style="8" customWidth="1"/>
    <col min="25" max="25" width="14.375" style="10" customWidth="1"/>
    <col min="26" max="16384" width="9.125" style="8" customWidth="1"/>
  </cols>
  <sheetData>
    <row r="1" ht="12.75" customHeight="1" customFormat="1">
      <c r="A1" t="s">
        <v>35</v>
      </c>
      <c r="B1" t="s">
        <v>13</v>
      </c>
      <c r="C1" t="s">
        <v>26</v>
      </c>
      <c r="D1" t="s">
        <v>64</v>
      </c>
      <c r="E1" t="s">
        <v>61</v>
      </c>
      <c r="F1" t="s">
        <v>53</v>
      </c>
      <c r="G1" t="s">
        <v>30</v>
      </c>
      <c r="H1" t="s">
        <v>31</v>
      </c>
      <c r="I1" t="s">
        <v>2</v>
      </c>
      <c r="J1" t="s">
        <v>32</v>
      </c>
      <c r="K1" t="s">
        <v>46</v>
      </c>
      <c r="L1" t="s">
        <v>62</v>
      </c>
      <c r="M1" t="s">
        <v>54</v>
      </c>
      <c r="N1" t="s">
        <v>49</v>
      </c>
      <c r="O1" t="s">
        <v>36</v>
      </c>
      <c r="P1" t="s">
        <v>63</v>
      </c>
      <c r="Q1" t="s">
        <v>16</v>
      </c>
      <c r="R1" t="s">
        <v>50</v>
      </c>
      <c r="S1" t="s">
        <v>51</v>
      </c>
      <c r="T1" t="s">
        <v>8</v>
      </c>
      <c r="U1" t="s">
        <v>4</v>
      </c>
      <c r="V1" t="s">
        <v>18</v>
      </c>
      <c r="W1" t="s">
        <v>19</v>
      </c>
      <c r="X1" t="s">
        <v>25</v>
      </c>
      <c r="Y1" t="s">
        <v>56</v>
      </c>
    </row>
    <row r="2" s="8" customFormat="1">
      <c r="A2" s="1">
        <v>1</v>
      </c>
      <c r="B2" s="1" t="s">
        <v>47</v>
      </c>
      <c r="C2" s="4" t="s">
        <v>52</v>
      </c>
      <c r="D2" s="4" t="s">
        <v>22</v>
      </c>
      <c r="E2" s="4" t="s">
        <v>27</v>
      </c>
      <c r="F2" s="4" t="s">
        <v>48</v>
      </c>
      <c r="G2" s="4" t="s">
        <v>44</v>
      </c>
      <c r="H2" s="4" t="s">
        <v>1</v>
      </c>
      <c r="I2" s="2" t="s">
        <v>7</v>
      </c>
      <c r="J2" s="6" t="s">
        <v>28</v>
      </c>
      <c r="K2" s="5" t="s">
        <v>3</v>
      </c>
      <c r="L2" s="5">
        <v>7074402</v>
      </c>
      <c r="M2" s="11" t="e">
        <f>[1]Output!C2</f>
        <v>#REF!</v>
      </c>
      <c r="N2" s="2" t="s">
        <v>15</v>
      </c>
      <c r="O2" s="7">
        <f t="shared" si="0" ref="O2:O5">L2</f>
        <v>7074402</v>
      </c>
      <c r="P2" s="5" t="s">
        <v>65</v>
      </c>
      <c r="Q2" s="6">
        <v>926</v>
      </c>
      <c r="R2" s="5" t="s">
        <v>23</v>
      </c>
      <c r="S2" s="5" t="s">
        <v>24</v>
      </c>
      <c r="T2" s="6" t="s">
        <v>17</v>
      </c>
      <c r="U2" s="7" t="str">
        <f t="shared" si="1" ref="U2:U5">"*"&amp;S2&amp;"*"</f>
        <v>*DN5236298974*</v>
      </c>
      <c r="V2" s="5">
        <v>20</v>
      </c>
      <c r="W2" s="15" t="e">
        <f>TEXT(ROUND((V2/2)*(M2/100),3),"#0,#00-")</f>
        <v>#REF!</v>
      </c>
      <c r="X2" s="2" t="s">
        <v>41</v>
      </c>
      <c r="Y2" s="14">
        <v>5025952172</v>
      </c>
    </row>
    <row r="3" s="8" customFormat="1">
      <c r="A3" s="1">
        <v>2</v>
      </c>
      <c r="B3" s="1" t="s">
        <v>47</v>
      </c>
      <c r="C3" s="4" t="s">
        <v>52</v>
      </c>
      <c r="D3" s="4" t="s">
        <v>22</v>
      </c>
      <c r="E3" s="4" t="s">
        <v>27</v>
      </c>
      <c r="F3" s="4" t="s">
        <v>48</v>
      </c>
      <c r="G3" s="4" t="s">
        <v>44</v>
      </c>
      <c r="H3" s="4" t="s">
        <v>1</v>
      </c>
      <c r="I3" s="2" t="s">
        <v>7</v>
      </c>
      <c r="J3" s="6" t="s">
        <v>28</v>
      </c>
      <c r="K3" s="5" t="str">
        <f t="shared" si="2" ref="K3:L3">K2</f>
        <v>GP01</v>
      </c>
      <c r="L3" s="5">
        <f t="shared" si="2"/>
        <v>7074402</v>
      </c>
      <c r="M3" s="11" t="e">
        <f>[1]Output!C3</f>
        <v>#REF!</v>
      </c>
      <c r="N3" s="2" t="s">
        <v>15</v>
      </c>
      <c r="O3" s="7">
        <f t="shared" si="0"/>
        <v>7074402</v>
      </c>
      <c r="P3" s="5" t="str">
        <f>P2</f>
        <v>G001</v>
      </c>
      <c r="Q3" s="6">
        <v>912</v>
      </c>
      <c r="R3" s="5" t="str">
        <f>R2</f>
        <v>GR02</v>
      </c>
      <c r="S3" s="5" t="s">
        <v>24</v>
      </c>
      <c r="T3" s="7" t="str">
        <f>S3</f>
        <v>DN5236298974</v>
      </c>
      <c r="U3" s="7" t="str">
        <f t="shared" si="1"/>
        <v>*DN5236298974*</v>
      </c>
      <c r="V3" s="5">
        <f>V2</f>
        <v>20</v>
      </c>
      <c r="W3" s="15" t="str">
        <f>TEXT(V3/2,"##")</f>
        <v>10</v>
      </c>
      <c r="X3" s="2" t="s">
        <v>55</v>
      </c>
      <c r="Y3" s="14"/>
    </row>
    <row r="4" s="8" customFormat="1">
      <c r="A4" s="1">
        <v>3</v>
      </c>
      <c r="B4" s="1" t="s">
        <v>0</v>
      </c>
      <c r="C4" s="4" t="s">
        <v>52</v>
      </c>
      <c r="D4" s="4" t="s">
        <v>22</v>
      </c>
      <c r="E4" s="4" t="s">
        <v>27</v>
      </c>
      <c r="F4" s="4" t="s">
        <v>48</v>
      </c>
      <c r="G4" s="4" t="s">
        <v>44</v>
      </c>
      <c r="H4" s="4" t="s">
        <v>1</v>
      </c>
      <c r="I4" s="2" t="s">
        <v>7</v>
      </c>
      <c r="J4" s="6" t="s">
        <v>28</v>
      </c>
      <c r="K4" s="5" t="s">
        <v>3</v>
      </c>
      <c r="L4" s="5">
        <v>7245924</v>
      </c>
      <c r="M4" s="11" t="e">
        <f>[1]Output!C4</f>
        <v>#REF!</v>
      </c>
      <c r="N4" s="2" t="s">
        <v>15</v>
      </c>
      <c r="O4" s="7">
        <f t="shared" si="0"/>
        <v>7245924</v>
      </c>
      <c r="P4" s="5" t="s">
        <v>65</v>
      </c>
      <c r="Q4" s="6">
        <v>926</v>
      </c>
      <c r="R4" s="5" t="s">
        <v>23</v>
      </c>
      <c r="S4" s="5" t="s">
        <v>66</v>
      </c>
      <c r="T4" s="6">
        <v>5079046285</v>
      </c>
      <c r="U4" s="7" t="str">
        <f t="shared" si="1"/>
        <v>*DN5236299962*</v>
      </c>
      <c r="V4" s="5">
        <v>20</v>
      </c>
      <c r="W4" s="15" t="e">
        <f>TEXT(ROUND(V4/2*M4%,3),"#0,#00-")</f>
        <v>#REF!</v>
      </c>
      <c r="X4" s="2" t="s">
        <v>9</v>
      </c>
      <c r="Y4" s="14"/>
    </row>
    <row r="5" s="8" customFormat="1">
      <c r="A5" s="1">
        <v>4</v>
      </c>
      <c r="B5" s="1" t="s">
        <v>0</v>
      </c>
      <c r="C5" s="4" t="s">
        <v>52</v>
      </c>
      <c r="D5" s="4" t="s">
        <v>22</v>
      </c>
      <c r="E5" s="4" t="s">
        <v>27</v>
      </c>
      <c r="F5" s="4" t="s">
        <v>48</v>
      </c>
      <c r="G5" s="4" t="s">
        <v>44</v>
      </c>
      <c r="H5" s="4" t="s">
        <v>1</v>
      </c>
      <c r="I5" s="2" t="s">
        <v>7</v>
      </c>
      <c r="J5" s="6" t="s">
        <v>28</v>
      </c>
      <c r="K5" s="5" t="str">
        <f t="shared" si="3" ref="K5:L5">K4</f>
        <v>GP01</v>
      </c>
      <c r="L5" s="5">
        <f t="shared" si="3"/>
        <v>7245924</v>
      </c>
      <c r="M5" s="11" t="e">
        <f>[1]Output!C5</f>
        <v>#REF!</v>
      </c>
      <c r="N5" s="2" t="s">
        <v>15</v>
      </c>
      <c r="O5" s="7">
        <f t="shared" si="0"/>
        <v>7245924</v>
      </c>
      <c r="P5" s="5" t="str">
        <f>P4</f>
        <v>G001</v>
      </c>
      <c r="Q5" s="6">
        <v>912</v>
      </c>
      <c r="R5" s="5" t="str">
        <f t="shared" si="4" ref="R5:T5">R4</f>
        <v>GR02</v>
      </c>
      <c r="S5" s="5" t="str">
        <f t="shared" si="4"/>
        <v>DN5236299962</v>
      </c>
      <c r="T5" s="7">
        <f t="shared" si="4"/>
        <v>5079046285</v>
      </c>
      <c r="U5" s="7" t="str">
        <f t="shared" si="1"/>
        <v>*DN5236299962*</v>
      </c>
      <c r="V5" s="5">
        <f>V4</f>
        <v>20</v>
      </c>
      <c r="W5" s="15" t="str">
        <f>TEXT(V5/2,"##")</f>
        <v>10</v>
      </c>
      <c r="X5" s="2" t="s">
        <v>33</v>
      </c>
      <c r="Y5" s="14"/>
    </row>
    <row r="6" s="8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4"/>
    </row>
    <row r="7" s="8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e">
        <f>TEXT(ROUND((V2/2)*(M2/100000),3),"#0,#00-")</f>
        <v>#REF!</v>
      </c>
      <c r="X7" s="1"/>
      <c r="Y7" s="14"/>
    </row>
    <row r="8" s="8" customFormat="1">
      <c r="A8" s="1"/>
      <c r="B8" s="4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4"/>
    </row>
    <row r="9" s="8" customFormat="1">
      <c r="A9" s="1"/>
      <c r="B9" s="7" t="s">
        <v>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4"/>
    </row>
    <row r="10" s="8" customFormat="1">
      <c r="A10" s="1"/>
      <c r="B10" s="9" t="s">
        <v>59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6"/>
      <c r="R10" s="1"/>
      <c r="S10" s="1"/>
      <c r="T10" s="1"/>
      <c r="U10" s="1"/>
      <c r="V10" s="1"/>
      <c r="W10" s="13"/>
      <c r="X10" s="1"/>
      <c r="Y10" s="14"/>
    </row>
    <row r="11" s="8" customFormat="1">
      <c r="A11" s="1"/>
      <c r="B11" s="1" t="s">
        <v>12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4"/>
    </row>
    <row r="12" s="8" customFormat="1">
      <c r="A12" s="1"/>
      <c r="B12" s="16" t="s">
        <v>60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4"/>
    </row>
    <row r="13" s="8" customFormat="1">
      <c r="A13" s="1"/>
      <c r="B13" s="6" t="s">
        <v>14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4"/>
    </row>
    <row r="14" s="8" customFormat="1">
      <c r="A14" s="1"/>
      <c r="B14" s="5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4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J8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43.625" style="8" bestFit="1" customWidth="1"/>
    <col min="3" max="3" width="61.5" style="8" bestFit="1" customWidth="1"/>
    <col min="4" max="16384" width="9.125" style="8" customWidth="1"/>
  </cols>
  <sheetData>
    <row r="1" ht="12.75" customHeight="1" customFormat="1">
      <c r="A1" t="s">
        <v>35</v>
      </c>
      <c r="B1" t="s">
        <v>13</v>
      </c>
      <c r="C1" t="s">
        <v>39</v>
      </c>
      <c r="D1" t="s">
        <v>40</v>
      </c>
      <c r="E1" t="s">
        <v>57</v>
      </c>
      <c r="F1" t="s">
        <v>10</v>
      </c>
      <c r="G1" t="s">
        <v>29</v>
      </c>
      <c r="H1" t="s">
        <v>43</v>
      </c>
      <c r="I1" t="s">
        <v>58</v>
      </c>
      <c r="J1" t="s">
        <v>11</v>
      </c>
    </row>
    <row r="2">
      <c r="A2" s="1">
        <v>1</v>
      </c>
      <c r="B2" s="1" t="s">
        <v>47</v>
      </c>
      <c r="C2" s="2" t="s">
        <v>5</v>
      </c>
      <c r="D2" s="2" t="s">
        <v>38</v>
      </c>
      <c r="E2" s="2"/>
      <c r="F2" s="2"/>
      <c r="G2" s="2"/>
      <c r="H2" s="2"/>
      <c r="I2" s="2"/>
      <c r="J2" s="12"/>
    </row>
    <row r="3">
      <c r="A3" s="1">
        <v>2</v>
      </c>
      <c r="B3" s="1" t="s">
        <v>47</v>
      </c>
      <c r="C3" s="2" t="s">
        <v>5</v>
      </c>
      <c r="D3" s="2" t="s">
        <v>45</v>
      </c>
      <c r="E3" s="2"/>
      <c r="F3" s="2"/>
      <c r="G3" s="2"/>
      <c r="H3" s="2"/>
      <c r="I3" s="2"/>
      <c r="J3" s="12"/>
    </row>
    <row r="4">
      <c r="A4" s="1">
        <v>3</v>
      </c>
      <c r="B4" s="1" t="s">
        <v>0</v>
      </c>
      <c r="C4" s="2" t="s">
        <v>37</v>
      </c>
      <c r="D4" s="2"/>
      <c r="E4" s="2"/>
      <c r="F4" s="2"/>
      <c r="G4" s="2"/>
      <c r="H4" s="2"/>
      <c r="I4" s="2"/>
      <c r="J4" s="12"/>
    </row>
    <row r="5">
      <c r="A5" s="1">
        <v>4</v>
      </c>
      <c r="B5" s="1" t="s">
        <v>0</v>
      </c>
      <c r="C5" s="2" t="s">
        <v>42</v>
      </c>
      <c r="D5" s="2" t="s">
        <v>34</v>
      </c>
      <c r="E5" s="2"/>
      <c r="F5" s="2"/>
      <c r="G5" s="2"/>
      <c r="H5" s="2"/>
      <c r="I5" s="2"/>
      <c r="J5" s="12"/>
    </row>
    <row r="6">
      <c r="A6" s="1"/>
      <c r="B6" s="1"/>
      <c r="C6" s="2"/>
      <c r="D6" s="2"/>
      <c r="E6" s="2"/>
      <c r="F6" s="2"/>
      <c r="G6" s="2"/>
      <c r="H6" s="2"/>
      <c r="I6" s="2"/>
      <c r="J6" s="12"/>
    </row>
    <row r="7">
      <c r="A7" s="1"/>
      <c r="B7" s="1"/>
      <c r="C7" s="2"/>
      <c r="D7" s="2"/>
      <c r="E7" s="2"/>
      <c r="F7" s="2"/>
      <c r="G7" s="2"/>
      <c r="H7" s="2"/>
      <c r="I7" s="2"/>
      <c r="J7" s="12"/>
    </row>
    <row r="8">
      <c r="A8" s="1"/>
      <c r="B8" s="1"/>
      <c r="C8" s="2"/>
      <c r="D8" s="2"/>
      <c r="E8" s="2"/>
      <c r="F8" s="2"/>
      <c r="G8" s="2"/>
      <c r="H8" s="2"/>
      <c r="I8" s="2"/>
      <c r="J8" s="12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