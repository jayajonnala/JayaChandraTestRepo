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PRE_02IMP00_006_P1" sheetId="3" r:id="rId3"/>
    <sheet name="DataTransfer_1" sheetId="4" r:id="rId4"/>
    <sheet name="TC2_PRE_02IMP00_001_P3" sheetId="5" r:id="rId5"/>
    <sheet name="DataTransfer_2" sheetId="6" r:id="rId6"/>
    <sheet name="TC3_PRE_02IMP00_006_P4" sheetId="7" r:id="rId7"/>
    <sheet name="DataTransfer_3" sheetId="8" r:id="rId8"/>
    <sheet name="TC4_PRE_02IMP00_006_P5" sheetId="9" r:id="rId9"/>
    <sheet name="DataTransfer_4" sheetId="10" r:id="rId10"/>
    <sheet name="TC5_02IMP00_006_Special" sheetId="11" r:id="rId11"/>
  </sheets>
  <externalReferences>
    <externalReference r:id="rId15"/>
  </externalReferences>
  <calcPr calcId="40001"/>
</workbook>
</file>

<file path=xl/sharedStrings.xml><?xml version="1.0" encoding="utf-8"?>
<sst xmlns="http://schemas.openxmlformats.org/spreadsheetml/2006/main" uniqueCount="85">
  <si>
    <t/>
  </si>
  <si>
    <t>DT_SAPTRANSACTIONCODE</t>
  </si>
  <si>
    <t>DT_MIRO_0010_AMOUNT</t>
  </si>
  <si>
    <t>A0 (GR VAT 0,0% Domestic Purchases - Trade Goods)</t>
  </si>
  <si>
    <t>DT_MIRO_6005_DETAILS</t>
  </si>
  <si>
    <t>DT_MIRO_0150_DOC_TYPE_OCC2</t>
  </si>
  <si>
    <t>false</t>
  </si>
  <si>
    <t>DT_EXPECTEDVALUE_OCC3</t>
  </si>
  <si>
    <t>DT_MIRO_120_CHECK_TEXT_OF_STATUSBAR_Output1</t>
  </si>
  <si>
    <t>DT_YEAR</t>
  </si>
  <si>
    <t>DT_MIRO_0010_REFERENCE</t>
  </si>
  <si>
    <t>DT_MIRO_6211_RM08MEBELN</t>
  </si>
  <si>
    <t>DT_MIRO_6310_TABLECELL_FINAL_INVOICE_2</t>
  </si>
  <si>
    <t>DT_MIRO_6310_TABLECELL_TAX_CODE_0</t>
  </si>
  <si>
    <t>DT_MIRO_1000_FOR_VALUE_</t>
  </si>
  <si>
    <t>DT_EXPECTEDTRANSACTIONCODE_OCC4</t>
  </si>
  <si>
    <t>DT_MIRO_120_OKCD</t>
  </si>
  <si>
    <t>/nexit</t>
  </si>
  <si>
    <t>DT_Document_no_Output</t>
  </si>
  <si>
    <t>Scenario</t>
  </si>
  <si>
    <t>AT_5_12_3 Import Special Cases Subsequent Credit before Import file closure</t>
  </si>
  <si>
    <t>%blank%</t>
  </si>
  <si>
    <t>PU70053740</t>
  </si>
  <si>
    <t>DT_MIRO_200_GETCELLVALUE_OF_GRIDCELL_0_DOCNR_Output</t>
  </si>
  <si>
    <t>200</t>
  </si>
  <si>
    <t>GR02</t>
  </si>
  <si>
    <t>ON</t>
  </si>
  <si>
    <t>DT_EXPECTEDVALUE</t>
  </si>
  <si>
    <t>SESSION_MANAGER</t>
  </si>
  <si>
    <t>DT_SAPSYSTEM</t>
  </si>
  <si>
    <t>AUTOAB</t>
  </si>
  <si>
    <t>PU_NUMBER</t>
  </si>
  <si>
    <t>DT_SAPLANGUAGE</t>
  </si>
  <si>
    <t>DT_SAPOPTIONS</t>
  </si>
  <si>
    <t>0</t>
  </si>
  <si>
    <t>S</t>
  </si>
  <si>
    <t>WE09</t>
  </si>
  <si>
    <t>/nmir4</t>
  </si>
  <si>
    <t>DT_EXPECTEDTRANSACTIONCODE_OCC5</t>
  </si>
  <si>
    <t>Row</t>
  </si>
  <si>
    <t>5433e12d8593075d578f80933855dbe114bdf586c91e5197</t>
  </si>
  <si>
    <t>DT_MIRO_6310_TABLECELL_TAX_CODE_1</t>
  </si>
  <si>
    <t>DT_MIRO_200_GETCELLVALUE_OF_GRIDCELL_0_DOCNR</t>
  </si>
  <si>
    <t>DT_MIRO_6000_OKCD_OCC2</t>
  </si>
  <si>
    <t>DT_MIRO_1000_TEST_MODE_OCC2</t>
  </si>
  <si>
    <t>DT_MIRO_0150_UNPL_DEL_CSTS</t>
  </si>
  <si>
    <t>DT_MIRO_100_CREATED_BY_OCC2</t>
  </si>
  <si>
    <t>EN</t>
  </si>
  <si>
    <t>MIRO</t>
  </si>
  <si>
    <t>DT_MIRO_6310_TABLECELL_FINAL_INVOICE_0</t>
  </si>
  <si>
    <t>DT_EXPECTEDTRANSACTIONCODE_OCC2</t>
  </si>
  <si>
    <t>DT_MIRO_120_CHECK_TEXT_OF_STATUSBAR</t>
  </si>
  <si>
    <t>DT_EXPECTEDTRANSACTIONCODE_OCC6</t>
  </si>
  <si>
    <t>DT_EXPECTEDTRANSACTIONCODE</t>
  </si>
  <si>
    <t>DT_MIRO_6310_TABLECELL_TAX_CODE_2</t>
  </si>
  <si>
    <t>MIR4</t>
  </si>
  <si>
    <t>DT_MIRO_1000_COMPANY_CODE</t>
  </si>
  <si>
    <t>50</t>
  </si>
  <si>
    <t>true</t>
  </si>
  <si>
    <t>RG</t>
  </si>
  <si>
    <t>DT_EXPECTEDVALUE_OCC2</t>
  </si>
  <si>
    <t>J1GP01</t>
  </si>
  <si>
    <t>DT_MIRO_120_CHECK_TEXT_OF_STATUSBAR_Output</t>
  </si>
  <si>
    <t>R1E - SAP RETAIL Pre-Production EUROPE</t>
  </si>
  <si>
    <t>DT_SAPPASSWORD</t>
  </si>
  <si>
    <t>/nwe09</t>
  </si>
  <si>
    <t>/ZMDIV_MIRO</t>
  </si>
  <si>
    <t>ZMDIV_MIRO</t>
  </si>
  <si>
    <t>DT_MIRO_1000_DOCUMENT_OCC2</t>
  </si>
  <si>
    <t>PU70007164</t>
  </si>
  <si>
    <t>DT_SAPUSER</t>
  </si>
  <si>
    <t>DT_MIRO_0010_DOCUMENT_DATE</t>
  </si>
  <si>
    <t>DT_MIRO_0010_CALCULATE_TAX_OCC2</t>
  </si>
  <si>
    <t>DT_MIRO_6000_TRANSACTION_OCC3</t>
  </si>
  <si>
    <t>DT_MIRO_6310_TABLECELL_FINAL_INVOICE_1</t>
  </si>
  <si>
    <t>A0</t>
  </si>
  <si>
    <t>2</t>
  </si>
  <si>
    <t>DT_MIRO_6005_BASIC_DATA</t>
  </si>
  <si>
    <t>DT_MIRO_6000_TEXT_OF_STATUSBAR</t>
  </si>
  <si>
    <t>DT_EXPECTEDTRANSACTIONCODE_OCC3</t>
  </si>
  <si>
    <t>DT_MIRO_100_OKCD</t>
  </si>
  <si>
    <t>/nj1gp01</t>
  </si>
  <si>
    <t>DT_SAPCLIENT</t>
  </si>
  <si>
    <t>DT_MIRO_6000_OKCD</t>
  </si>
  <si>
    <t>DT_MIRO_100_VARIANT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</si>
</sst>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2" fillId="6" borderId="1" xfId="0" applyFont="1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1" fillId="4" borderId="2" xfId="0" applyNumberForma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5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2IMP00_006_Special_Cases_Subsequent_Credit_before_file_closur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W7"/>
  <sheetViews>
    <sheetView topLeftCell="AS1" workbookViewId="0">
      <selection activeCell="AS2" sqref="AS2"/>
    </sheetView>
  </sheetViews>
  <sheetFormatPr defaultColWidth="9.125" defaultRowHeight="14.25"/>
  <cols>
    <col min="1" max="1" width="9.125" style="12" customWidth="1"/>
    <col min="2" max="2" width="64.875" style="12" customWidth="1"/>
    <col min="3" max="3" width="38.125" style="12" customWidth="1"/>
    <col min="4" max="4" width="15" style="12" customWidth="1"/>
    <col min="5" max="5" width="13.625" style="12" customWidth="1"/>
    <col min="6" max="6" width="48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0.875" style="12" customWidth="1"/>
    <col min="12" max="12" width="32.25" style="12" customWidth="1"/>
    <col min="13" max="13" width="26.875" style="12" customWidth="1"/>
    <col min="14" max="14" width="23.75" style="12" customWidth="1"/>
    <col min="15" max="15" width="36.75" style="12" customWidth="1"/>
    <col min="16" max="16" width="34.75" style="12" customWidth="1"/>
    <col min="17" max="17" width="27.875" style="12" customWidth="1"/>
    <col min="18" max="20" width="42.625" style="12" customWidth="1"/>
    <col min="21" max="23" width="38.75" style="12" customWidth="1"/>
    <col min="24" max="24" width="23.25" style="12" customWidth="1"/>
    <col min="25" max="25" width="31" style="12" customWidth="1"/>
    <col min="26" max="26" width="31.25" style="12" customWidth="1"/>
    <col min="27" max="27" width="27" style="12" customWidth="1"/>
    <col min="28" max="28" width="20.75" style="12" customWidth="1"/>
    <col min="29" max="29" width="41.625" style="12" customWidth="1"/>
    <col min="30" max="30" width="39.25" style="12" customWidth="1"/>
    <col min="31" max="31" width="20.5" style="12" customWidth="1"/>
    <col min="32" max="32" width="39.25" style="12" customWidth="1"/>
    <col min="33" max="33" width="22.625" style="12" customWidth="1"/>
    <col min="34" max="34" width="32.75" style="12" customWidth="1"/>
    <col min="35" max="35" width="27.375" style="12" customWidth="1"/>
    <col min="36" max="36" width="26.625" style="12" customWidth="1"/>
    <col min="37" max="37" width="19.5" style="12" customWidth="1"/>
    <col min="38" max="38" width="39.25" style="12" customWidth="1"/>
    <col min="39" max="39" width="57.25" style="12" customWidth="1"/>
    <col min="40" max="40" width="26.375" style="12" customWidth="1"/>
    <col min="41" max="41" width="39.25" style="12" customWidth="1"/>
    <col min="42" max="42" width="32" style="12" customWidth="1"/>
    <col min="43" max="43" width="31.875" style="12" customWidth="1"/>
    <col min="44" max="44" width="32.75" style="12" customWidth="1"/>
    <col min="45" max="45" width="26.625" style="12" customWidth="1"/>
    <col min="46" max="46" width="53" style="12" customWidth="1"/>
    <col min="47" max="47" width="19.5" style="12" customWidth="1"/>
    <col min="48" max="48" width="39.25" style="12" customWidth="1"/>
    <col min="49" max="49" width="9.875" style="12" bestFit="1" customWidth="1"/>
    <col min="50" max="16384" width="9.125" style="12" customWidth="1"/>
  </cols>
  <sheetData>
    <row r="1" ht="12.75" customHeight="1" customFormat="1">
      <c r="A1" t="s">
        <v>39</v>
      </c>
      <c r="B1" t="s">
        <v>19</v>
      </c>
      <c r="C1" t="s">
        <v>29</v>
      </c>
      <c r="D1" t="s">
        <v>82</v>
      </c>
      <c r="E1" t="s">
        <v>70</v>
      </c>
      <c r="F1" t="s">
        <v>64</v>
      </c>
      <c r="G1" t="s">
        <v>32</v>
      </c>
      <c r="H1" t="s">
        <v>33</v>
      </c>
      <c r="I1" t="s">
        <v>1</v>
      </c>
      <c r="J1" t="s">
        <v>53</v>
      </c>
      <c r="K1" t="s">
        <v>56</v>
      </c>
      <c r="L1" t="s">
        <v>71</v>
      </c>
      <c r="M1" t="s">
        <v>10</v>
      </c>
      <c r="N1" t="s">
        <v>2</v>
      </c>
      <c r="O1" t="s">
        <v>72</v>
      </c>
      <c r="P1" t="s">
        <v>73</v>
      </c>
      <c r="Q1" t="s">
        <v>11</v>
      </c>
      <c r="R1" t="s">
        <v>49</v>
      </c>
      <c r="S1" t="s">
        <v>74</v>
      </c>
      <c r="T1" t="s">
        <v>12</v>
      </c>
      <c r="U1" t="s">
        <v>13</v>
      </c>
      <c r="V1" t="s">
        <v>41</v>
      </c>
      <c r="W1" t="s">
        <v>54</v>
      </c>
      <c r="X1" t="s">
        <v>4</v>
      </c>
      <c r="Y1" t="s">
        <v>45</v>
      </c>
      <c r="Z1" t="s">
        <v>5</v>
      </c>
      <c r="AA1" t="s">
        <v>77</v>
      </c>
      <c r="AB1" t="s">
        <v>27</v>
      </c>
      <c r="AC1" t="s">
        <v>78</v>
      </c>
      <c r="AD1" t="s">
        <v>50</v>
      </c>
      <c r="AE1" t="s">
        <v>83</v>
      </c>
      <c r="AF1" t="s">
        <v>79</v>
      </c>
      <c r="AG1" t="s">
        <v>84</v>
      </c>
      <c r="AH1" t="s">
        <v>46</v>
      </c>
      <c r="AI1" t="s">
        <v>14</v>
      </c>
      <c r="AJ1" t="s">
        <v>60</v>
      </c>
      <c r="AK1" t="s">
        <v>80</v>
      </c>
      <c r="AL1" t="s">
        <v>15</v>
      </c>
      <c r="AM1" t="s">
        <v>42</v>
      </c>
      <c r="AN1" t="s">
        <v>43</v>
      </c>
      <c r="AO1" t="s">
        <v>38</v>
      </c>
      <c r="AP1" t="s">
        <v>68</v>
      </c>
      <c r="AQ1" t="s">
        <v>31</v>
      </c>
      <c r="AR1" t="s">
        <v>44</v>
      </c>
      <c r="AS1" t="s">
        <v>7</v>
      </c>
      <c r="AT1" t="s">
        <v>51</v>
      </c>
      <c r="AU1" t="s">
        <v>16</v>
      </c>
      <c r="AV1" t="s">
        <v>52</v>
      </c>
      <c r="AW1" t="s">
        <v>9</v>
      </c>
    </row>
    <row r="2">
      <c r="A2" s="1">
        <v>1</v>
      </c>
      <c r="B2" s="1"/>
      <c r="C2" s="3" t="s">
        <v>63</v>
      </c>
      <c r="D2" s="3" t="s">
        <v>24</v>
      </c>
      <c r="E2" s="3" t="s">
        <v>30</v>
      </c>
      <c r="F2" s="3" t="s">
        <v>40</v>
      </c>
      <c r="G2" s="3" t="s">
        <v>47</v>
      </c>
      <c r="H2" s="3" t="s">
        <v>0</v>
      </c>
      <c r="I2" s="1" t="s">
        <v>48</v>
      </c>
      <c r="J2" s="1" t="s">
        <v>48</v>
      </c>
      <c r="K2" s="2" t="s">
        <v>25</v>
      </c>
      <c r="L2" s="9">
        <f ca="1">TODAY()</f>
        <v>45958</v>
      </c>
      <c r="M2" s="4">
        <v>4503145388</v>
      </c>
      <c r="N2" s="2" t="s">
        <v>57</v>
      </c>
      <c r="O2" s="2" t="s">
        <v>26</v>
      </c>
      <c r="P2" s="2">
        <v>4</v>
      </c>
      <c r="Q2" s="11">
        <v>4503145388</v>
      </c>
      <c r="R2" s="2" t="s">
        <v>58</v>
      </c>
      <c r="S2" s="2" t="s">
        <v>58</v>
      </c>
      <c r="T2" s="2" t="s">
        <v>58</v>
      </c>
      <c r="U2" s="2" t="s">
        <v>75</v>
      </c>
      <c r="V2" s="2" t="s">
        <v>75</v>
      </c>
      <c r="W2" s="2" t="s">
        <v>75</v>
      </c>
      <c r="X2" s="2" t="s">
        <v>76</v>
      </c>
      <c r="Y2" s="2" t="s">
        <v>57</v>
      </c>
      <c r="Z2" s="2" t="s">
        <v>59</v>
      </c>
      <c r="AA2" s="2" t="s">
        <v>34</v>
      </c>
      <c r="AB2" s="1" t="s">
        <v>35</v>
      </c>
      <c r="AC2" s="6">
        <v>6000003015</v>
      </c>
      <c r="AD2" s="1" t="s">
        <v>55</v>
      </c>
      <c r="AE2" s="1" t="s">
        <v>65</v>
      </c>
      <c r="AF2" s="1" t="s">
        <v>36</v>
      </c>
      <c r="AG2" s="2" t="s">
        <v>66</v>
      </c>
      <c r="AH2" s="2" t="s">
        <v>21</v>
      </c>
      <c r="AI2" s="4">
        <f>AC2</f>
        <v>6000003015</v>
      </c>
      <c r="AJ2" s="1" t="s">
        <v>35</v>
      </c>
      <c r="AK2" s="1" t="s">
        <v>37</v>
      </c>
      <c r="AL2" s="1" t="s">
        <v>55</v>
      </c>
      <c r="AM2" s="6">
        <v>5170000477</v>
      </c>
      <c r="AN2" s="1" t="s">
        <v>81</v>
      </c>
      <c r="AO2" s="1" t="s">
        <v>61</v>
      </c>
      <c r="AP2" s="4">
        <f>AM2</f>
        <v>5170000477</v>
      </c>
      <c r="AQ2" s="4" t="str">
        <f>CONCATENATE("PU",MID(AP2,3,8))</f>
        <v>PU70000477</v>
      </c>
      <c r="AR2" s="4" t="s">
        <v>6</v>
      </c>
      <c r="AS2" s="1" t="s">
        <v>35</v>
      </c>
      <c r="AT2" s="8" t="str">
        <f>CONCATENATE("Document ",AQ2," was posted in company code ",K2)</f>
        <v>Document PU70000477 was posted in company code GR02</v>
      </c>
      <c r="AU2" s="1" t="s">
        <v>17</v>
      </c>
      <c r="AV2" s="1" t="s">
        <v>28</v>
      </c>
      <c r="AW2" s="10">
        <f ca="1">YEAR(TODAY())</f>
        <v>2025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7"/>
    </row>
    <row r="4">
      <c r="A4" s="1">
        <v>3</v>
      </c>
      <c r="B4" s="1" t="s">
        <v>20</v>
      </c>
      <c r="C4" s="3" t="s">
        <v>63</v>
      </c>
      <c r="D4" s="3" t="s">
        <v>24</v>
      </c>
      <c r="E4" s="3" t="s">
        <v>30</v>
      </c>
      <c r="F4" s="3" t="s">
        <v>40</v>
      </c>
      <c r="G4" s="3" t="s">
        <v>47</v>
      </c>
      <c r="H4" s="3" t="s">
        <v>0</v>
      </c>
      <c r="I4" s="1" t="s">
        <v>48</v>
      </c>
      <c r="J4" s="1" t="s">
        <v>48</v>
      </c>
      <c r="K4" s="2" t="s">
        <v>25</v>
      </c>
      <c r="L4" s="9">
        <f ca="1">TODAY()</f>
        <v>45958</v>
      </c>
      <c r="M4" s="4">
        <f>Q4</f>
        <v>4309528102</v>
      </c>
      <c r="N4" s="2" t="s">
        <v>57</v>
      </c>
      <c r="O4" s="2" t="s">
        <v>26</v>
      </c>
      <c r="P4" s="2">
        <v>4</v>
      </c>
      <c r="Q4" s="11">
        <v>4309528102</v>
      </c>
      <c r="R4" s="2" t="s">
        <v>26</v>
      </c>
      <c r="S4" s="2" t="s">
        <v>26</v>
      </c>
      <c r="T4" s="2" t="s">
        <v>26</v>
      </c>
      <c r="U4" s="2" t="s">
        <v>3</v>
      </c>
      <c r="V4" s="2" t="s">
        <v>3</v>
      </c>
      <c r="W4" s="2" t="s">
        <v>3</v>
      </c>
      <c r="X4" s="2" t="s">
        <v>76</v>
      </c>
      <c r="Y4" s="2">
        <v>50</v>
      </c>
      <c r="Z4" s="2" t="s">
        <v>59</v>
      </c>
      <c r="AA4" s="2" t="s">
        <v>34</v>
      </c>
      <c r="AB4" s="1" t="s">
        <v>35</v>
      </c>
      <c r="AC4" s="6" t="e">
        <f>[1]Output!A4</f>
        <v>#REF!</v>
      </c>
      <c r="AD4" s="1" t="s">
        <v>55</v>
      </c>
      <c r="AE4" s="1" t="s">
        <v>65</v>
      </c>
      <c r="AF4" s="1" t="s">
        <v>36</v>
      </c>
      <c r="AG4" s="2" t="s">
        <v>67</v>
      </c>
      <c r="AH4" s="2" t="s">
        <v>21</v>
      </c>
      <c r="AI4" s="4" t="e">
        <f>AC4</f>
        <v>#REF!</v>
      </c>
      <c r="AJ4" s="1" t="s">
        <v>35</v>
      </c>
      <c r="AK4" s="1" t="s">
        <v>37</v>
      </c>
      <c r="AL4" s="1" t="s">
        <v>55</v>
      </c>
      <c r="AM4" s="6" t="e">
        <f>[1]Output!B4</f>
        <v>#REF!</v>
      </c>
      <c r="AN4" s="1" t="s">
        <v>81</v>
      </c>
      <c r="AO4" s="1" t="s">
        <v>61</v>
      </c>
      <c r="AP4" s="4" t="e">
        <f>AM4</f>
        <v>#REF!</v>
      </c>
      <c r="AQ4" s="4" t="e">
        <f>CONCATENATE("PU",MID(AP4,3,8))</f>
        <v>#REF!</v>
      </c>
      <c r="AR4" s="4" t="s">
        <v>6</v>
      </c>
      <c r="AS4" s="1" t="s">
        <v>35</v>
      </c>
      <c r="AT4" s="8" t="e">
        <f>CONCATENATE("Document ",AQ4," was posted in company code ",K4)</f>
        <v>#REF!</v>
      </c>
      <c r="AU4" s="1" t="s">
        <v>17</v>
      </c>
      <c r="AV4" s="1" t="s">
        <v>28</v>
      </c>
      <c r="AW4" s="10">
        <f ca="1">YEAR(TODAY())</f>
        <v>2025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6">
        <v>5170032935</v>
      </c>
      <c r="AN5" s="1"/>
      <c r="AO5" s="1"/>
      <c r="AP5" s="1"/>
      <c r="AQ5" s="1" t="s">
        <v>22</v>
      </c>
      <c r="AR5" s="1"/>
      <c r="AS5" s="1"/>
      <c r="AT5" s="1"/>
      <c r="AU5" s="1"/>
      <c r="AV5" s="1"/>
      <c r="AW5" s="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>
        <v>6026130460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7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>
        <v>6032095013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27.875" style="12" customWidth="1"/>
    <col min="2" max="2" width="59.625" style="12" customWidth="1"/>
    <col min="3" max="3" width="49.25" style="12" customWidth="1"/>
    <col min="4" max="4" width="52.125" style="12" customWidth="1"/>
    <col min="5" max="16384" width="9.125" style="12" customWidth="1"/>
  </cols>
  <sheetData>
    <row r="1" ht="12.75" customHeight="1" customFormat="1">
      <c r="A1" t="s">
        <v>18</v>
      </c>
      <c r="B1" t="s">
        <v>23</v>
      </c>
      <c r="C1" t="s">
        <v>62</v>
      </c>
      <c r="D1" t="s">
        <v>8</v>
      </c>
    </row>
    <row r="2">
      <c r="A2" s="1"/>
      <c r="B2" s="1"/>
      <c r="C2" s="1"/>
      <c r="D2" s="7"/>
    </row>
    <row r="3">
      <c r="A3" s="1"/>
      <c r="B3" s="1"/>
      <c r="C3" s="1"/>
      <c r="D3" s="7"/>
    </row>
    <row r="4">
      <c r="A4" s="1">
        <v>6056580295</v>
      </c>
      <c r="B4" s="1"/>
      <c r="C4" s="1" t="s">
        <v>69</v>
      </c>
      <c r="D4" s="7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