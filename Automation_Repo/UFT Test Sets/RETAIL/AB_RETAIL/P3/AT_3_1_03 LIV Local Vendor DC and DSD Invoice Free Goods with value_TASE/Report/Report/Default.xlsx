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02LIV01_013" sheetId="3" r:id="rId3"/>
  </sheets>
  <calcPr calcId="40001"/>
</workbook>
</file>

<file path=xl/sharedStrings.xml><?xml version="1.0" encoding="utf-8"?>
<sst xmlns="http://schemas.openxmlformats.org/spreadsheetml/2006/main" uniqueCount="213">
  <si>
    <t>Scripting</t>
  </si>
  <si>
    <t>LEGEND</t>
  </si>
  <si>
    <t>DT_SAPTRANSACTIONCODE</t>
  </si>
  <si>
    <t>GP01</t>
  </si>
  <si>
    <t>DT_EXPECTEDVALUE_OCC3</t>
  </si>
  <si>
    <t>A01</t>
  </si>
  <si>
    <t>101</t>
  </si>
  <si>
    <t>DT_EXPECTEDVALUE_OCC7</t>
  </si>
  <si>
    <t>5140081074</t>
  </si>
  <si>
    <t>357,14-</t>
  </si>
  <si>
    <t>DT_MIRO_120_GETTEXT_PU_NBR_OUTPUT</t>
  </si>
  <si>
    <t>5433e20604e94687f86c5076b35f8100e5e516f969845c00</t>
  </si>
  <si>
    <t>G16</t>
  </si>
  <si>
    <t>DT_ME21N_1211_TABLECELL_ARTICLE_1</t>
  </si>
  <si>
    <t>=Output!D4</t>
  </si>
  <si>
    <t>DT_ME21N_0010_INVOICE_DATE</t>
  </si>
  <si>
    <t>DT_ME21N_6310_CHECK_TEXT_OF_TABLECELL_AMOUNT_2</t>
  </si>
  <si>
    <t>Data passed to port OK</t>
  </si>
  <si>
    <t>DT_ME21N_100_CHECK_TEXT_OF_TABLECELL_FLD_CONT_0_OCC2</t>
  </si>
  <si>
    <t>J</t>
  </si>
  <si>
    <t>Data Coming from another test</t>
  </si>
  <si>
    <t>ZDSD</t>
  </si>
  <si>
    <t>DT_ME21N_1211_TABLECELL_SITE_0</t>
  </si>
  <si>
    <t>DT_ME21N_0110_POSTING_DATE</t>
  </si>
  <si>
    <t>DT_ME21N_0010_REFERENCE</t>
  </si>
  <si>
    <t>DT_ME21N_0010_CALCULATE_TAX</t>
  </si>
  <si>
    <t>=Output!F2</t>
  </si>
  <si>
    <t>=Output!F6</t>
  </si>
  <si>
    <t>DT_EXPECTEDTRANSACTIONCODE_OCC4</t>
  </si>
  <si>
    <t>=Output!H4</t>
  </si>
  <si>
    <t>=P4</t>
  </si>
  <si>
    <t>DT_ME21N_120_CHECK_TEXT_OF_STATUSBAR</t>
  </si>
  <si>
    <t>N</t>
  </si>
  <si>
    <t>R</t>
  </si>
  <si>
    <t>V</t>
  </si>
  <si>
    <t>Scenario</t>
  </si>
  <si>
    <t>Output Data</t>
  </si>
  <si>
    <t>%blank%</t>
  </si>
  <si>
    <t>DT_ME21N_1211_TABLECELL_DELIV_DATE_1</t>
  </si>
  <si>
    <t>/nmigo</t>
  </si>
  <si>
    <t>DT_ME21N_0110_DOCUMENT_DATE</t>
  </si>
  <si>
    <t>DT_ME21N_100_CHECK_TEXT_OF_TABLECELL_FLD_CONT_3</t>
  </si>
  <si>
    <t>DT_ME21N_6150_INVOICE_DOCUMENT_NO</t>
  </si>
  <si>
    <t>DT_ME21N_1000_FISCAL_YEAR</t>
  </si>
  <si>
    <t>=CH4</t>
  </si>
  <si>
    <t>OFF</t>
  </si>
  <si>
    <t>PU40000092</t>
  </si>
  <si>
    <t>5079044868</t>
  </si>
  <si>
    <t>Z</t>
  </si>
  <si>
    <t>Formulas</t>
  </si>
  <si>
    <t>200</t>
  </si>
  <si>
    <t>b</t>
  </si>
  <si>
    <t>DT_EXPECTEDVALUE</t>
  </si>
  <si>
    <t>GR02</t>
  </si>
  <si>
    <t>DT_FREE_ITEM</t>
  </si>
  <si>
    <t>ON</t>
  </si>
  <si>
    <t>DT_ME21N_14_CHECK_TEXT_OF_STATUSBAR</t>
  </si>
  <si>
    <t>DT_EXPECTEDVALUE_OCC4</t>
  </si>
  <si>
    <t>MIGO</t>
  </si>
  <si>
    <t>DT_ME21N_0010_GODEFAULT_TVBWART</t>
  </si>
  <si>
    <t>DT_ME21N_2000_GODYNPROPO_NUMBER</t>
  </si>
  <si>
    <t>DT_ME21N_6020_RM08MREFERENZBELEGTYP</t>
  </si>
  <si>
    <t>ZMDIV_VINV01</t>
  </si>
  <si>
    <t>DT_EXPECTEDVALUE_OCC11</t>
  </si>
  <si>
    <t>SESSION_MANAGER</t>
  </si>
  <si>
    <t>DT_ME21N_1000_COMPANY_CODE</t>
  </si>
  <si>
    <t>DT_IDOC_OUTPUT</t>
  </si>
  <si>
    <t>AA</t>
  </si>
  <si>
    <t>DT_SAPSYSTEM</t>
  </si>
  <si>
    <t>AUTOAB</t>
  </si>
  <si>
    <t>DT_ME21N_1211_TABLECELL_ARTICLE_2</t>
  </si>
  <si>
    <t>DT_PO_NO</t>
  </si>
  <si>
    <t>=Output!C4</t>
  </si>
  <si>
    <t>0,00</t>
  </si>
  <si>
    <t>=Output!E2</t>
  </si>
  <si>
    <t>BF</t>
  </si>
  <si>
    <t>DT_ME21N_100_CHECK_TEXT_OF_TABLECELL_FLD_CONT_0_OCC3</t>
  </si>
  <si>
    <t>DT_ART_DOC_NO_OUTPUT</t>
  </si>
  <si>
    <t>PU40022418</t>
  </si>
  <si>
    <t>K</t>
  </si>
  <si>
    <t>Input Data</t>
  </si>
  <si>
    <t>DT_SAPLANGUAGE</t>
  </si>
  <si>
    <t>DT_SAPOPTIONS</t>
  </si>
  <si>
    <t>DT_ME21N_1211_TABLECELL_SITE_1</t>
  </si>
  <si>
    <t>TRUE</t>
  </si>
  <si>
    <t>S</t>
  </si>
  <si>
    <t>DT_ME21N_6000_CHECK_TEXT_OF_BALANCE</t>
  </si>
  <si>
    <t>=Output!E6</t>
  </si>
  <si>
    <t>DT_INVOICE_DOC_NO</t>
  </si>
  <si>
    <t>WE09</t>
  </si>
  <si>
    <t>ZZMDIV_E1RBKP</t>
  </si>
  <si>
    <t>=Output!G4</t>
  </si>
  <si>
    <t>DT_EXPECTEDTRANSACTIONCODE_OCC5</t>
  </si>
  <si>
    <t>O</t>
  </si>
  <si>
    <t>DT_ME21N_1211_TABLECELL_PO_QUANTITY_0</t>
  </si>
  <si>
    <t>01.01.2014</t>
  </si>
  <si>
    <t>DT_ME21N_1211_TABLECELL_DELIV_DATE_2</t>
  </si>
  <si>
    <t>W</t>
  </si>
  <si>
    <t>DT_ART_DOC_NO</t>
  </si>
  <si>
    <t>DT_ME21N_100_CHECK_TEXT_OF_TABLECELL_FLD_CONT_0</t>
  </si>
  <si>
    <t>DT_FI_DOC_NO</t>
  </si>
  <si>
    <t>PU40081074</t>
  </si>
  <si>
    <t>3_1_04 LIV Local Vendor DC and DSD Invoice Free Goods without value</t>
  </si>
  <si>
    <t>Verifications</t>
  </si>
  <si>
    <t>Execution Control Data</t>
  </si>
  <si>
    <t>20</t>
  </si>
  <si>
    <t>01.02.2015</t>
  </si>
  <si>
    <t>DT_ME21N_1000_FOR_VALUE_</t>
  </si>
  <si>
    <t>PU40074304</t>
  </si>
  <si>
    <t>6056580183</t>
  </si>
  <si>
    <t>AB</t>
  </si>
  <si>
    <t>Row_Number</t>
  </si>
  <si>
    <t>DT_ME21N_14_OKCD</t>
  </si>
  <si>
    <t>=Output!D2</t>
  </si>
  <si>
    <t>DT_ME21N_6310_CHECK_TEXT_OF_TABLECELL_AMOUNT_0</t>
  </si>
  <si>
    <t>0,01</t>
  </si>
  <si>
    <t>DT_SEARCH_IN_FIELD</t>
  </si>
  <si>
    <t>DT_ME21N_100_OKCD</t>
  </si>
  <si>
    <t>DT_GET_AMOUNT_OUTPUT</t>
  </si>
  <si>
    <t>L</t>
  </si>
  <si>
    <t>EN</t>
  </si>
  <si>
    <t>DT_ME21N_1211_TABLECELL_SITE_2</t>
  </si>
  <si>
    <t>DT_EXPECTEDTRANSACTIONCODE_OCC2</t>
  </si>
  <si>
    <t>DT_INCREMENT</t>
  </si>
  <si>
    <t>=Output!D6</t>
  </si>
  <si>
    <t>MIRO</t>
  </si>
  <si>
    <t>=Output!F4</t>
  </si>
  <si>
    <t>DT_EXPECTEDTRANSACTIONCODE_OCC6</t>
  </si>
  <si>
    <t>=P2</t>
  </si>
  <si>
    <t>=P6</t>
  </si>
  <si>
    <t>DT_ME21N_1000_DOCUMENT</t>
  </si>
  <si>
    <t>DT_ME21N_120_CHECK_TEXT_OF_DOCUMENT_PU40001159_WAS_POSTED_IN_COMPANY_CODE_GR02</t>
  </si>
  <si>
    <t>0000003755172628</t>
  </si>
  <si>
    <t>P</t>
  </si>
  <si>
    <t>T</t>
  </si>
  <si>
    <t>DT_EXPECTEDTRANSACTIONCODE</t>
  </si>
  <si>
    <t>DT_ME21N_1211_TABLECELL_PO_QUANTITY_1</t>
  </si>
  <si>
    <t>g001</t>
  </si>
  <si>
    <t>DT_ME21N_6000_CHECK_TEXT_OF_STATUSBAR</t>
  </si>
  <si>
    <t>DT_ME21N_6000_OKCD_OCC3</t>
  </si>
  <si>
    <t>DT_BASIC_TYPE_LOW</t>
  </si>
  <si>
    <t>DT_IDOC_NO</t>
  </si>
  <si>
    <t>MIR4</t>
  </si>
  <si>
    <t>5140000092</t>
  </si>
  <si>
    <t>=CH2</t>
  </si>
  <si>
    <t>=CH6</t>
  </si>
  <si>
    <t>X</t>
  </si>
  <si>
    <t>ME21N</t>
  </si>
  <si>
    <t>DT_ME21N_1221_PURCH_ORG</t>
  </si>
  <si>
    <t>DT_ME21N_1211_TABLECELL_ARTICLE_0</t>
  </si>
  <si>
    <t>10</t>
  </si>
  <si>
    <t>25</t>
  </si>
  <si>
    <t>DT_EXPECTEDVALUE_OCC2</t>
  </si>
  <si>
    <t>DT_EXPECTEDVALUE_OCC6</t>
  </si>
  <si>
    <t>DT_ME21N_1_CHECK_TEXT_OF_STATUSBAR_OCC3</t>
  </si>
  <si>
    <t>DT_ME21N_1_OKCD</t>
  </si>
  <si>
    <t>DT_ME21N_0010_POSTING_DATE</t>
  </si>
  <si>
    <t>DT_ME21N_0010_AMOUNT</t>
  </si>
  <si>
    <t>DT_LOGICAL_MESSAGE_LOW</t>
  </si>
  <si>
    <t>BELNR</t>
  </si>
  <si>
    <t>J1GP01</t>
  </si>
  <si>
    <t>R1E - SAP RETAIL Pre-Production EUROPE</t>
  </si>
  <si>
    <t>Fixed Data</t>
  </si>
  <si>
    <t>DT_SAPPASSWORD</t>
  </si>
  <si>
    <t>E</t>
  </si>
  <si>
    <t>DT_ME21N_1105_VENDOR</t>
  </si>
  <si>
    <t>10000223</t>
  </si>
  <si>
    <t>=Output!C2</t>
  </si>
  <si>
    <t>DT_ME21N_14_CHECK_TEXT_OF_STATUSBAR_OCC3</t>
  </si>
  <si>
    <t>DT_ME21N_0110_DELIVERY_NOTE</t>
  </si>
  <si>
    <t>DT_ME21N_6310_CHECK_TEXT_OF_TABLECELL_AMOUNT_1</t>
  </si>
  <si>
    <t>411,00</t>
  </si>
  <si>
    <t>/nwe09</t>
  </si>
  <si>
    <t>ZMDIV_MIRO</t>
  </si>
  <si>
    <t>DT_SEARCH_IN_SEGMENT</t>
  </si>
  <si>
    <t>mir4</t>
  </si>
  <si>
    <t>DT_MIRO_200_GETCELLVALUE_DOCNR_OUTPUT</t>
  </si>
  <si>
    <t>M</t>
  </si>
  <si>
    <t>02LIV08_002_Deliv_Note-Invoice_DC_Cancellation_Fresh_Goods</t>
  </si>
  <si>
    <t>Login Information</t>
  </si>
  <si>
    <t>DT_SAPUSER</t>
  </si>
  <si>
    <t>DT_ME21N_1221_COMPANY_CODE</t>
  </si>
  <si>
    <t>No messages issued during check</t>
  </si>
  <si>
    <t>=Output!C6</t>
  </si>
  <si>
    <t>DT_ME21N_1_CHECK_TEXT_OF_STATUSBAR</t>
  </si>
  <si>
    <t>2</t>
  </si>
  <si>
    <t>515,20</t>
  </si>
  <si>
    <t>=Output!E4</t>
  </si>
  <si>
    <t>=Output!G2</t>
  </si>
  <si>
    <t>=Output!G6</t>
  </si>
  <si>
    <t>DT_ME21N_120_CHECK_TEXT_OF_DATA_PASSED_TO_PORT_OK</t>
  </si>
  <si>
    <t>DT_ME21N_6150_FISCAL_YEAR</t>
  </si>
  <si>
    <t>/nj1gp01</t>
  </si>
  <si>
    <t>DT_EXPECTEDTRANSACTIONCODE_OCC7</t>
  </si>
  <si>
    <t>DT_PU_NO</t>
  </si>
  <si>
    <t>DT_DOC_NUM_OUTPUT</t>
  </si>
  <si>
    <t>Q</t>
  </si>
  <si>
    <t>U</t>
  </si>
  <si>
    <t>DT_SAPCLIENT</t>
  </si>
  <si>
    <t>DT_ME21N_1105_MEPO_TOPLINEBSART</t>
  </si>
  <si>
    <t>DT_ME21N_1221_PURCH_GROUP</t>
  </si>
  <si>
    <t>DT_ME21N_1211_TABLECELL_PO_QUANTITY_2</t>
  </si>
  <si>
    <t>DT_ME21N_1211_TABLECELL_DELIV_DATE_0</t>
  </si>
  <si>
    <t>DT_ME21N_0010_GODYNPROACTION</t>
  </si>
  <si>
    <t>Document is O.K.</t>
  </si>
  <si>
    <t>DT_ME21N_6212_RM08MLFSNR</t>
  </si>
  <si>
    <t>DT_4TH_ART_AMOUNT</t>
  </si>
  <si>
    <t>DT_EXPECTEDVALUE_OCC10</t>
  </si>
  <si>
    <t>DT_ME21N_6000_OKCD_OCC4</t>
  </si>
  <si>
    <t>DT_ME21N_1000_TEST_MODE</t>
  </si>
  <si>
    <t>DT_PO_NUM_OUTPUT</t>
  </si>
  <si>
    <t>5236299569</t>
  </si>
  <si>
    <t>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</si>
</sst>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164" fontId="1" fillId="4" borderId="1" xfId="0" applyNumberFormat="1" applyFill="1" applyBorder="1" applyProtection="1">
      <protection locked="0"/>
    </xf>
    <xf numFmtId="0" fontId="1" fillId="3" borderId="1" xfId="0" applyFill="1" applyBorder="1" applyProtection="1">
      <protection locked="0"/>
    </xf>
    <xf numFmtId="11" fontId="1" fillId="6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NumberFormat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8" borderId="1" xfId="0" applyNumberFormat="1" applyFill="1" applyBorder="1" applyProtection="1">
      <protection locked="0"/>
    </xf>
    <xf numFmtId="0" fontId="1" fillId="4" borderId="2" xfId="0" applyNumberForma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2" fillId="7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Q15"/>
  <sheetViews>
    <sheetView topLeftCell="W1" workbookViewId="0">
      <selection activeCell="W2" sqref="W2"/>
    </sheetView>
  </sheetViews>
  <sheetFormatPr defaultColWidth="9.125" defaultRowHeight="14.25"/>
  <cols>
    <col min="1" max="1" width="12.5" style="14" customWidth="1"/>
    <col min="2" max="2" width="60.5" style="14" customWidth="1"/>
    <col min="3" max="3" width="38.125" style="14" customWidth="1"/>
    <col min="4" max="4" width="15" style="14" customWidth="1"/>
    <col min="5" max="5" width="13.625" style="14" customWidth="1"/>
    <col min="6" max="6" width="50.125" style="14" customWidth="1"/>
    <col min="7" max="7" width="18.625" style="14" customWidth="1"/>
    <col min="8" max="8" width="16.75" style="14" customWidth="1"/>
    <col min="9" max="9" width="27.125" style="14" customWidth="1"/>
    <col min="10" max="10" width="33.375" style="14" customWidth="1"/>
    <col min="11" max="11" width="37.5" style="14" customWidth="1"/>
    <col min="12" max="12" width="20.75" style="14" customWidth="1"/>
    <col min="13" max="13" width="24.75" style="14" customWidth="1"/>
    <col min="14" max="14" width="28.5" style="14" customWidth="1"/>
    <col min="15" max="15" width="31.125" style="14" customWidth="1"/>
    <col min="16" max="16" width="32.25" style="14" customWidth="1"/>
    <col min="17" max="19" width="38.125" style="14" customWidth="1"/>
    <col min="20" max="22" width="43.5" style="14" customWidth="1"/>
    <col min="23" max="25" width="41.75" style="14" customWidth="1"/>
    <col min="26" max="29" width="34.5" style="14" customWidth="1"/>
    <col min="30" max="31" width="26.625" style="14" customWidth="1"/>
    <col min="32" max="32" width="42.875" style="14" customWidth="1"/>
    <col min="33" max="33" width="26.625" style="14" customWidth="1"/>
    <col min="34" max="34" width="24.875" style="14" customWidth="1"/>
    <col min="35" max="35" width="59.75" style="14" customWidth="1"/>
    <col min="36" max="36" width="19.875" style="14" customWidth="1"/>
    <col min="37" max="37" width="39.25" style="14" customWidth="1"/>
    <col min="38" max="38" width="34.5" style="14" customWidth="1"/>
    <col min="39" max="39" width="38.5" style="14" customWidth="1"/>
    <col min="40" max="40" width="39.25" style="14" customWidth="1"/>
    <col min="41" max="41" width="38.875" style="14" customWidth="1"/>
    <col min="42" max="42" width="32.25" style="14" customWidth="1"/>
    <col min="43" max="43" width="33.625" style="14" customWidth="1"/>
    <col min="44" max="44" width="31.25" style="14" customWidth="1"/>
    <col min="45" max="45" width="26.625" style="14" customWidth="1"/>
    <col min="46" max="46" width="41.875" style="14" customWidth="1"/>
    <col min="47" max="47" width="26.625" style="14" customWidth="1"/>
    <col min="48" max="48" width="24.875" style="14" customWidth="1"/>
    <col min="49" max="49" width="47.75" style="14" customWidth="1"/>
    <col min="50" max="50" width="18.875" style="14" customWidth="1"/>
    <col min="51" max="51" width="30.375" style="14" customWidth="1"/>
    <col min="52" max="52" width="28.25" style="14" customWidth="1"/>
    <col min="53" max="53" width="31.25" style="14" customWidth="1"/>
    <col min="54" max="54" width="43.125" style="14" customWidth="1"/>
    <col min="55" max="55" width="29.25" style="14" customWidth="1"/>
    <col min="56" max="56" width="32.25" style="14" customWidth="1"/>
    <col min="57" max="60" width="55" style="14" customWidth="1"/>
    <col min="61" max="61" width="42" style="14" customWidth="1"/>
    <col min="62" max="62" width="40.875" style="14" customWidth="1"/>
    <col min="63" max="63" width="25" style="14" customWidth="1"/>
    <col min="64" max="64" width="27.625" style="14" customWidth="1"/>
    <col min="65" max="65" width="26" style="14" customWidth="1"/>
    <col min="66" max="66" width="44.875" style="14" customWidth="1"/>
    <col min="67" max="67" width="31.5" style="14" customWidth="1"/>
    <col min="68" max="68" width="45.75" style="14" customWidth="1"/>
    <col min="69" max="69" width="24" style="14" customWidth="1"/>
    <col min="70" max="72" width="28.25" style="14" customWidth="1"/>
    <col min="73" max="73" width="28.75" style="14" customWidth="1"/>
    <col min="74" max="74" width="27.625" style="14" customWidth="1"/>
    <col min="75" max="75" width="41" style="14" customWidth="1"/>
    <col min="76" max="76" width="59.5" style="14" customWidth="1"/>
    <col min="77" max="78" width="55.625" style="14" customWidth="1"/>
    <col min="79" max="80" width="61.5" style="14" customWidth="1"/>
    <col min="81" max="81" width="39.25" style="14" customWidth="1"/>
    <col min="82" max="82" width="20.875" style="14" customWidth="1"/>
    <col min="83" max="83" width="39.25" style="14" customWidth="1"/>
    <col min="84" max="84" width="40" style="14" customWidth="1"/>
    <col min="85" max="85" width="29.25" style="14" customWidth="1"/>
    <col min="86" max="86" width="61.625" style="14" customWidth="1"/>
    <col min="87" max="87" width="27.75" style="14" customWidth="1"/>
    <col min="88" max="88" width="39.25" style="14" customWidth="1"/>
    <col min="89" max="89" width="32.25" style="14" customWidth="1"/>
    <col min="90" max="90" width="29.25" style="14" customWidth="1"/>
    <col min="91" max="91" width="27.5" style="14" customWidth="1"/>
    <col min="92" max="93" width="28.25" style="14" customWidth="1"/>
    <col min="94" max="94" width="53" style="14" customWidth="1"/>
    <col min="95" max="95" width="93.875" style="14" customWidth="1"/>
    <col min="96" max="16384" width="9.125" style="14" customWidth="1"/>
  </cols>
  <sheetData>
    <row r="1" ht="12.75" customHeight="1" customFormat="1">
      <c r="A1" t="s">
        <v>111</v>
      </c>
      <c r="B1" t="s">
        <v>35</v>
      </c>
      <c r="C1" t="s">
        <v>68</v>
      </c>
      <c r="D1" t="s">
        <v>198</v>
      </c>
      <c r="E1" t="s">
        <v>180</v>
      </c>
      <c r="F1" t="s">
        <v>163</v>
      </c>
      <c r="G1" t="s">
        <v>81</v>
      </c>
      <c r="H1" t="s">
        <v>82</v>
      </c>
      <c r="I1" t="s">
        <v>2</v>
      </c>
      <c r="J1" t="s">
        <v>135</v>
      </c>
      <c r="K1" t="s">
        <v>199</v>
      </c>
      <c r="L1" t="s">
        <v>52</v>
      </c>
      <c r="M1" t="s">
        <v>165</v>
      </c>
      <c r="N1" t="s">
        <v>148</v>
      </c>
      <c r="O1" t="s">
        <v>200</v>
      </c>
      <c r="P1" t="s">
        <v>181</v>
      </c>
      <c r="Q1" t="s">
        <v>149</v>
      </c>
      <c r="R1" t="s">
        <v>13</v>
      </c>
      <c r="S1" t="s">
        <v>70</v>
      </c>
      <c r="T1" t="s">
        <v>94</v>
      </c>
      <c r="U1" t="s">
        <v>136</v>
      </c>
      <c r="V1" t="s">
        <v>201</v>
      </c>
      <c r="W1" t="s">
        <v>202</v>
      </c>
      <c r="X1" t="s">
        <v>38</v>
      </c>
      <c r="Y1" t="s">
        <v>96</v>
      </c>
      <c r="Z1" t="s">
        <v>22</v>
      </c>
      <c r="AA1" t="s">
        <v>83</v>
      </c>
      <c r="AB1" t="s">
        <v>121</v>
      </c>
      <c r="AC1" t="s">
        <v>54</v>
      </c>
      <c r="AD1" t="s">
        <v>152</v>
      </c>
      <c r="AE1" t="s">
        <v>4</v>
      </c>
      <c r="AF1" t="s">
        <v>56</v>
      </c>
      <c r="AG1" t="s">
        <v>57</v>
      </c>
      <c r="AH1" t="s">
        <v>71</v>
      </c>
      <c r="AI1" t="s">
        <v>168</v>
      </c>
      <c r="AJ1" t="s">
        <v>112</v>
      </c>
      <c r="AK1" t="s">
        <v>122</v>
      </c>
      <c r="AL1" t="s">
        <v>203</v>
      </c>
      <c r="AM1" t="s">
        <v>59</v>
      </c>
      <c r="AN1" t="s">
        <v>60</v>
      </c>
      <c r="AO1" t="s">
        <v>123</v>
      </c>
      <c r="AP1" t="s">
        <v>169</v>
      </c>
      <c r="AQ1" t="s">
        <v>40</v>
      </c>
      <c r="AR1" t="s">
        <v>23</v>
      </c>
      <c r="AS1" t="s">
        <v>153</v>
      </c>
      <c r="AT1" t="s">
        <v>184</v>
      </c>
      <c r="AU1" t="s">
        <v>7</v>
      </c>
      <c r="AV1" t="s">
        <v>98</v>
      </c>
      <c r="AW1" t="s">
        <v>154</v>
      </c>
      <c r="AX1" t="s">
        <v>155</v>
      </c>
      <c r="AY1" t="s">
        <v>15</v>
      </c>
      <c r="AZ1" t="s">
        <v>24</v>
      </c>
      <c r="BA1" t="s">
        <v>156</v>
      </c>
      <c r="BB1" t="s">
        <v>61</v>
      </c>
      <c r="BC1" t="s">
        <v>205</v>
      </c>
      <c r="BD1" t="s">
        <v>25</v>
      </c>
      <c r="BE1" t="s">
        <v>114</v>
      </c>
      <c r="BF1" t="s">
        <v>170</v>
      </c>
      <c r="BG1" t="s">
        <v>16</v>
      </c>
      <c r="BH1" t="s">
        <v>206</v>
      </c>
      <c r="BI1" t="s">
        <v>86</v>
      </c>
      <c r="BJ1" t="s">
        <v>75</v>
      </c>
      <c r="BK1" t="s">
        <v>157</v>
      </c>
      <c r="BL1" t="s">
        <v>207</v>
      </c>
      <c r="BM1" t="s">
        <v>88</v>
      </c>
      <c r="BN1" t="s">
        <v>138</v>
      </c>
      <c r="BO1" t="s">
        <v>139</v>
      </c>
      <c r="BP1" t="s">
        <v>28</v>
      </c>
      <c r="BQ1" t="s">
        <v>140</v>
      </c>
      <c r="BR1" t="s">
        <v>158</v>
      </c>
      <c r="BS1" t="s">
        <v>174</v>
      </c>
      <c r="BT1" t="s">
        <v>116</v>
      </c>
      <c r="BU1" t="s">
        <v>107</v>
      </c>
      <c r="BV1" t="s">
        <v>63</v>
      </c>
      <c r="BW1" t="s">
        <v>141</v>
      </c>
      <c r="BX1" t="s">
        <v>190</v>
      </c>
      <c r="BY1" t="s">
        <v>99</v>
      </c>
      <c r="BZ1" t="s">
        <v>41</v>
      </c>
      <c r="CA1" t="s">
        <v>18</v>
      </c>
      <c r="CB1" t="s">
        <v>76</v>
      </c>
      <c r="CC1" t="s">
        <v>92</v>
      </c>
      <c r="CD1" t="s">
        <v>117</v>
      </c>
      <c r="CE1" t="s">
        <v>127</v>
      </c>
      <c r="CF1" t="s">
        <v>42</v>
      </c>
      <c r="CG1" t="s">
        <v>191</v>
      </c>
      <c r="CH1" t="s">
        <v>100</v>
      </c>
      <c r="CI1" t="s">
        <v>208</v>
      </c>
      <c r="CJ1" t="s">
        <v>193</v>
      </c>
      <c r="CK1" t="s">
        <v>65</v>
      </c>
      <c r="CL1" t="s">
        <v>43</v>
      </c>
      <c r="CM1" t="s">
        <v>130</v>
      </c>
      <c r="CN1" t="s">
        <v>209</v>
      </c>
      <c r="CO1" t="s">
        <v>194</v>
      </c>
      <c r="CP1" t="s">
        <v>31</v>
      </c>
      <c r="CQ1" t="s">
        <v>131</v>
      </c>
    </row>
    <row r="2">
      <c r="A2" s="6">
        <v>1</v>
      </c>
      <c r="B2" s="6" t="s">
        <v>0</v>
      </c>
      <c r="C2" s="8" t="s">
        <v>161</v>
      </c>
      <c r="D2" s="8" t="s">
        <v>50</v>
      </c>
      <c r="E2" s="8" t="s">
        <v>69</v>
      </c>
      <c r="F2" s="11" t="s">
        <v>11</v>
      </c>
      <c r="G2" s="8" t="s">
        <v>120</v>
      </c>
      <c r="H2" s="8" t="s">
        <v>37</v>
      </c>
      <c r="I2" s="2" t="s">
        <v>147</v>
      </c>
      <c r="J2" s="2" t="s">
        <v>147</v>
      </c>
      <c r="K2" s="2" t="s">
        <v>21</v>
      </c>
      <c r="L2" s="2" t="s">
        <v>164</v>
      </c>
      <c r="M2" s="4" t="s">
        <v>166</v>
      </c>
      <c r="N2" s="4" t="s">
        <v>3</v>
      </c>
      <c r="O2" s="4" t="s">
        <v>12</v>
      </c>
      <c r="P2" s="4" t="s">
        <v>53</v>
      </c>
      <c r="Q2" s="10">
        <v>7072161</v>
      </c>
      <c r="R2" s="10">
        <v>7072166</v>
      </c>
      <c r="S2" s="10">
        <v>7072167</v>
      </c>
      <c r="T2" s="4" t="s">
        <v>150</v>
      </c>
      <c r="U2" s="4" t="s">
        <v>105</v>
      </c>
      <c r="V2" s="4" t="s">
        <v>151</v>
      </c>
      <c r="W2" s="9" t="s">
        <v>95</v>
      </c>
      <c r="X2" s="9" t="str">
        <f t="shared" si="0" ref="X2:Y2">W2</f>
        <v>01.01.2014</v>
      </c>
      <c r="Y2" s="9" t="str">
        <f t="shared" si="0"/>
        <v>01.01.2014</v>
      </c>
      <c r="Z2" s="4" t="s">
        <v>137</v>
      </c>
      <c r="AA2" s="4" t="s">
        <v>137</v>
      </c>
      <c r="AB2" s="4" t="s">
        <v>137</v>
      </c>
      <c r="AC2" s="4" t="s">
        <v>84</v>
      </c>
      <c r="AD2" s="2" t="s">
        <v>97</v>
      </c>
      <c r="AE2" s="2" t="s">
        <v>85</v>
      </c>
      <c r="AF2" s="25" t="s">
        <v>182</v>
      </c>
      <c r="AG2" s="2" t="s">
        <v>85</v>
      </c>
      <c r="AH2" s="3" t="s">
        <v>167</v>
      </c>
      <c r="AI2" s="5" t="str">
        <f>CONCATENATE("Direct Delivery created under the number ",AH2)</f>
        <v>Direct Delivery created under the number =Output!C2</v>
      </c>
      <c r="AJ2" s="2" t="s">
        <v>39</v>
      </c>
      <c r="AK2" s="2" t="s">
        <v>58</v>
      </c>
      <c r="AL2" s="2" t="s">
        <v>5</v>
      </c>
      <c r="AM2" s="4" t="s">
        <v>6</v>
      </c>
      <c r="AN2" s="5" t="str">
        <f>AH2</f>
        <v>=Output!C2</v>
      </c>
      <c r="AO2" s="17">
        <v>25</v>
      </c>
      <c r="AP2" s="5" t="str">
        <f>CONCATENATE("B0",AO2)</f>
        <v>B025</v>
      </c>
      <c r="AQ2" s="9" t="str">
        <f>W2</f>
        <v>01.01.2014</v>
      </c>
      <c r="AR2" s="9">
        <f ca="1">TODAY()</f>
        <v>45960</v>
      </c>
      <c r="AS2" s="2" t="s">
        <v>85</v>
      </c>
      <c r="AT2" s="2" t="s">
        <v>204</v>
      </c>
      <c r="AU2" s="2" t="s">
        <v>85</v>
      </c>
      <c r="AV2" s="3" t="s">
        <v>113</v>
      </c>
      <c r="AW2" s="5" t="str">
        <f>CONCATENATE("Article document ",AV2," posted")</f>
        <v>Article document =Output!D2 posted</v>
      </c>
      <c r="AX2" s="2" t="s">
        <v>125</v>
      </c>
      <c r="AY2" s="9">
        <f ca="1">TODAY()</f>
        <v>45960</v>
      </c>
      <c r="AZ2" s="5" t="str">
        <f>CONCATENATE("R",AP2)</f>
        <v>RB025</v>
      </c>
      <c r="BA2" s="9">
        <f ca="1">TODAY()</f>
        <v>45960</v>
      </c>
      <c r="BB2" s="2" t="s">
        <v>185</v>
      </c>
      <c r="BC2" s="5" t="str">
        <f>AP2</f>
        <v>B025</v>
      </c>
      <c r="BD2" s="2" t="s">
        <v>55</v>
      </c>
      <c r="BE2" s="4" t="s">
        <v>115</v>
      </c>
      <c r="BF2" s="4" t="s">
        <v>186</v>
      </c>
      <c r="BG2" s="4" t="s">
        <v>171</v>
      </c>
      <c r="BH2" s="4" t="s">
        <v>73</v>
      </c>
      <c r="BI2" s="3" t="s">
        <v>74</v>
      </c>
      <c r="BJ2" s="5" t="str">
        <f>LEFT(BI2, LEN(BI2)-1)</f>
        <v>=Output!E</v>
      </c>
      <c r="BK2" s="5" t="str">
        <f>BJ2</f>
        <v>=Output!E</v>
      </c>
      <c r="BL2" s="2" t="s">
        <v>85</v>
      </c>
      <c r="BM2" s="3" t="s">
        <v>26</v>
      </c>
      <c r="BN2" s="5" t="str">
        <f>CONCATENATE("Document no. ",BM2," created")</f>
        <v>Document no. =Output!F2 created</v>
      </c>
      <c r="BO2" s="2" t="s">
        <v>172</v>
      </c>
      <c r="BP2" s="2" t="s">
        <v>89</v>
      </c>
      <c r="BQ2" s="2" t="s">
        <v>62</v>
      </c>
      <c r="BR2" s="2" t="s">
        <v>173</v>
      </c>
      <c r="BS2" s="2" t="s">
        <v>90</v>
      </c>
      <c r="BT2" s="2" t="s">
        <v>159</v>
      </c>
      <c r="BU2" s="12" t="str">
        <f>BM2</f>
        <v>=Output!F2</v>
      </c>
      <c r="BV2" s="2" t="s">
        <v>85</v>
      </c>
      <c r="BW2" s="3" t="s">
        <v>188</v>
      </c>
      <c r="BX2" s="13" t="s">
        <v>17</v>
      </c>
      <c r="BY2" s="5" t="str">
        <f>BM2</f>
        <v>=Output!F2</v>
      </c>
      <c r="BZ2" s="5" t="str">
        <f>AH2</f>
        <v>=Output!C2</v>
      </c>
      <c r="CA2" s="5" t="str">
        <f>AH2</f>
        <v>=Output!C2</v>
      </c>
      <c r="CB2" s="5" t="str">
        <f>AV2</f>
        <v>=Output!D2</v>
      </c>
      <c r="CC2" s="2" t="s">
        <v>64</v>
      </c>
      <c r="CD2" s="2" t="s">
        <v>175</v>
      </c>
      <c r="CE2" s="2" t="s">
        <v>142</v>
      </c>
      <c r="CF2" s="12" t="str">
        <f>BM2</f>
        <v>=Output!F2</v>
      </c>
      <c r="CG2" s="15">
        <f ca="1">YEAR(TODAY())</f>
        <v>2025</v>
      </c>
      <c r="CH2" s="3" t="s">
        <v>143</v>
      </c>
      <c r="CI2" s="2" t="s">
        <v>192</v>
      </c>
      <c r="CJ2" s="2" t="s">
        <v>160</v>
      </c>
      <c r="CK2" s="16" t="s">
        <v>128</v>
      </c>
      <c r="CL2" s="15">
        <f ca="1">YEAR(TODAY())</f>
        <v>2025</v>
      </c>
      <c r="CM2" s="16" t="s">
        <v>144</v>
      </c>
      <c r="CN2" s="2" t="s">
        <v>45</v>
      </c>
      <c r="CO2" s="3" t="s">
        <v>46</v>
      </c>
      <c r="CP2" s="5" t="str">
        <f>CONCATENATE("Document ",CO2," was posted in company code ",P2)</f>
        <v>Document PU40000092 was posted in company code GR02</v>
      </c>
      <c r="CQ2" s="18" t="str">
        <f>CP2</f>
        <v>Document PU40000092 was posted in company code GR02</v>
      </c>
    </row>
    <row r="3">
      <c r="A3" s="1"/>
      <c r="B3" s="1"/>
      <c r="C3" s="8"/>
      <c r="D3" s="8"/>
      <c r="E3" s="8"/>
      <c r="F3" s="8"/>
      <c r="G3" s="8"/>
      <c r="H3" s="8"/>
      <c r="I3" s="2"/>
      <c r="J3" s="2"/>
      <c r="K3" s="2"/>
      <c r="L3" s="2"/>
      <c r="M3" s="4"/>
      <c r="N3" s="4"/>
      <c r="O3" s="4"/>
      <c r="P3" s="4"/>
      <c r="Q3" s="10"/>
      <c r="R3" s="10"/>
      <c r="S3" s="10"/>
      <c r="T3" s="4"/>
      <c r="U3" s="4"/>
      <c r="V3" s="4"/>
      <c r="W3" s="9"/>
      <c r="X3" s="9"/>
      <c r="Y3" s="9"/>
      <c r="Z3" s="4"/>
      <c r="AA3" s="4"/>
      <c r="AB3" s="4"/>
      <c r="AC3" s="4"/>
      <c r="AD3" s="2"/>
      <c r="AE3" s="2"/>
      <c r="AF3" s="25"/>
      <c r="AG3" s="2"/>
      <c r="AH3" s="7"/>
      <c r="AI3" s="5"/>
      <c r="AJ3" s="2"/>
      <c r="AK3" s="2"/>
      <c r="AL3" s="2"/>
      <c r="AM3" s="4"/>
      <c r="AN3" s="5"/>
      <c r="AO3" s="17"/>
      <c r="AP3" s="5"/>
      <c r="AQ3" s="9"/>
      <c r="AR3" s="9"/>
      <c r="AS3" s="2"/>
      <c r="AT3" s="2"/>
      <c r="AU3" s="2"/>
      <c r="AV3" s="7"/>
      <c r="AW3" s="5"/>
      <c r="AX3" s="2"/>
      <c r="AY3" s="9"/>
      <c r="AZ3" s="5"/>
      <c r="BA3" s="9"/>
      <c r="BB3" s="2"/>
      <c r="BC3" s="5"/>
      <c r="BD3" s="2"/>
      <c r="BE3" s="4"/>
      <c r="BF3" s="4"/>
      <c r="BG3" s="4"/>
      <c r="BH3" s="4"/>
      <c r="BI3" s="7"/>
      <c r="BJ3" s="5"/>
      <c r="BK3" s="5"/>
      <c r="BL3" s="2"/>
      <c r="BM3" s="7"/>
      <c r="BN3" s="5"/>
      <c r="BO3" s="2"/>
      <c r="BP3" s="2"/>
      <c r="BQ3" s="2"/>
      <c r="BR3" s="2"/>
      <c r="BS3" s="2"/>
      <c r="BT3" s="2"/>
      <c r="BU3" s="12"/>
      <c r="BV3" s="2"/>
      <c r="BW3" s="7"/>
      <c r="BX3" s="13"/>
      <c r="BY3" s="5"/>
      <c r="BZ3" s="5"/>
      <c r="CA3" s="5"/>
      <c r="CB3" s="5"/>
      <c r="CC3" s="2"/>
      <c r="CD3" s="2"/>
      <c r="CE3" s="2"/>
      <c r="CF3" s="12"/>
      <c r="CG3" s="15"/>
      <c r="CH3" s="3"/>
      <c r="CI3" s="2"/>
      <c r="CJ3" s="2"/>
      <c r="CK3" s="16"/>
      <c r="CL3" s="15"/>
      <c r="CM3" s="16"/>
      <c r="CN3" s="2"/>
      <c r="CO3" s="3"/>
      <c r="CP3" s="5"/>
      <c r="CQ3" s="18"/>
    </row>
    <row r="4">
      <c r="A4" s="6">
        <v>3</v>
      </c>
      <c r="B4" s="6" t="s">
        <v>102</v>
      </c>
      <c r="C4" s="8" t="s">
        <v>161</v>
      </c>
      <c r="D4" s="8" t="s">
        <v>51</v>
      </c>
      <c r="E4" s="8" t="s">
        <v>69</v>
      </c>
      <c r="F4" s="11" t="s">
        <v>11</v>
      </c>
      <c r="G4" s="8" t="s">
        <v>120</v>
      </c>
      <c r="H4" s="8" t="s">
        <v>37</v>
      </c>
      <c r="I4" s="2" t="s">
        <v>147</v>
      </c>
      <c r="J4" s="2" t="s">
        <v>147</v>
      </c>
      <c r="K4" s="2" t="s">
        <v>21</v>
      </c>
      <c r="L4" s="2" t="s">
        <v>164</v>
      </c>
      <c r="M4" s="4" t="s">
        <v>166</v>
      </c>
      <c r="N4" s="4" t="s">
        <v>3</v>
      </c>
      <c r="O4" s="4" t="s">
        <v>12</v>
      </c>
      <c r="P4" s="4" t="s">
        <v>53</v>
      </c>
      <c r="Q4" s="10">
        <v>7072161</v>
      </c>
      <c r="R4" s="10">
        <v>7072166</v>
      </c>
      <c r="S4" s="10">
        <v>7072167</v>
      </c>
      <c r="T4" s="4" t="s">
        <v>150</v>
      </c>
      <c r="U4" s="4" t="s">
        <v>105</v>
      </c>
      <c r="V4" s="4" t="s">
        <v>151</v>
      </c>
      <c r="W4" s="9">
        <f ca="1" t="shared" si="1" ref="W4:Y4">TODAY()</f>
        <v>45960</v>
      </c>
      <c r="X4" s="9">
        <f ca="1" t="shared" si="1"/>
        <v>45960</v>
      </c>
      <c r="Y4" s="9">
        <f ca="1" t="shared" si="1"/>
        <v>45960</v>
      </c>
      <c r="Z4" s="4" t="s">
        <v>137</v>
      </c>
      <c r="AA4" s="4" t="s">
        <v>137</v>
      </c>
      <c r="AB4" s="4" t="s">
        <v>137</v>
      </c>
      <c r="AC4" s="4" t="s">
        <v>55</v>
      </c>
      <c r="AD4" s="2" t="s">
        <v>97</v>
      </c>
      <c r="AE4" s="2" t="s">
        <v>85</v>
      </c>
      <c r="AF4" s="25" t="s">
        <v>182</v>
      </c>
      <c r="AG4" s="2" t="s">
        <v>85</v>
      </c>
      <c r="AH4" s="3" t="s">
        <v>72</v>
      </c>
      <c r="AI4" s="5" t="str">
        <f>CONCATENATE("Direct Delivery created under the number ",AH4)</f>
        <v>Direct Delivery created under the number =Output!C4</v>
      </c>
      <c r="AJ4" s="2" t="s">
        <v>39</v>
      </c>
      <c r="AK4" s="2" t="s">
        <v>58</v>
      </c>
      <c r="AL4" s="2" t="s">
        <v>5</v>
      </c>
      <c r="AM4" s="4" t="s">
        <v>6</v>
      </c>
      <c r="AN4" s="5" t="str">
        <f>AH4</f>
        <v>=Output!C4</v>
      </c>
      <c r="AO4" s="17">
        <v>123</v>
      </c>
      <c r="AP4" s="5" t="str">
        <f>CONCATENATE("DN",AN4)</f>
        <v>DN=Output!C4</v>
      </c>
      <c r="AQ4" s="9">
        <f ca="1">W4</f>
        <v>45960</v>
      </c>
      <c r="AR4" s="9">
        <f ca="1">TODAY()</f>
        <v>45960</v>
      </c>
      <c r="AS4" s="2" t="s">
        <v>85</v>
      </c>
      <c r="AT4" s="2" t="s">
        <v>204</v>
      </c>
      <c r="AU4" s="2" t="s">
        <v>85</v>
      </c>
      <c r="AV4" s="3" t="s">
        <v>14</v>
      </c>
      <c r="AW4" s="5" t="str">
        <f>CONCATENATE("Article document ",AV4," posted")</f>
        <v>Article document =Output!D4 posted</v>
      </c>
      <c r="AX4" s="2" t="s">
        <v>125</v>
      </c>
      <c r="AY4" s="9">
        <f ca="1">TODAY()</f>
        <v>45960</v>
      </c>
      <c r="AZ4" s="5" t="str">
        <f>CONCATENATE("R",AP4)</f>
        <v>RDN=Output!C4</v>
      </c>
      <c r="BA4" s="9">
        <f ca="1">TODAY()</f>
        <v>45960</v>
      </c>
      <c r="BB4" s="2" t="s">
        <v>185</v>
      </c>
      <c r="BC4" s="5" t="str">
        <f>AP4</f>
        <v>DN=Output!C4</v>
      </c>
      <c r="BD4" s="2" t="s">
        <v>55</v>
      </c>
      <c r="BE4" s="4" t="s">
        <v>115</v>
      </c>
      <c r="BF4" s="4" t="s">
        <v>186</v>
      </c>
      <c r="BG4" s="4" t="s">
        <v>171</v>
      </c>
      <c r="BH4" s="4" t="s">
        <v>73</v>
      </c>
      <c r="BI4" s="3" t="s">
        <v>187</v>
      </c>
      <c r="BJ4" s="5" t="str">
        <f>LEFT(BI4, LEN(BI4)-1)</f>
        <v>=Output!E</v>
      </c>
      <c r="BK4" s="5" t="str">
        <f>BJ4</f>
        <v>=Output!E</v>
      </c>
      <c r="BL4" s="2" t="s">
        <v>85</v>
      </c>
      <c r="BM4" s="3" t="s">
        <v>126</v>
      </c>
      <c r="BN4" s="5" t="str">
        <f>CONCATENATE("Document no. ",BM4," created")</f>
        <v>Document no. =Output!F4 created</v>
      </c>
      <c r="BO4" s="2" t="s">
        <v>172</v>
      </c>
      <c r="BP4" s="2" t="s">
        <v>89</v>
      </c>
      <c r="BQ4" s="2" t="s">
        <v>62</v>
      </c>
      <c r="BR4" s="2" t="s">
        <v>173</v>
      </c>
      <c r="BS4" s="2" t="s">
        <v>90</v>
      </c>
      <c r="BT4" s="2" t="s">
        <v>159</v>
      </c>
      <c r="BU4" s="12" t="str">
        <f>BM4</f>
        <v>=Output!F4</v>
      </c>
      <c r="BV4" s="2" t="s">
        <v>85</v>
      </c>
      <c r="BW4" s="3" t="s">
        <v>91</v>
      </c>
      <c r="BX4" s="13" t="s">
        <v>17</v>
      </c>
      <c r="BY4" s="5" t="str">
        <f>BM4</f>
        <v>=Output!F4</v>
      </c>
      <c r="BZ4" s="5" t="str">
        <f>AH4</f>
        <v>=Output!C4</v>
      </c>
      <c r="CA4" s="5" t="str">
        <f>AH4</f>
        <v>=Output!C4</v>
      </c>
      <c r="CB4" s="5" t="str">
        <f>AV4</f>
        <v>=Output!D4</v>
      </c>
      <c r="CC4" s="2" t="s">
        <v>64</v>
      </c>
      <c r="CD4" s="2" t="s">
        <v>175</v>
      </c>
      <c r="CE4" s="2" t="s">
        <v>142</v>
      </c>
      <c r="CF4" s="12" t="str">
        <f>BM4</f>
        <v>=Output!F4</v>
      </c>
      <c r="CG4" s="15">
        <f ca="1">YEAR(TODAY())</f>
        <v>2025</v>
      </c>
      <c r="CH4" s="3" t="s">
        <v>29</v>
      </c>
      <c r="CI4" s="2" t="s">
        <v>192</v>
      </c>
      <c r="CJ4" s="2" t="s">
        <v>160</v>
      </c>
      <c r="CK4" s="16" t="s">
        <v>30</v>
      </c>
      <c r="CL4" s="15">
        <f ca="1">YEAR(TODAY())</f>
        <v>2025</v>
      </c>
      <c r="CM4" s="16" t="s">
        <v>44</v>
      </c>
      <c r="CN4" s="2" t="s">
        <v>45</v>
      </c>
      <c r="CO4" s="3" t="s">
        <v>108</v>
      </c>
      <c r="CP4" s="5" t="str">
        <f>CONCATENATE("Document ",CO4," was posted in company code ",P4)</f>
        <v>Document PU40074304 was posted in company code GR02</v>
      </c>
      <c r="CQ4" s="18" t="str">
        <f>CP4</f>
        <v>Document PU40074304 was posted in company code GR02</v>
      </c>
    </row>
    <row r="5">
      <c r="A5" s="1"/>
      <c r="B5" s="1"/>
      <c r="C5" s="8"/>
      <c r="D5" s="8"/>
      <c r="E5" s="8"/>
      <c r="F5" s="8"/>
      <c r="G5" s="8"/>
      <c r="H5" s="8"/>
      <c r="I5" s="2"/>
      <c r="J5" s="2"/>
      <c r="K5" s="2"/>
      <c r="L5" s="2"/>
      <c r="M5" s="4"/>
      <c r="N5" s="4"/>
      <c r="O5" s="4"/>
      <c r="P5" s="4"/>
      <c r="Q5" s="10"/>
      <c r="R5" s="10"/>
      <c r="S5" s="10"/>
      <c r="T5" s="4"/>
      <c r="U5" s="4"/>
      <c r="V5" s="4"/>
      <c r="W5" s="9"/>
      <c r="X5" s="9"/>
      <c r="Y5" s="9"/>
      <c r="Z5" s="4"/>
      <c r="AA5" s="4"/>
      <c r="AB5" s="4"/>
      <c r="AC5" s="4"/>
      <c r="AD5" s="2"/>
      <c r="AE5" s="2"/>
      <c r="AF5" s="25"/>
      <c r="AG5" s="2"/>
      <c r="AH5" s="7"/>
      <c r="AI5" s="5"/>
      <c r="AJ5" s="2"/>
      <c r="AK5" s="2"/>
      <c r="AL5" s="2"/>
      <c r="AM5" s="4"/>
      <c r="AN5" s="5"/>
      <c r="AO5" s="17"/>
      <c r="AP5" s="5"/>
      <c r="AQ5" s="9"/>
      <c r="AR5" s="9"/>
      <c r="AS5" s="2"/>
      <c r="AT5" s="2"/>
      <c r="AU5" s="2"/>
      <c r="AV5" s="7"/>
      <c r="AW5" s="5"/>
      <c r="AX5" s="2"/>
      <c r="AY5" s="9"/>
      <c r="AZ5" s="5"/>
      <c r="BA5" s="9"/>
      <c r="BB5" s="2"/>
      <c r="BC5" s="5"/>
      <c r="BD5" s="2"/>
      <c r="BE5" s="4"/>
      <c r="BF5" s="4"/>
      <c r="BG5" s="4"/>
      <c r="BH5" s="4"/>
      <c r="BI5" s="7"/>
      <c r="BJ5" s="5"/>
      <c r="BK5" s="5"/>
      <c r="BL5" s="2"/>
      <c r="BM5" s="7"/>
      <c r="BN5" s="5"/>
      <c r="BO5" s="2"/>
      <c r="BP5" s="2"/>
      <c r="BQ5" s="2"/>
      <c r="BR5" s="2"/>
      <c r="BS5" s="2"/>
      <c r="BT5" s="2"/>
      <c r="BU5" s="12"/>
      <c r="BV5" s="2"/>
      <c r="BW5" s="7"/>
      <c r="BX5" s="13"/>
      <c r="BY5" s="5"/>
      <c r="BZ5" s="5"/>
      <c r="CA5" s="5"/>
      <c r="CB5" s="5"/>
      <c r="CC5" s="2"/>
      <c r="CD5" s="2"/>
      <c r="CE5" s="2"/>
      <c r="CF5" s="12"/>
      <c r="CG5" s="15"/>
      <c r="CH5" s="3"/>
      <c r="CI5" s="2"/>
      <c r="CJ5" s="2"/>
      <c r="CK5" s="16"/>
      <c r="CL5" s="15"/>
      <c r="CM5" s="16"/>
      <c r="CN5" s="2"/>
      <c r="CO5" s="3"/>
      <c r="CP5" s="5"/>
      <c r="CQ5" s="18"/>
    </row>
    <row r="6">
      <c r="A6" s="6">
        <v>5</v>
      </c>
      <c r="B6" s="6" t="s">
        <v>178</v>
      </c>
      <c r="C6" s="8" t="s">
        <v>161</v>
      </c>
      <c r="D6" s="8" t="s">
        <v>50</v>
      </c>
      <c r="E6" s="8" t="s">
        <v>69</v>
      </c>
      <c r="F6" s="11" t="s">
        <v>11</v>
      </c>
      <c r="G6" s="8" t="s">
        <v>120</v>
      </c>
      <c r="H6" s="8" t="s">
        <v>37</v>
      </c>
      <c r="I6" s="2" t="s">
        <v>147</v>
      </c>
      <c r="J6" s="2" t="s">
        <v>147</v>
      </c>
      <c r="K6" s="2" t="s">
        <v>21</v>
      </c>
      <c r="L6" s="2" t="s">
        <v>164</v>
      </c>
      <c r="M6" s="4" t="s">
        <v>166</v>
      </c>
      <c r="N6" s="4" t="s">
        <v>3</v>
      </c>
      <c r="O6" s="4" t="s">
        <v>12</v>
      </c>
      <c r="P6" s="4" t="s">
        <v>53</v>
      </c>
      <c r="Q6" s="10">
        <v>7072161</v>
      </c>
      <c r="R6" s="10">
        <v>7072166</v>
      </c>
      <c r="S6" s="10">
        <v>7072167</v>
      </c>
      <c r="T6" s="4" t="s">
        <v>150</v>
      </c>
      <c r="U6" s="4" t="s">
        <v>105</v>
      </c>
      <c r="V6" s="4" t="s">
        <v>151</v>
      </c>
      <c r="W6" s="9">
        <f ca="1" t="shared" si="2" ref="W6:Y6">TODAY()</f>
        <v>45960</v>
      </c>
      <c r="X6" s="9">
        <f ca="1" t="shared" si="2"/>
        <v>45960</v>
      </c>
      <c r="Y6" s="9">
        <f ca="1" t="shared" si="2"/>
        <v>45960</v>
      </c>
      <c r="Z6" s="4" t="s">
        <v>137</v>
      </c>
      <c r="AA6" s="4" t="s">
        <v>137</v>
      </c>
      <c r="AB6" s="4" t="s">
        <v>137</v>
      </c>
      <c r="AC6" s="4" t="s">
        <v>55</v>
      </c>
      <c r="AD6" s="2" t="s">
        <v>97</v>
      </c>
      <c r="AE6" s="2" t="s">
        <v>85</v>
      </c>
      <c r="AF6" s="25" t="s">
        <v>182</v>
      </c>
      <c r="AG6" s="2" t="s">
        <v>85</v>
      </c>
      <c r="AH6" s="3" t="s">
        <v>183</v>
      </c>
      <c r="AI6" s="5" t="str">
        <f>CONCATENATE("Direct Delivery created under the number ",AH6)</f>
        <v>Direct Delivery created under the number =Output!C6</v>
      </c>
      <c r="AJ6" s="2" t="s">
        <v>39</v>
      </c>
      <c r="AK6" s="2" t="s">
        <v>58</v>
      </c>
      <c r="AL6" s="2" t="s">
        <v>5</v>
      </c>
      <c r="AM6" s="4" t="s">
        <v>6</v>
      </c>
      <c r="AN6" s="5" t="str">
        <f>AH6</f>
        <v>=Output!C6</v>
      </c>
      <c r="AO6" s="17">
        <v>76</v>
      </c>
      <c r="AP6" s="5" t="str">
        <f>CONCATENATE("DN",AN6)</f>
        <v>DN=Output!C6</v>
      </c>
      <c r="AQ6" s="9">
        <f ca="1">W6</f>
        <v>45960</v>
      </c>
      <c r="AR6" s="9">
        <f ca="1">TODAY()</f>
        <v>45960</v>
      </c>
      <c r="AS6" s="2" t="s">
        <v>85</v>
      </c>
      <c r="AT6" s="2" t="s">
        <v>204</v>
      </c>
      <c r="AU6" s="2" t="s">
        <v>85</v>
      </c>
      <c r="AV6" s="3" t="s">
        <v>124</v>
      </c>
      <c r="AW6" s="5" t="str">
        <f>CONCATENATE("Article document ",AV6," posted")</f>
        <v>Article document =Output!D6 posted</v>
      </c>
      <c r="AX6" s="2" t="s">
        <v>125</v>
      </c>
      <c r="AY6" s="9">
        <f ca="1">TODAY()</f>
        <v>45960</v>
      </c>
      <c r="AZ6" s="5" t="str">
        <f>CONCATENATE("R",AP6)</f>
        <v>RDN=Output!C6</v>
      </c>
      <c r="BA6" s="9">
        <f ca="1">TODAY()</f>
        <v>45960</v>
      </c>
      <c r="BB6" s="2" t="s">
        <v>185</v>
      </c>
      <c r="BC6" s="5" t="str">
        <f>AP6</f>
        <v>DN=Output!C6</v>
      </c>
      <c r="BD6" s="2" t="s">
        <v>55</v>
      </c>
      <c r="BE6" s="4" t="s">
        <v>115</v>
      </c>
      <c r="BF6" s="4" t="s">
        <v>186</v>
      </c>
      <c r="BG6" s="4" t="s">
        <v>171</v>
      </c>
      <c r="BH6" s="4" t="s">
        <v>73</v>
      </c>
      <c r="BI6" s="3" t="s">
        <v>87</v>
      </c>
      <c r="BJ6" s="5" t="str">
        <f>LEFT(BI6, LEN(BI6)-1)</f>
        <v>=Output!E</v>
      </c>
      <c r="BK6" s="5" t="str">
        <f>BJ6</f>
        <v>=Output!E</v>
      </c>
      <c r="BL6" s="2" t="s">
        <v>85</v>
      </c>
      <c r="BM6" s="3" t="s">
        <v>27</v>
      </c>
      <c r="BN6" s="5" t="str">
        <f>CONCATENATE("Document no. ",BM6," created")</f>
        <v>Document no. =Output!F6 created</v>
      </c>
      <c r="BO6" s="2" t="s">
        <v>172</v>
      </c>
      <c r="BP6" s="2" t="s">
        <v>89</v>
      </c>
      <c r="BQ6" s="2" t="s">
        <v>62</v>
      </c>
      <c r="BR6" s="2" t="s">
        <v>173</v>
      </c>
      <c r="BS6" s="2" t="s">
        <v>90</v>
      </c>
      <c r="BT6" s="2" t="s">
        <v>159</v>
      </c>
      <c r="BU6" s="12" t="str">
        <f>BM6</f>
        <v>=Output!F6</v>
      </c>
      <c r="BV6" s="2" t="s">
        <v>85</v>
      </c>
      <c r="BW6" s="3" t="s">
        <v>189</v>
      </c>
      <c r="BX6" s="13" t="s">
        <v>17</v>
      </c>
      <c r="BY6" s="5" t="str">
        <f>BM6</f>
        <v>=Output!F6</v>
      </c>
      <c r="BZ6" s="5" t="str">
        <f>AH6</f>
        <v>=Output!C6</v>
      </c>
      <c r="CA6" s="5" t="str">
        <f>AH6</f>
        <v>=Output!C6</v>
      </c>
      <c r="CB6" s="5" t="str">
        <f>AV6</f>
        <v>=Output!D6</v>
      </c>
      <c r="CC6" s="2" t="s">
        <v>64</v>
      </c>
      <c r="CD6" s="2" t="s">
        <v>175</v>
      </c>
      <c r="CE6" s="2" t="s">
        <v>142</v>
      </c>
      <c r="CF6" s="12" t="str">
        <f>BM6</f>
        <v>=Output!F6</v>
      </c>
      <c r="CG6" s="15">
        <f ca="1">YEAR(TODAY())</f>
        <v>2025</v>
      </c>
      <c r="CH6" s="3" t="s">
        <v>8</v>
      </c>
      <c r="CI6" s="2" t="s">
        <v>192</v>
      </c>
      <c r="CJ6" s="2" t="s">
        <v>160</v>
      </c>
      <c r="CK6" s="16" t="s">
        <v>129</v>
      </c>
      <c r="CL6" s="15">
        <f ca="1">YEAR(TODAY())</f>
        <v>2025</v>
      </c>
      <c r="CM6" s="16" t="s">
        <v>145</v>
      </c>
      <c r="CN6" s="2" t="s">
        <v>45</v>
      </c>
      <c r="CO6" s="3" t="s">
        <v>101</v>
      </c>
      <c r="CP6" s="5" t="str">
        <f>CONCATENATE("Document ",CO6," was posted in company code ",P6)</f>
        <v>Document PU40081074 was posted in company code GR02</v>
      </c>
      <c r="CQ6" s="18" t="str">
        <f>CP6</f>
        <v>Document PU40081074 was posted in company code GR02</v>
      </c>
    </row>
    <row r="7">
      <c r="A7" s="1"/>
      <c r="B7" s="1"/>
      <c r="C7" s="1" t="s">
        <v>1</v>
      </c>
      <c r="D7" s="1"/>
      <c r="E7" s="8" t="s">
        <v>69</v>
      </c>
      <c r="F7" s="11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9" t="s">
        <v>106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20"/>
    </row>
    <row r="8">
      <c r="A8" s="1"/>
      <c r="B8" s="1"/>
      <c r="C8" s="8" t="s">
        <v>179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20"/>
    </row>
    <row r="9">
      <c r="A9" s="1"/>
      <c r="B9" s="1"/>
      <c r="C9" s="10" t="s">
        <v>80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20"/>
    </row>
    <row r="10">
      <c r="A10" s="1"/>
      <c r="B10" s="1"/>
      <c r="C10" s="19" t="s">
        <v>162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20"/>
    </row>
    <row r="11">
      <c r="A11" s="1"/>
      <c r="B11" s="1"/>
      <c r="C11" s="7" t="s">
        <v>36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20"/>
    </row>
    <row r="12">
      <c r="A12" s="1"/>
      <c r="B12" s="1"/>
      <c r="C12" s="12" t="s">
        <v>49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20"/>
    </row>
    <row r="13">
      <c r="A13" s="1"/>
      <c r="B13" s="1"/>
      <c r="C13" s="13" t="s">
        <v>103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20"/>
    </row>
    <row r="14">
      <c r="A14" s="1"/>
      <c r="B14" s="1"/>
      <c r="C14" s="22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20"/>
    </row>
    <row r="15">
      <c r="A15" s="1"/>
      <c r="B15" s="1"/>
      <c r="C15" s="24" t="s">
        <v>104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2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B11"/>
  <sheetViews>
    <sheetView topLeftCell="E1" workbookViewId="0">
      <selection activeCell="E2" sqref="E2"/>
    </sheetView>
  </sheetViews>
  <sheetFormatPr defaultColWidth="9.125" defaultRowHeight="14.25"/>
  <cols>
    <col min="1" max="1" width="12.375" style="14" bestFit="1" customWidth="1"/>
    <col min="2" max="2" width="59.25" style="14" bestFit="1" customWidth="1"/>
    <col min="3" max="3" width="21.625" style="14" bestFit="1" customWidth="1"/>
    <col min="4" max="4" width="26.375" style="14" bestFit="1" customWidth="1"/>
    <col min="5" max="5" width="26.625" style="14" bestFit="1" customWidth="1"/>
    <col min="6" max="6" width="23.125" style="14" bestFit="1" customWidth="1"/>
    <col min="7" max="7" width="18" style="14" bestFit="1" customWidth="1"/>
    <col min="8" max="8" width="46.5" style="14" bestFit="1" customWidth="1"/>
    <col min="9" max="16384" width="9.125" style="14" customWidth="1"/>
  </cols>
  <sheetData>
    <row r="1" ht="12.75" customHeight="1" customFormat="1">
      <c r="A1" t="s">
        <v>111</v>
      </c>
      <c r="B1" t="s">
        <v>35</v>
      </c>
      <c r="C1" t="s">
        <v>210</v>
      </c>
      <c r="D1" t="s">
        <v>77</v>
      </c>
      <c r="E1" t="s">
        <v>118</v>
      </c>
      <c r="F1" t="s">
        <v>195</v>
      </c>
      <c r="G1" t="s">
        <v>66</v>
      </c>
      <c r="H1" t="s">
        <v>176</v>
      </c>
      <c r="I1" t="s">
        <v>10</v>
      </c>
      <c r="J1" t="s">
        <v>19</v>
      </c>
      <c r="K1" t="s">
        <v>79</v>
      </c>
      <c r="L1" t="s">
        <v>119</v>
      </c>
      <c r="M1" t="s">
        <v>177</v>
      </c>
      <c r="N1" t="s">
        <v>32</v>
      </c>
      <c r="O1" t="s">
        <v>93</v>
      </c>
      <c r="P1" t="s">
        <v>133</v>
      </c>
      <c r="Q1" t="s">
        <v>196</v>
      </c>
      <c r="R1" t="s">
        <v>33</v>
      </c>
      <c r="S1" t="s">
        <v>85</v>
      </c>
      <c r="T1" t="s">
        <v>134</v>
      </c>
      <c r="U1" t="s">
        <v>197</v>
      </c>
      <c r="V1" t="s">
        <v>34</v>
      </c>
      <c r="W1" t="s">
        <v>97</v>
      </c>
      <c r="X1" t="s">
        <v>146</v>
      </c>
      <c r="Y1" t="s">
        <v>212</v>
      </c>
      <c r="Z1" t="s">
        <v>48</v>
      </c>
      <c r="AA1" t="s">
        <v>67</v>
      </c>
      <c r="AB1" t="s">
        <v>110</v>
      </c>
    </row>
    <row r="2">
      <c r="A2" s="6">
        <v>1</v>
      </c>
      <c r="B2" s="6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3"/>
    </row>
    <row r="3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3"/>
    </row>
    <row r="4">
      <c r="A4" s="6">
        <v>3</v>
      </c>
      <c r="B4" s="6" t="s">
        <v>102</v>
      </c>
      <c r="C4" s="2" t="s">
        <v>211</v>
      </c>
      <c r="D4" s="2" t="s">
        <v>47</v>
      </c>
      <c r="E4" s="2" t="s">
        <v>9</v>
      </c>
      <c r="F4" s="2" t="s">
        <v>109</v>
      </c>
      <c r="G4" s="2" t="s">
        <v>132</v>
      </c>
      <c r="H4" s="2"/>
      <c r="I4" s="2" t="s">
        <v>78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3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3"/>
    </row>
    <row r="6">
      <c r="A6" s="6">
        <v>5</v>
      </c>
      <c r="B6" s="6" t="s">
        <v>178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3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3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3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3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3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3"/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1" customWidth="1"/>
  </cols>
  <sheetData>
    <row r="1" ht="15.1" customFormat="1"/>
  </sheetData>
  <pageMargins left="0.7" right="0.7" top="0.75" bottom="0.75" header="0.3" footer="0.3"/>
</worksheet>
</file>