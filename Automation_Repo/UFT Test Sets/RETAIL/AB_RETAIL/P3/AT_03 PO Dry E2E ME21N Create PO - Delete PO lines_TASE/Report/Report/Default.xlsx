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ataTransfer" sheetId="3" r:id="rId3"/>
    <sheet name="TC1_Test_02ORD0201_034" sheetId="4" r:id="rId4"/>
    <sheet name="TC3_Test_02ORD0204_006" sheetId="5" r:id="rId5"/>
  </sheets>
  <calcPr calcId="40001"/>
</workbook>
</file>

<file path=xl/sharedStrings.xml><?xml version="1.0" encoding="utf-8"?>
<sst xmlns="http://schemas.openxmlformats.org/spreadsheetml/2006/main" uniqueCount="68">
  <si>
    <t>07-Alcohol\WWP1\03 E2E WWP1 Create PO - Delete PO lines</t>
  </si>
  <si>
    <t>13-Imports\ME21N\03 E2E ME21N Create PO - Delete PO lines</t>
  </si>
  <si>
    <t>DT_SAPTRANSACTIONCODE</t>
  </si>
  <si>
    <t>DT_ME23N_0003_PO</t>
  </si>
  <si>
    <t>B</t>
  </si>
  <si>
    <t>Release to vendor via email or EDI or Print-Meat &amp; Fish</t>
  </si>
  <si>
    <t>01 - Release via printed document</t>
  </si>
  <si>
    <t>02-Fruit &amp; Vegetables\ME21N\03 E2E ME21N Create PO - Delete PO lines</t>
  </si>
  <si>
    <t>06-Batteries\ME21N\03 E2E ME21N Create PO - Delete PO lines</t>
  </si>
  <si>
    <t>10-Tense DSD\WWP1\03 E2E WWP1 Create PO - Delete PO lines</t>
  </si>
  <si>
    <t>O E2E ME21N Create PO - check release strategy</t>
  </si>
  <si>
    <t>AUTOFAB</t>
  </si>
  <si>
    <t>01 - Release to vendor via email or EDI or Print</t>
  </si>
  <si>
    <t>AUTOTEST</t>
  </si>
  <si>
    <t>DT_ME23N_1102_RELEASE_STRATEGY</t>
  </si>
  <si>
    <t>Perform function?</t>
  </si>
  <si>
    <t>DT_ME23N_14_CHECK_TEXT_OF_STATUSBAR</t>
  </si>
  <si>
    <t>Scenario</t>
  </si>
  <si>
    <t>04-Fish\WWP1\03 E2E WWP1 Create PO - Delete PO lines</t>
  </si>
  <si>
    <t>05-Fuel Items\WWP1\03 E2E WWP1 Create PO - Delete PO lines</t>
  </si>
  <si>
    <t>06-Batteries\WWP1\03 E2E WWP1 Create PO - Delete PO lines</t>
  </si>
  <si>
    <t>08-CRP\ME21N\03 E2E ME21N Create PO - Delete PO lines</t>
  </si>
  <si>
    <t>08-CRP\WWP1\03 E2E WWP1 Create PO - Delete PO lines</t>
  </si>
  <si>
    <t>13-Imports\WWP1\03 E2E WWP1 Create PO - Delete PO lines</t>
  </si>
  <si>
    <t>%blank%</t>
  </si>
  <si>
    <t>DT_ME23N_1100_CHECK_TEXT_OF_RELEASE_INDICATOR</t>
  </si>
  <si>
    <t>05 - 13.Import procurement from Delhaize\Release to vendor via email or EDI or Print</t>
  </si>
  <si>
    <t>Release to vendor via printed;  DN GR with SURP; DN-Invoice GR with SURP</t>
  </si>
  <si>
    <t>01-PO Dry\WWP1\03 E2E WWP1 Create PO - Delete PO lines</t>
  </si>
  <si>
    <t>RXP - 03</t>
  </si>
  <si>
    <t>200</t>
  </si>
  <si>
    <t>ME23N</t>
  </si>
  <si>
    <t>DT_ME23N_1100_CHECK_TEXT_OF_RELEASE_INDICATOR_OCC2</t>
  </si>
  <si>
    <t>Release to vendor via email - DN Invoice GR (normal case)</t>
  </si>
  <si>
    <t>12-F&amp;V  Multiple Vendors (Change price at order)\ME21N\03 E2E ME21N Create PO - Delete PO lines</t>
  </si>
  <si>
    <t>DT_SAPSYSTEM</t>
  </si>
  <si>
    <t>init-123</t>
  </si>
  <si>
    <t>03 PO E2E WWP1 Create PO - Delete PO lines</t>
  </si>
  <si>
    <t>RGS - SAP RETAIL Staging GLOBAL</t>
  </si>
  <si>
    <t>DT_SAPLANGUAGE</t>
  </si>
  <si>
    <t>DT_SAPOPTIONS</t>
  </si>
  <si>
    <t>10-Tense DSD\ME21N\03 E2E ME21N Create PO - Delete PO lines</t>
  </si>
  <si>
    <t>11-Free Goods\ME21N\03 E2E ME21N Create PO - Delete PO lines</t>
  </si>
  <si>
    <t>DT_ME23N_300_CHECK_TEXT_OF_SPOPTEXTLINE1</t>
  </si>
  <si>
    <t>Row_Number</t>
  </si>
  <si>
    <t>DT_ME23N_1105_CHECK_TEXT_OF_MEPO_TOPLINEEBELN</t>
  </si>
  <si>
    <t>02-Fruit &amp; Vegetables\WWP1\03 E2E WWP1 Create PO - Delete PO lines</t>
  </si>
  <si>
    <t>EN</t>
  </si>
  <si>
    <t>09-Tied Empties\ME21N\03 E2E ME21N Create PO - Delete PO lines</t>
  </si>
  <si>
    <t>52a5cba5919fce32e5bb1c049111e8cda7f0ac699712</t>
  </si>
  <si>
    <t>DT_EXPECTEDTRANSACTIONCODE</t>
  </si>
  <si>
    <t>9</t>
  </si>
  <si>
    <t>01-PO Dry\ME21N\03 E2E ME21N Create PO - Delete PO lines</t>
  </si>
  <si>
    <t>04-Fish\ME21N\03 E2E ME21N Create PO - Delete PO lines</t>
  </si>
  <si>
    <t>05-Fuel Items\ME21N\03 E2E ME21N Create PO - Delete PO lines</t>
  </si>
  <si>
    <t>03-Meat\ME21N\03 E2E ME21N Create PO - Delete PO lines</t>
  </si>
  <si>
    <t>R1E - SAP RETAIL Pre-Production EUROPE</t>
  </si>
  <si>
    <t>BUYCATMGR</t>
  </si>
  <si>
    <t>DT_SAPPASSWORD</t>
  </si>
  <si>
    <t>Blocked</t>
  </si>
  <si>
    <t>Release to vendor via email; DN GR with DEF; DN-Invoice GR with DEF</t>
  </si>
  <si>
    <t>03-Meat\WWP1\03 E2E WWP1 Create PO - Delete PO lines</t>
  </si>
  <si>
    <t>07-Alcohol\ME21N\03 E2E ME21N Create PO - Delete PO lines</t>
  </si>
  <si>
    <t>DT_SAPUSER</t>
  </si>
  <si>
    <t>5357ad1a0c47930650cdbcc05eca08602f3a08dbd65a</t>
  </si>
  <si>
    <t>09-Tied Empties\WWP1\03 E2E WWP1 Create PO - Delete PO lines</t>
  </si>
  <si>
    <t>RXP</t>
  </si>
  <si>
    <t>DT_SAPCLIENT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</si>
</sst>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11" fontId="1" fillId="3" borderId="1" xfId="0" applyNumberForma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52"/>
  <sheetViews>
    <sheetView topLeftCell="H1" workbookViewId="0">
      <selection activeCell="H2" sqref="H2"/>
    </sheetView>
  </sheetViews>
  <sheetFormatPr defaultColWidth="9.125" defaultRowHeight="14.25"/>
  <cols>
    <col min="1" max="1" width="12.5" style="11" customWidth="1"/>
    <col min="2" max="2" width="87" style="11" customWidth="1"/>
    <col min="3" max="3" width="38.125" style="11" customWidth="1"/>
    <col min="4" max="4" width="15" style="11" customWidth="1"/>
    <col min="5" max="5" width="14" style="11" customWidth="1"/>
    <col min="6" max="6" width="51.2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19.375" style="11" customWidth="1"/>
    <col min="12" max="12" width="53.875" style="11" customWidth="1"/>
    <col min="13" max="13" width="36.625" style="11" customWidth="1"/>
    <col min="14" max="14" width="53.25" style="11" customWidth="1"/>
    <col min="15" max="15" width="59.125" style="11" customWidth="1"/>
    <col min="16" max="16" width="47.5" style="11" customWidth="1"/>
    <col min="17" max="17" width="42.875" style="11" customWidth="1"/>
    <col min="18" max="16384" width="9.125" style="11" customWidth="1"/>
  </cols>
  <sheetData>
    <row r="1" ht="12.75" customHeight="1" customFormat="1">
      <c r="A1" t="s">
        <v>44</v>
      </c>
      <c r="B1" t="s">
        <v>17</v>
      </c>
      <c r="C1" t="s">
        <v>35</v>
      </c>
      <c r="D1" t="s">
        <v>67</v>
      </c>
      <c r="E1" t="s">
        <v>63</v>
      </c>
      <c r="F1" t="s">
        <v>58</v>
      </c>
      <c r="G1" t="s">
        <v>39</v>
      </c>
      <c r="H1" t="s">
        <v>40</v>
      </c>
      <c r="I1" t="s">
        <v>2</v>
      </c>
      <c r="J1" t="s">
        <v>50</v>
      </c>
      <c r="K1" t="s">
        <v>3</v>
      </c>
      <c r="L1" t="s">
        <v>45</v>
      </c>
      <c r="M1" t="s">
        <v>14</v>
      </c>
      <c r="N1" t="s">
        <v>25</v>
      </c>
      <c r="O1" t="s">
        <v>32</v>
      </c>
      <c r="P1" t="s">
        <v>43</v>
      </c>
      <c r="Q1" t="s">
        <v>16</v>
      </c>
    </row>
    <row r="2">
      <c r="A2" s="4">
        <v>1</v>
      </c>
      <c r="B2" s="4" t="s">
        <v>12</v>
      </c>
      <c r="C2" s="3" t="s">
        <v>56</v>
      </c>
      <c r="D2" s="3" t="s">
        <v>30</v>
      </c>
      <c r="E2" s="3" t="s">
        <v>11</v>
      </c>
      <c r="F2" s="3" t="s">
        <v>36</v>
      </c>
      <c r="G2" s="3" t="s">
        <v>47</v>
      </c>
      <c r="H2" s="1" t="s">
        <v>24</v>
      </c>
      <c r="I2" s="1" t="s">
        <v>31</v>
      </c>
      <c r="J2" s="1" t="s">
        <v>31</v>
      </c>
      <c r="K2" s="6">
        <v>4300062372</v>
      </c>
      <c r="L2" s="2">
        <f t="shared" si="0" ref="L2:L8">K2</f>
        <v>4300062372</v>
      </c>
      <c r="M2" s="1" t="s">
        <v>51</v>
      </c>
      <c r="N2" s="2" t="s">
        <v>4</v>
      </c>
      <c r="O2" s="2" t="s">
        <v>59</v>
      </c>
      <c r="P2" s="2" t="s">
        <v>15</v>
      </c>
      <c r="Q2" s="5" t="str">
        <f t="shared" si="1" ref="Q2:Q8">CONCATENATE("Standard PO Retail ",K2," changed")</f>
        <v>Standard PO Retail 4300062372 changed</v>
      </c>
    </row>
    <row r="3">
      <c r="A3" s="4">
        <v>2</v>
      </c>
      <c r="B3" s="4" t="s">
        <v>26</v>
      </c>
      <c r="C3" s="3" t="s">
        <v>56</v>
      </c>
      <c r="D3" s="3" t="s">
        <v>30</v>
      </c>
      <c r="E3" s="3" t="s">
        <v>11</v>
      </c>
      <c r="F3" s="3" t="s">
        <v>36</v>
      </c>
      <c r="G3" s="3" t="s">
        <v>47</v>
      </c>
      <c r="H3" s="1" t="s">
        <v>24</v>
      </c>
      <c r="I3" s="1" t="s">
        <v>31</v>
      </c>
      <c r="J3" s="1" t="s">
        <v>31</v>
      </c>
      <c r="K3" s="6">
        <v>4300062130</v>
      </c>
      <c r="L3" s="2">
        <f t="shared" si="0"/>
        <v>4300062130</v>
      </c>
      <c r="M3" s="1" t="s">
        <v>51</v>
      </c>
      <c r="N3" s="2" t="s">
        <v>4</v>
      </c>
      <c r="O3" s="2" t="s">
        <v>59</v>
      </c>
      <c r="P3" s="2" t="s">
        <v>15</v>
      </c>
      <c r="Q3" s="5" t="str">
        <f t="shared" si="1"/>
        <v>Standard PO Retail 4300062130 changed</v>
      </c>
    </row>
    <row r="4">
      <c r="A4" s="4">
        <v>3</v>
      </c>
      <c r="B4" s="4" t="s">
        <v>33</v>
      </c>
      <c r="C4" s="3" t="s">
        <v>56</v>
      </c>
      <c r="D4" s="3" t="s">
        <v>30</v>
      </c>
      <c r="E4" s="3" t="s">
        <v>11</v>
      </c>
      <c r="F4" s="3" t="s">
        <v>36</v>
      </c>
      <c r="G4" s="3" t="s">
        <v>47</v>
      </c>
      <c r="H4" s="1" t="s">
        <v>24</v>
      </c>
      <c r="I4" s="1" t="s">
        <v>31</v>
      </c>
      <c r="J4" s="1" t="s">
        <v>31</v>
      </c>
      <c r="K4" s="6">
        <v>4300062130</v>
      </c>
      <c r="L4" s="2">
        <f t="shared" si="0"/>
        <v>4300062130</v>
      </c>
      <c r="M4" s="1" t="s">
        <v>51</v>
      </c>
      <c r="N4" s="2" t="s">
        <v>4</v>
      </c>
      <c r="O4" s="2" t="s">
        <v>59</v>
      </c>
      <c r="P4" s="2" t="s">
        <v>15</v>
      </c>
      <c r="Q4" s="5" t="str">
        <f t="shared" si="1"/>
        <v>Standard PO Retail 4300062130 changed</v>
      </c>
    </row>
    <row r="5">
      <c r="A5" s="4">
        <v>4</v>
      </c>
      <c r="B5" s="4" t="s">
        <v>5</v>
      </c>
      <c r="C5" s="3" t="s">
        <v>56</v>
      </c>
      <c r="D5" s="3" t="s">
        <v>30</v>
      </c>
      <c r="E5" s="3" t="s">
        <v>11</v>
      </c>
      <c r="F5" s="3" t="s">
        <v>36</v>
      </c>
      <c r="G5" s="3" t="s">
        <v>47</v>
      </c>
      <c r="H5" s="1" t="s">
        <v>24</v>
      </c>
      <c r="I5" s="1" t="s">
        <v>31</v>
      </c>
      <c r="J5" s="1" t="s">
        <v>31</v>
      </c>
      <c r="K5" s="6">
        <v>4300062130</v>
      </c>
      <c r="L5" s="2">
        <f t="shared" si="0"/>
        <v>4300062130</v>
      </c>
      <c r="M5" s="1" t="s">
        <v>51</v>
      </c>
      <c r="N5" s="2" t="s">
        <v>4</v>
      </c>
      <c r="O5" s="2" t="s">
        <v>59</v>
      </c>
      <c r="P5" s="2" t="s">
        <v>15</v>
      </c>
      <c r="Q5" s="5" t="str">
        <f t="shared" si="1"/>
        <v>Standard PO Retail 4300062130 changed</v>
      </c>
    </row>
    <row r="6">
      <c r="A6" s="4">
        <v>5</v>
      </c>
      <c r="B6" s="4" t="s">
        <v>60</v>
      </c>
      <c r="C6" s="3" t="s">
        <v>56</v>
      </c>
      <c r="D6" s="3" t="s">
        <v>30</v>
      </c>
      <c r="E6" s="3" t="s">
        <v>11</v>
      </c>
      <c r="F6" s="3" t="s">
        <v>36</v>
      </c>
      <c r="G6" s="3" t="s">
        <v>47</v>
      </c>
      <c r="H6" s="1" t="s">
        <v>24</v>
      </c>
      <c r="I6" s="1" t="s">
        <v>31</v>
      </c>
      <c r="J6" s="1" t="s">
        <v>31</v>
      </c>
      <c r="K6" s="6">
        <v>4300062130</v>
      </c>
      <c r="L6" s="2">
        <f t="shared" si="0"/>
        <v>4300062130</v>
      </c>
      <c r="M6" s="1" t="s">
        <v>51</v>
      </c>
      <c r="N6" s="2" t="s">
        <v>4</v>
      </c>
      <c r="O6" s="2" t="s">
        <v>59</v>
      </c>
      <c r="P6" s="2" t="s">
        <v>15</v>
      </c>
      <c r="Q6" s="5" t="str">
        <f t="shared" si="1"/>
        <v>Standard PO Retail 4300062130 changed</v>
      </c>
    </row>
    <row r="7">
      <c r="A7" s="4">
        <v>6</v>
      </c>
      <c r="B7" s="4" t="s">
        <v>27</v>
      </c>
      <c r="C7" s="3" t="s">
        <v>56</v>
      </c>
      <c r="D7" s="3" t="s">
        <v>30</v>
      </c>
      <c r="E7" s="3" t="s">
        <v>11</v>
      </c>
      <c r="F7" s="3" t="s">
        <v>36</v>
      </c>
      <c r="G7" s="3" t="s">
        <v>47</v>
      </c>
      <c r="H7" s="1" t="s">
        <v>24</v>
      </c>
      <c r="I7" s="1" t="s">
        <v>31</v>
      </c>
      <c r="J7" s="1" t="s">
        <v>31</v>
      </c>
      <c r="K7" s="6">
        <v>4300062130</v>
      </c>
      <c r="L7" s="2">
        <f t="shared" si="0"/>
        <v>4300062130</v>
      </c>
      <c r="M7" s="1" t="s">
        <v>51</v>
      </c>
      <c r="N7" s="2" t="s">
        <v>4</v>
      </c>
      <c r="O7" s="2" t="s">
        <v>59</v>
      </c>
      <c r="P7" s="2" t="s">
        <v>15</v>
      </c>
      <c r="Q7" s="5" t="str">
        <f t="shared" si="1"/>
        <v>Standard PO Retail 4300062130 changed</v>
      </c>
    </row>
    <row r="8">
      <c r="A8" s="4">
        <v>7</v>
      </c>
      <c r="B8" s="4" t="s">
        <v>6</v>
      </c>
      <c r="C8" s="3" t="s">
        <v>56</v>
      </c>
      <c r="D8" s="3" t="s">
        <v>30</v>
      </c>
      <c r="E8" s="3" t="s">
        <v>11</v>
      </c>
      <c r="F8" s="3" t="s">
        <v>36</v>
      </c>
      <c r="G8" s="3" t="s">
        <v>47</v>
      </c>
      <c r="H8" s="1" t="s">
        <v>24</v>
      </c>
      <c r="I8" s="1" t="s">
        <v>31</v>
      </c>
      <c r="J8" s="1" t="s">
        <v>31</v>
      </c>
      <c r="K8" s="6">
        <v>4300062130</v>
      </c>
      <c r="L8" s="2">
        <f t="shared" si="0"/>
        <v>4300062130</v>
      </c>
      <c r="M8" s="1" t="s">
        <v>51</v>
      </c>
      <c r="N8" s="2" t="s">
        <v>4</v>
      </c>
      <c r="O8" s="2" t="s">
        <v>59</v>
      </c>
      <c r="P8" s="2" t="s">
        <v>15</v>
      </c>
      <c r="Q8" s="5" t="str">
        <f t="shared" si="1"/>
        <v>Standard PO Retail 4300062130 changed</v>
      </c>
    </row>
    <row r="9">
      <c r="A9" s="4">
        <v>8</v>
      </c>
      <c r="B9" s="1"/>
      <c r="C9" s="1"/>
      <c r="D9" s="1"/>
      <c r="E9" s="3" t="s">
        <v>11</v>
      </c>
      <c r="F9" s="3" t="s">
        <v>36</v>
      </c>
      <c r="G9" s="1"/>
      <c r="H9" s="1"/>
      <c r="I9" s="1"/>
      <c r="J9" s="1"/>
      <c r="K9" s="1"/>
      <c r="L9" s="1"/>
      <c r="M9" s="1"/>
      <c r="N9" s="1"/>
      <c r="O9" s="1"/>
      <c r="P9" s="10"/>
      <c r="Q9" s="7"/>
    </row>
    <row r="10">
      <c r="A10" s="4">
        <v>9</v>
      </c>
      <c r="B10" s="4" t="s">
        <v>52</v>
      </c>
      <c r="C10" s="3" t="s">
        <v>56</v>
      </c>
      <c r="D10" s="3" t="s">
        <v>30</v>
      </c>
      <c r="E10" s="3" t="s">
        <v>11</v>
      </c>
      <c r="F10" s="3" t="s">
        <v>36</v>
      </c>
      <c r="G10" s="3" t="s">
        <v>47</v>
      </c>
      <c r="H10" s="1" t="s">
        <v>24</v>
      </c>
      <c r="I10" s="1" t="s">
        <v>31</v>
      </c>
      <c r="J10" s="1" t="s">
        <v>31</v>
      </c>
      <c r="K10" s="6">
        <v>4309530370</v>
      </c>
      <c r="L10" s="2">
        <f t="shared" si="2" ref="L10:L11">K10</f>
        <v>4309530370</v>
      </c>
      <c r="M10" s="1">
        <v>10</v>
      </c>
      <c r="N10" s="2" t="s">
        <v>4</v>
      </c>
      <c r="O10" s="2" t="s">
        <v>59</v>
      </c>
      <c r="P10" s="2" t="s">
        <v>15</v>
      </c>
      <c r="Q10" s="5" t="str">
        <f t="shared" si="3" ref="Q10:Q11">CONCATENATE("Standard PO Retail ",K10," changed")</f>
        <v>Standard PO Retail 4309530370 changed</v>
      </c>
    </row>
    <row r="11">
      <c r="A11" s="4">
        <v>10</v>
      </c>
      <c r="B11" s="4" t="s">
        <v>28</v>
      </c>
      <c r="C11" s="3" t="s">
        <v>56</v>
      </c>
      <c r="D11" s="3" t="s">
        <v>30</v>
      </c>
      <c r="E11" s="3" t="s">
        <v>11</v>
      </c>
      <c r="F11" s="3" t="s">
        <v>36</v>
      </c>
      <c r="G11" s="3" t="s">
        <v>47</v>
      </c>
      <c r="H11" s="1" t="s">
        <v>24</v>
      </c>
      <c r="I11" s="1" t="s">
        <v>31</v>
      </c>
      <c r="J11" s="1" t="s">
        <v>31</v>
      </c>
      <c r="K11" s="6">
        <v>4309528419</v>
      </c>
      <c r="L11" s="2">
        <f t="shared" si="2"/>
        <v>4309528419</v>
      </c>
      <c r="M11" s="1">
        <v>10</v>
      </c>
      <c r="N11" s="2" t="s">
        <v>4</v>
      </c>
      <c r="O11" s="2" t="s">
        <v>59</v>
      </c>
      <c r="P11" s="2" t="s">
        <v>15</v>
      </c>
      <c r="Q11" s="5" t="str">
        <f t="shared" si="3"/>
        <v>Standard PO Retail 4309528419 changed</v>
      </c>
    </row>
    <row r="12">
      <c r="A12" s="4">
        <v>11</v>
      </c>
      <c r="B12" s="1"/>
      <c r="C12" s="1"/>
      <c r="D12" s="1"/>
      <c r="E12" s="3" t="s">
        <v>11</v>
      </c>
      <c r="F12" s="3" t="s">
        <v>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7"/>
    </row>
    <row r="13">
      <c r="A13" s="4">
        <v>12</v>
      </c>
      <c r="B13" s="4" t="s">
        <v>7</v>
      </c>
      <c r="C13" s="3" t="s">
        <v>56</v>
      </c>
      <c r="D13" s="3" t="s">
        <v>30</v>
      </c>
      <c r="E13" s="3" t="s">
        <v>11</v>
      </c>
      <c r="F13" s="3" t="s">
        <v>36</v>
      </c>
      <c r="G13" s="3" t="s">
        <v>47</v>
      </c>
      <c r="H13" s="1" t="s">
        <v>24</v>
      </c>
      <c r="I13" s="1" t="s">
        <v>31</v>
      </c>
      <c r="J13" s="1" t="s">
        <v>31</v>
      </c>
      <c r="K13" s="6">
        <v>4301261288</v>
      </c>
      <c r="L13" s="2">
        <f t="shared" si="4" ref="L13:L14">K13</f>
        <v>4301261288</v>
      </c>
      <c r="M13" s="1" t="s">
        <v>51</v>
      </c>
      <c r="N13" s="2" t="s">
        <v>4</v>
      </c>
      <c r="O13" s="2" t="s">
        <v>59</v>
      </c>
      <c r="P13" s="2" t="s">
        <v>15</v>
      </c>
      <c r="Q13" s="5" t="str">
        <f t="shared" si="5" ref="Q13:Q14">CONCATENATE("Standard PO Retail ",K13," changed")</f>
        <v>Standard PO Retail 4301261288 changed</v>
      </c>
    </row>
    <row r="14">
      <c r="A14" s="4">
        <v>13</v>
      </c>
      <c r="B14" s="4" t="s">
        <v>46</v>
      </c>
      <c r="C14" s="3" t="s">
        <v>56</v>
      </c>
      <c r="D14" s="3" t="s">
        <v>30</v>
      </c>
      <c r="E14" s="3" t="s">
        <v>11</v>
      </c>
      <c r="F14" s="3" t="s">
        <v>36</v>
      </c>
      <c r="G14" s="3" t="s">
        <v>47</v>
      </c>
      <c r="H14" s="1" t="s">
        <v>24</v>
      </c>
      <c r="I14" s="1" t="s">
        <v>31</v>
      </c>
      <c r="J14" s="1" t="s">
        <v>31</v>
      </c>
      <c r="K14" s="6">
        <v>4301261383</v>
      </c>
      <c r="L14" s="2">
        <f t="shared" si="4"/>
        <v>4301261383</v>
      </c>
      <c r="M14" s="1" t="s">
        <v>51</v>
      </c>
      <c r="N14" s="2" t="s">
        <v>4</v>
      </c>
      <c r="O14" s="2" t="s">
        <v>59</v>
      </c>
      <c r="P14" s="2" t="s">
        <v>15</v>
      </c>
      <c r="Q14" s="5" t="str">
        <f t="shared" si="5"/>
        <v>Standard PO Retail 4301261383 changed</v>
      </c>
    </row>
    <row r="15">
      <c r="A15" s="4">
        <v>14</v>
      </c>
      <c r="B15" s="1"/>
      <c r="C15" s="1"/>
      <c r="D15" s="1"/>
      <c r="E15" s="3" t="s">
        <v>11</v>
      </c>
      <c r="F15" s="3" t="s">
        <v>36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7"/>
    </row>
    <row r="16">
      <c r="A16" s="4">
        <v>15</v>
      </c>
      <c r="B16" s="4" t="s">
        <v>55</v>
      </c>
      <c r="C16" s="3" t="s">
        <v>56</v>
      </c>
      <c r="D16" s="3" t="s">
        <v>30</v>
      </c>
      <c r="E16" s="3" t="s">
        <v>11</v>
      </c>
      <c r="F16" s="3" t="s">
        <v>36</v>
      </c>
      <c r="G16" s="3" t="s">
        <v>47</v>
      </c>
      <c r="H16" s="1" t="s">
        <v>24</v>
      </c>
      <c r="I16" s="1" t="s">
        <v>31</v>
      </c>
      <c r="J16" s="1" t="s">
        <v>31</v>
      </c>
      <c r="K16" s="6">
        <v>4301261296</v>
      </c>
      <c r="L16" s="2">
        <f t="shared" si="6" ref="L16:L17">K16</f>
        <v>4301261296</v>
      </c>
      <c r="M16" s="1" t="s">
        <v>51</v>
      </c>
      <c r="N16" s="2" t="s">
        <v>4</v>
      </c>
      <c r="O16" s="2" t="s">
        <v>59</v>
      </c>
      <c r="P16" s="2" t="s">
        <v>15</v>
      </c>
      <c r="Q16" s="5" t="str">
        <f t="shared" si="7" ref="Q16:Q17">CONCATENATE("Standard PO Retail ",K16," changed")</f>
        <v>Standard PO Retail 4301261296 changed</v>
      </c>
    </row>
    <row r="17">
      <c r="A17" s="4">
        <v>16</v>
      </c>
      <c r="B17" s="4" t="s">
        <v>61</v>
      </c>
      <c r="C17" s="3" t="s">
        <v>56</v>
      </c>
      <c r="D17" s="3" t="s">
        <v>30</v>
      </c>
      <c r="E17" s="3" t="s">
        <v>11</v>
      </c>
      <c r="F17" s="3" t="s">
        <v>36</v>
      </c>
      <c r="G17" s="3" t="s">
        <v>47</v>
      </c>
      <c r="H17" s="1" t="s">
        <v>24</v>
      </c>
      <c r="I17" s="1" t="s">
        <v>31</v>
      </c>
      <c r="J17" s="1" t="s">
        <v>31</v>
      </c>
      <c r="K17" s="6">
        <v>4301261390</v>
      </c>
      <c r="L17" s="2">
        <f t="shared" si="6"/>
        <v>4301261390</v>
      </c>
      <c r="M17" s="1" t="s">
        <v>51</v>
      </c>
      <c r="N17" s="2" t="s">
        <v>4</v>
      </c>
      <c r="O17" s="2" t="s">
        <v>59</v>
      </c>
      <c r="P17" s="2" t="s">
        <v>15</v>
      </c>
      <c r="Q17" s="5" t="str">
        <f t="shared" si="7"/>
        <v>Standard PO Retail 4301261390 changed</v>
      </c>
    </row>
    <row r="18">
      <c r="A18" s="4">
        <v>17</v>
      </c>
      <c r="B18" s="1"/>
      <c r="C18" s="1"/>
      <c r="D18" s="1"/>
      <c r="E18" s="3" t="s">
        <v>11</v>
      </c>
      <c r="F18" s="3" t="s">
        <v>36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7"/>
    </row>
    <row r="19">
      <c r="A19" s="4">
        <v>18</v>
      </c>
      <c r="B19" s="4" t="s">
        <v>53</v>
      </c>
      <c r="C19" s="3" t="s">
        <v>56</v>
      </c>
      <c r="D19" s="3" t="s">
        <v>30</v>
      </c>
      <c r="E19" s="3" t="s">
        <v>11</v>
      </c>
      <c r="F19" s="3" t="s">
        <v>36</v>
      </c>
      <c r="G19" s="3" t="s">
        <v>47</v>
      </c>
      <c r="H19" s="1" t="s">
        <v>24</v>
      </c>
      <c r="I19" s="1" t="s">
        <v>31</v>
      </c>
      <c r="J19" s="1" t="s">
        <v>31</v>
      </c>
      <c r="K19" s="6">
        <v>4301261303</v>
      </c>
      <c r="L19" s="2">
        <f t="shared" si="8" ref="L19:L20">K19</f>
        <v>4301261303</v>
      </c>
      <c r="M19" s="1" t="s">
        <v>51</v>
      </c>
      <c r="N19" s="2" t="s">
        <v>4</v>
      </c>
      <c r="O19" s="2" t="s">
        <v>59</v>
      </c>
      <c r="P19" s="2" t="s">
        <v>15</v>
      </c>
      <c r="Q19" s="5" t="str">
        <f t="shared" si="9" ref="Q19:Q20">CONCATENATE("Standard PO Retail ",K19," changed")</f>
        <v>Standard PO Retail 4301261303 changed</v>
      </c>
    </row>
    <row r="20">
      <c r="A20" s="4">
        <v>19</v>
      </c>
      <c r="B20" s="4" t="s">
        <v>18</v>
      </c>
      <c r="C20" s="3" t="s">
        <v>56</v>
      </c>
      <c r="D20" s="3" t="s">
        <v>30</v>
      </c>
      <c r="E20" s="3" t="s">
        <v>11</v>
      </c>
      <c r="F20" s="3" t="s">
        <v>36</v>
      </c>
      <c r="G20" s="3" t="s">
        <v>47</v>
      </c>
      <c r="H20" s="1" t="s">
        <v>24</v>
      </c>
      <c r="I20" s="1" t="s">
        <v>31</v>
      </c>
      <c r="J20" s="1" t="s">
        <v>31</v>
      </c>
      <c r="K20" s="6">
        <v>4301261401</v>
      </c>
      <c r="L20" s="2">
        <f t="shared" si="8"/>
        <v>4301261401</v>
      </c>
      <c r="M20" s="1" t="s">
        <v>51</v>
      </c>
      <c r="N20" s="2" t="s">
        <v>4</v>
      </c>
      <c r="O20" s="2" t="s">
        <v>59</v>
      </c>
      <c r="P20" s="2" t="s">
        <v>15</v>
      </c>
      <c r="Q20" s="5" t="str">
        <f t="shared" si="9"/>
        <v>Standard PO Retail 4301261401 changed</v>
      </c>
    </row>
    <row r="21">
      <c r="A21" s="4">
        <v>20</v>
      </c>
      <c r="B21" s="1"/>
      <c r="C21" s="1"/>
      <c r="D21" s="1"/>
      <c r="E21" s="3" t="s">
        <v>11</v>
      </c>
      <c r="F21" s="3" t="s">
        <v>36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7"/>
    </row>
    <row r="22">
      <c r="A22" s="4">
        <v>21</v>
      </c>
      <c r="B22" s="4" t="s">
        <v>54</v>
      </c>
      <c r="C22" s="3" t="s">
        <v>56</v>
      </c>
      <c r="D22" s="3" t="s">
        <v>30</v>
      </c>
      <c r="E22" s="3" t="s">
        <v>11</v>
      </c>
      <c r="F22" s="3" t="s">
        <v>36</v>
      </c>
      <c r="G22" s="3" t="s">
        <v>47</v>
      </c>
      <c r="H22" s="1" t="s">
        <v>24</v>
      </c>
      <c r="I22" s="1" t="s">
        <v>31</v>
      </c>
      <c r="J22" s="1" t="s">
        <v>31</v>
      </c>
      <c r="K22" s="6">
        <v>4301261313</v>
      </c>
      <c r="L22" s="2">
        <f t="shared" si="10" ref="L22:L23">K22</f>
        <v>4301261313</v>
      </c>
      <c r="M22" s="1" t="s">
        <v>51</v>
      </c>
      <c r="N22" s="2" t="s">
        <v>4</v>
      </c>
      <c r="O22" s="2" t="s">
        <v>59</v>
      </c>
      <c r="P22" s="2" t="s">
        <v>15</v>
      </c>
      <c r="Q22" s="5" t="str">
        <f t="shared" si="11" ref="Q22:Q23">CONCATENATE("Standard PO Retail ",K22," changed")</f>
        <v>Standard PO Retail 4301261313 changed</v>
      </c>
    </row>
    <row r="23">
      <c r="A23" s="4">
        <v>22</v>
      </c>
      <c r="B23" s="4" t="s">
        <v>19</v>
      </c>
      <c r="C23" s="3" t="s">
        <v>56</v>
      </c>
      <c r="D23" s="3" t="s">
        <v>30</v>
      </c>
      <c r="E23" s="3" t="s">
        <v>11</v>
      </c>
      <c r="F23" s="3" t="s">
        <v>36</v>
      </c>
      <c r="G23" s="3" t="s">
        <v>47</v>
      </c>
      <c r="H23" s="1" t="s">
        <v>24</v>
      </c>
      <c r="I23" s="1" t="s">
        <v>31</v>
      </c>
      <c r="J23" s="1" t="s">
        <v>31</v>
      </c>
      <c r="K23" s="6">
        <v>4301261397</v>
      </c>
      <c r="L23" s="2">
        <f t="shared" si="10"/>
        <v>4301261397</v>
      </c>
      <c r="M23" s="1" t="s">
        <v>51</v>
      </c>
      <c r="N23" s="2" t="s">
        <v>4</v>
      </c>
      <c r="O23" s="2" t="s">
        <v>59</v>
      </c>
      <c r="P23" s="2" t="s">
        <v>15</v>
      </c>
      <c r="Q23" s="5" t="str">
        <f t="shared" si="11"/>
        <v>Standard PO Retail 4301261397 changed</v>
      </c>
    </row>
    <row r="24">
      <c r="A24" s="4">
        <v>23</v>
      </c>
      <c r="B24" s="1"/>
      <c r="C24" s="1"/>
      <c r="D24" s="1"/>
      <c r="E24" s="3" t="s">
        <v>11</v>
      </c>
      <c r="F24" s="3" t="s">
        <v>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7"/>
    </row>
    <row r="25">
      <c r="A25" s="4">
        <v>24</v>
      </c>
      <c r="B25" s="4" t="s">
        <v>8</v>
      </c>
      <c r="C25" s="3" t="s">
        <v>56</v>
      </c>
      <c r="D25" s="3" t="s">
        <v>30</v>
      </c>
      <c r="E25" s="3" t="s">
        <v>11</v>
      </c>
      <c r="F25" s="3" t="s">
        <v>36</v>
      </c>
      <c r="G25" s="3" t="s">
        <v>47</v>
      </c>
      <c r="H25" s="1" t="s">
        <v>24</v>
      </c>
      <c r="I25" s="1" t="s">
        <v>31</v>
      </c>
      <c r="J25" s="1" t="s">
        <v>31</v>
      </c>
      <c r="K25" s="6">
        <v>4301261327</v>
      </c>
      <c r="L25" s="2">
        <f t="shared" si="12" ref="L25:L26">K25</f>
        <v>4301261327</v>
      </c>
      <c r="M25" s="1" t="s">
        <v>51</v>
      </c>
      <c r="N25" s="2" t="s">
        <v>4</v>
      </c>
      <c r="O25" s="2" t="s">
        <v>59</v>
      </c>
      <c r="P25" s="2" t="s">
        <v>15</v>
      </c>
      <c r="Q25" s="5" t="str">
        <f t="shared" si="13" ref="Q25:Q26">CONCATENATE("Standard PO Retail ",K25," changed")</f>
        <v>Standard PO Retail 4301261327 changed</v>
      </c>
    </row>
    <row r="26">
      <c r="A26" s="4">
        <v>25</v>
      </c>
      <c r="B26" s="4" t="s">
        <v>20</v>
      </c>
      <c r="C26" s="3" t="s">
        <v>56</v>
      </c>
      <c r="D26" s="3" t="s">
        <v>30</v>
      </c>
      <c r="E26" s="3" t="s">
        <v>11</v>
      </c>
      <c r="F26" s="3" t="s">
        <v>36</v>
      </c>
      <c r="G26" s="3" t="s">
        <v>47</v>
      </c>
      <c r="H26" s="1" t="s">
        <v>24</v>
      </c>
      <c r="I26" s="1" t="s">
        <v>31</v>
      </c>
      <c r="J26" s="1" t="s">
        <v>31</v>
      </c>
      <c r="K26" s="6">
        <v>4301261409</v>
      </c>
      <c r="L26" s="2">
        <f t="shared" si="12"/>
        <v>4301261409</v>
      </c>
      <c r="M26" s="1" t="s">
        <v>51</v>
      </c>
      <c r="N26" s="2" t="s">
        <v>4</v>
      </c>
      <c r="O26" s="2" t="s">
        <v>59</v>
      </c>
      <c r="P26" s="2" t="s">
        <v>15</v>
      </c>
      <c r="Q26" s="5" t="str">
        <f t="shared" si="13"/>
        <v>Standard PO Retail 4301261409 changed</v>
      </c>
    </row>
    <row r="27">
      <c r="A27" s="4">
        <v>26</v>
      </c>
      <c r="B27" s="1"/>
      <c r="C27" s="1"/>
      <c r="D27" s="1"/>
      <c r="E27" s="3" t="s">
        <v>11</v>
      </c>
      <c r="F27" s="3" t="s">
        <v>36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7"/>
    </row>
    <row r="28">
      <c r="A28" s="4">
        <v>27</v>
      </c>
      <c r="B28" s="4" t="s">
        <v>62</v>
      </c>
      <c r="C28" s="3" t="s">
        <v>56</v>
      </c>
      <c r="D28" s="3" t="s">
        <v>30</v>
      </c>
      <c r="E28" s="3" t="s">
        <v>11</v>
      </c>
      <c r="F28" s="3" t="s">
        <v>36</v>
      </c>
      <c r="G28" s="3" t="s">
        <v>47</v>
      </c>
      <c r="H28" s="1" t="s">
        <v>24</v>
      </c>
      <c r="I28" s="1" t="s">
        <v>31</v>
      </c>
      <c r="J28" s="1" t="s">
        <v>31</v>
      </c>
      <c r="K28" s="6">
        <v>4301261336</v>
      </c>
      <c r="L28" s="2">
        <f t="shared" si="14" ref="L28:L29">K28</f>
        <v>4301261336</v>
      </c>
      <c r="M28" s="1" t="s">
        <v>51</v>
      </c>
      <c r="N28" s="2" t="s">
        <v>4</v>
      </c>
      <c r="O28" s="2" t="s">
        <v>59</v>
      </c>
      <c r="P28" s="2" t="s">
        <v>15</v>
      </c>
      <c r="Q28" s="5" t="str">
        <f t="shared" si="15" ref="Q28:Q29">CONCATENATE("Standard PO Retail ",K28," changed")</f>
        <v>Standard PO Retail 4301261336 changed</v>
      </c>
    </row>
    <row r="29">
      <c r="A29" s="4">
        <v>28</v>
      </c>
      <c r="B29" s="4" t="s">
        <v>0</v>
      </c>
      <c r="C29" s="3" t="s">
        <v>56</v>
      </c>
      <c r="D29" s="3" t="s">
        <v>30</v>
      </c>
      <c r="E29" s="3" t="s">
        <v>11</v>
      </c>
      <c r="F29" s="3" t="s">
        <v>36</v>
      </c>
      <c r="G29" s="3" t="s">
        <v>47</v>
      </c>
      <c r="H29" s="1" t="s">
        <v>24</v>
      </c>
      <c r="I29" s="1" t="s">
        <v>31</v>
      </c>
      <c r="J29" s="1" t="s">
        <v>31</v>
      </c>
      <c r="K29" s="6">
        <v>4301261415</v>
      </c>
      <c r="L29" s="2">
        <f t="shared" si="14"/>
        <v>4301261415</v>
      </c>
      <c r="M29" s="1" t="s">
        <v>51</v>
      </c>
      <c r="N29" s="2" t="s">
        <v>4</v>
      </c>
      <c r="O29" s="2" t="s">
        <v>59</v>
      </c>
      <c r="P29" s="2" t="s">
        <v>15</v>
      </c>
      <c r="Q29" s="5" t="str">
        <f t="shared" si="15"/>
        <v>Standard PO Retail 4301261415 changed</v>
      </c>
    </row>
    <row r="30">
      <c r="A30" s="4">
        <v>29</v>
      </c>
      <c r="B30" s="1"/>
      <c r="C30" s="1"/>
      <c r="D30" s="1"/>
      <c r="E30" s="3" t="s">
        <v>11</v>
      </c>
      <c r="F30" s="3" t="s">
        <v>36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7"/>
    </row>
    <row r="31">
      <c r="A31" s="4">
        <v>30</v>
      </c>
      <c r="B31" s="4" t="s">
        <v>21</v>
      </c>
      <c r="C31" s="3" t="s">
        <v>56</v>
      </c>
      <c r="D31" s="3" t="s">
        <v>30</v>
      </c>
      <c r="E31" s="3" t="s">
        <v>11</v>
      </c>
      <c r="F31" s="3" t="s">
        <v>36</v>
      </c>
      <c r="G31" s="3" t="s">
        <v>47</v>
      </c>
      <c r="H31" s="1" t="s">
        <v>24</v>
      </c>
      <c r="I31" s="1" t="s">
        <v>31</v>
      </c>
      <c r="J31" s="1" t="s">
        <v>31</v>
      </c>
      <c r="K31" s="6">
        <v>5000002938</v>
      </c>
      <c r="L31" s="2">
        <f t="shared" si="16" ref="L31:L32">K31</f>
        <v>5000002938</v>
      </c>
      <c r="M31" s="1" t="s">
        <v>51</v>
      </c>
      <c r="N31" s="2" t="s">
        <v>4</v>
      </c>
      <c r="O31" s="2" t="s">
        <v>59</v>
      </c>
      <c r="P31" s="2" t="s">
        <v>15</v>
      </c>
      <c r="Q31" s="5" t="str">
        <f>CONCATENATE("VMI PO (CRP) ",K31," changed")</f>
        <v>VMI PO (CRP) 5000002938 changed</v>
      </c>
    </row>
    <row r="32">
      <c r="A32" s="4">
        <v>31</v>
      </c>
      <c r="B32" s="4" t="s">
        <v>22</v>
      </c>
      <c r="C32" s="3" t="s">
        <v>56</v>
      </c>
      <c r="D32" s="3" t="s">
        <v>30</v>
      </c>
      <c r="E32" s="3" t="s">
        <v>11</v>
      </c>
      <c r="F32" s="3" t="s">
        <v>36</v>
      </c>
      <c r="G32" s="3" t="s">
        <v>47</v>
      </c>
      <c r="H32" s="1" t="s">
        <v>24</v>
      </c>
      <c r="I32" s="1" t="s">
        <v>31</v>
      </c>
      <c r="J32" s="1" t="s">
        <v>31</v>
      </c>
      <c r="K32" s="6">
        <v>4300062986</v>
      </c>
      <c r="L32" s="2">
        <f t="shared" si="16"/>
        <v>4300062986</v>
      </c>
      <c r="M32" s="1" t="s">
        <v>51</v>
      </c>
      <c r="N32" s="2" t="s">
        <v>4</v>
      </c>
      <c r="O32" s="2" t="s">
        <v>59</v>
      </c>
      <c r="P32" s="2" t="s">
        <v>15</v>
      </c>
      <c r="Q32" s="5" t="str">
        <f>CONCATENATE("Standard PO Retail ",K32," changed")</f>
        <v>Standard PO Retail 4300062986 changed</v>
      </c>
    </row>
    <row r="33">
      <c r="A33" s="4">
        <v>32</v>
      </c>
      <c r="B33" s="1"/>
      <c r="C33" s="1"/>
      <c r="D33" s="1"/>
      <c r="E33" s="3" t="s">
        <v>11</v>
      </c>
      <c r="F33" s="3" t="s">
        <v>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7"/>
    </row>
    <row r="34">
      <c r="A34" s="4">
        <v>33</v>
      </c>
      <c r="B34" s="4" t="s">
        <v>48</v>
      </c>
      <c r="C34" s="3" t="s">
        <v>56</v>
      </c>
      <c r="D34" s="3" t="s">
        <v>30</v>
      </c>
      <c r="E34" s="3" t="s">
        <v>11</v>
      </c>
      <c r="F34" s="3" t="s">
        <v>36</v>
      </c>
      <c r="G34" s="3" t="s">
        <v>47</v>
      </c>
      <c r="H34" s="1" t="s">
        <v>24</v>
      </c>
      <c r="I34" s="1" t="s">
        <v>31</v>
      </c>
      <c r="J34" s="1" t="s">
        <v>31</v>
      </c>
      <c r="K34" s="6">
        <v>4309528508</v>
      </c>
      <c r="L34" s="2">
        <f t="shared" si="17" ref="L34:L35">K34</f>
        <v>4309528508</v>
      </c>
      <c r="M34" s="1" t="s">
        <v>51</v>
      </c>
      <c r="N34" s="2" t="s">
        <v>4</v>
      </c>
      <c r="O34" s="2" t="s">
        <v>59</v>
      </c>
      <c r="P34" s="2" t="s">
        <v>15</v>
      </c>
      <c r="Q34" s="5" t="str">
        <f t="shared" si="18" ref="Q34:Q35">CONCATENATE("Standard PO Retail ",K34," changed")</f>
        <v>Standard PO Retail 4309528508 changed</v>
      </c>
    </row>
    <row r="35">
      <c r="A35" s="4">
        <v>34</v>
      </c>
      <c r="B35" s="4" t="s">
        <v>65</v>
      </c>
      <c r="C35" s="3" t="s">
        <v>56</v>
      </c>
      <c r="D35" s="3" t="s">
        <v>30</v>
      </c>
      <c r="E35" s="3" t="s">
        <v>11</v>
      </c>
      <c r="F35" s="3" t="s">
        <v>36</v>
      </c>
      <c r="G35" s="3" t="s">
        <v>47</v>
      </c>
      <c r="H35" s="1" t="s">
        <v>24</v>
      </c>
      <c r="I35" s="1" t="s">
        <v>31</v>
      </c>
      <c r="J35" s="1" t="s">
        <v>31</v>
      </c>
      <c r="K35" s="6">
        <v>4309528322</v>
      </c>
      <c r="L35" s="2">
        <f t="shared" si="17"/>
        <v>4309528322</v>
      </c>
      <c r="M35" s="1" t="s">
        <v>51</v>
      </c>
      <c r="N35" s="2" t="s">
        <v>4</v>
      </c>
      <c r="O35" s="2" t="s">
        <v>59</v>
      </c>
      <c r="P35" s="2" t="s">
        <v>15</v>
      </c>
      <c r="Q35" s="5" t="str">
        <f t="shared" si="18"/>
        <v>Standard PO Retail 4309528322 changed</v>
      </c>
    </row>
    <row r="36">
      <c r="A36" s="4">
        <v>35</v>
      </c>
      <c r="B36" s="1"/>
      <c r="C36" s="1"/>
      <c r="D36" s="1"/>
      <c r="E36" s="3" t="s">
        <v>11</v>
      </c>
      <c r="F36" s="3" t="s">
        <v>36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7"/>
    </row>
    <row r="37">
      <c r="A37" s="4">
        <v>36</v>
      </c>
      <c r="B37" s="4" t="s">
        <v>41</v>
      </c>
      <c r="C37" s="3" t="s">
        <v>56</v>
      </c>
      <c r="D37" s="3" t="s">
        <v>30</v>
      </c>
      <c r="E37" s="3" t="s">
        <v>11</v>
      </c>
      <c r="F37" s="3" t="s">
        <v>36</v>
      </c>
      <c r="G37" s="3" t="s">
        <v>47</v>
      </c>
      <c r="H37" s="1" t="s">
        <v>24</v>
      </c>
      <c r="I37" s="1" t="s">
        <v>31</v>
      </c>
      <c r="J37" s="1" t="s">
        <v>31</v>
      </c>
      <c r="K37" s="6">
        <v>4300062568</v>
      </c>
      <c r="L37" s="2">
        <f t="shared" si="19" ref="L37:L38">K37</f>
        <v>4300062568</v>
      </c>
      <c r="M37" s="1" t="s">
        <v>51</v>
      </c>
      <c r="N37" s="2" t="s">
        <v>4</v>
      </c>
      <c r="O37" s="2" t="s">
        <v>59</v>
      </c>
      <c r="P37" s="2" t="s">
        <v>15</v>
      </c>
      <c r="Q37" s="5" t="str">
        <f t="shared" si="20" ref="Q37:Q38">CONCATENATE("Standard PO Retail ",K37," changed")</f>
        <v>Standard PO Retail 4300062568 changed</v>
      </c>
    </row>
    <row r="38">
      <c r="A38" s="4">
        <v>37</v>
      </c>
      <c r="B38" s="4" t="s">
        <v>9</v>
      </c>
      <c r="C38" s="3" t="s">
        <v>56</v>
      </c>
      <c r="D38" s="3" t="s">
        <v>30</v>
      </c>
      <c r="E38" s="3" t="s">
        <v>11</v>
      </c>
      <c r="F38" s="3" t="s">
        <v>36</v>
      </c>
      <c r="G38" s="3" t="s">
        <v>47</v>
      </c>
      <c r="H38" s="1" t="s">
        <v>24</v>
      </c>
      <c r="I38" s="1" t="s">
        <v>31</v>
      </c>
      <c r="J38" s="1" t="s">
        <v>31</v>
      </c>
      <c r="K38" s="6">
        <v>4300062543</v>
      </c>
      <c r="L38" s="2">
        <f t="shared" si="19"/>
        <v>4300062543</v>
      </c>
      <c r="M38" s="1" t="s">
        <v>51</v>
      </c>
      <c r="N38" s="2" t="s">
        <v>4</v>
      </c>
      <c r="O38" s="2" t="s">
        <v>59</v>
      </c>
      <c r="P38" s="2" t="s">
        <v>15</v>
      </c>
      <c r="Q38" s="5" t="str">
        <f t="shared" si="20"/>
        <v>Standard PO Retail 4300062543 changed</v>
      </c>
    </row>
    <row r="39">
      <c r="A39" s="4">
        <v>38</v>
      </c>
      <c r="B39" s="1"/>
      <c r="C39" s="1"/>
      <c r="D39" s="1"/>
      <c r="E39" s="3" t="s">
        <v>11</v>
      </c>
      <c r="F39" s="3" t="s">
        <v>36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7"/>
    </row>
    <row r="40">
      <c r="A40" s="4">
        <v>39</v>
      </c>
      <c r="B40" s="4" t="s">
        <v>42</v>
      </c>
      <c r="C40" s="3" t="s">
        <v>56</v>
      </c>
      <c r="D40" s="3" t="s">
        <v>30</v>
      </c>
      <c r="E40" s="3" t="s">
        <v>11</v>
      </c>
      <c r="F40" s="3" t="s">
        <v>36</v>
      </c>
      <c r="G40" s="3" t="s">
        <v>47</v>
      </c>
      <c r="H40" s="1" t="s">
        <v>24</v>
      </c>
      <c r="I40" s="1" t="s">
        <v>31</v>
      </c>
      <c r="J40" s="1" t="s">
        <v>31</v>
      </c>
      <c r="K40" s="6">
        <v>4301261499</v>
      </c>
      <c r="L40" s="2">
        <f t="shared" si="21" ref="L40:L41">K40</f>
        <v>4301261499</v>
      </c>
      <c r="M40" s="1" t="s">
        <v>51</v>
      </c>
      <c r="N40" s="2" t="s">
        <v>4</v>
      </c>
      <c r="O40" s="2" t="s">
        <v>59</v>
      </c>
      <c r="P40" s="2" t="s">
        <v>15</v>
      </c>
      <c r="Q40" s="5" t="str">
        <f t="shared" si="22" ref="Q40:Q41">CONCATENATE("Standard PO Retail ",K40," changed")</f>
        <v>Standard PO Retail 4301261499 changed</v>
      </c>
    </row>
    <row r="41">
      <c r="A41" s="4">
        <v>40</v>
      </c>
      <c r="B41" s="4"/>
      <c r="C41" s="3" t="s">
        <v>56</v>
      </c>
      <c r="D41" s="3" t="s">
        <v>30</v>
      </c>
      <c r="E41" s="3" t="s">
        <v>11</v>
      </c>
      <c r="F41" s="3" t="s">
        <v>36</v>
      </c>
      <c r="G41" s="3" t="s">
        <v>47</v>
      </c>
      <c r="H41" s="1" t="s">
        <v>24</v>
      </c>
      <c r="I41" s="1" t="s">
        <v>31</v>
      </c>
      <c r="J41" s="1" t="s">
        <v>31</v>
      </c>
      <c r="K41" s="6">
        <v>4300062543</v>
      </c>
      <c r="L41" s="2">
        <f t="shared" si="21"/>
        <v>4300062543</v>
      </c>
      <c r="M41" s="1" t="s">
        <v>51</v>
      </c>
      <c r="N41" s="2" t="s">
        <v>4</v>
      </c>
      <c r="O41" s="2" t="s">
        <v>59</v>
      </c>
      <c r="P41" s="2" t="s">
        <v>15</v>
      </c>
      <c r="Q41" s="5" t="str">
        <f t="shared" si="22"/>
        <v>Standard PO Retail 4300062543 changed</v>
      </c>
    </row>
    <row r="42">
      <c r="A42" s="4">
        <v>41</v>
      </c>
      <c r="B42" s="1"/>
      <c r="C42" s="1"/>
      <c r="D42" s="1"/>
      <c r="E42" s="3" t="s">
        <v>11</v>
      </c>
      <c r="F42" s="3" t="s">
        <v>36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</row>
    <row r="43">
      <c r="A43" s="4">
        <v>42</v>
      </c>
      <c r="B43" s="4" t="s">
        <v>34</v>
      </c>
      <c r="C43" s="3" t="s">
        <v>56</v>
      </c>
      <c r="D43" s="3" t="s">
        <v>30</v>
      </c>
      <c r="E43" s="3" t="s">
        <v>11</v>
      </c>
      <c r="F43" s="3" t="s">
        <v>36</v>
      </c>
      <c r="G43" s="3" t="s">
        <v>47</v>
      </c>
      <c r="H43" s="1" t="s">
        <v>24</v>
      </c>
      <c r="I43" s="1" t="s">
        <v>31</v>
      </c>
      <c r="J43" s="1" t="s">
        <v>31</v>
      </c>
      <c r="K43" s="6">
        <v>4301261367</v>
      </c>
      <c r="L43" s="2">
        <f t="shared" si="23" ref="L43:L44">K43</f>
        <v>4301261367</v>
      </c>
      <c r="M43" s="1" t="s">
        <v>51</v>
      </c>
      <c r="N43" s="2" t="s">
        <v>4</v>
      </c>
      <c r="O43" s="2" t="s">
        <v>59</v>
      </c>
      <c r="P43" s="2" t="s">
        <v>15</v>
      </c>
      <c r="Q43" s="5" t="str">
        <f t="shared" si="24" ref="Q43:Q44">CONCATENATE("Standard PO Retail ",K43," changed")</f>
        <v>Standard PO Retail 4301261367 changed</v>
      </c>
    </row>
    <row r="44">
      <c r="A44" s="4">
        <v>43</v>
      </c>
      <c r="B44" s="4"/>
      <c r="C44" s="3" t="s">
        <v>56</v>
      </c>
      <c r="D44" s="3" t="s">
        <v>30</v>
      </c>
      <c r="E44" s="3" t="s">
        <v>11</v>
      </c>
      <c r="F44" s="3" t="s">
        <v>36</v>
      </c>
      <c r="G44" s="3" t="s">
        <v>47</v>
      </c>
      <c r="H44" s="1" t="s">
        <v>24</v>
      </c>
      <c r="I44" s="1" t="s">
        <v>31</v>
      </c>
      <c r="J44" s="1" t="s">
        <v>31</v>
      </c>
      <c r="K44" s="6">
        <v>4300062543</v>
      </c>
      <c r="L44" s="2">
        <f t="shared" si="23"/>
        <v>4300062543</v>
      </c>
      <c r="M44" s="1" t="s">
        <v>51</v>
      </c>
      <c r="N44" s="2" t="s">
        <v>4</v>
      </c>
      <c r="O44" s="2" t="s">
        <v>59</v>
      </c>
      <c r="P44" s="2" t="s">
        <v>15</v>
      </c>
      <c r="Q44" s="5" t="str">
        <f t="shared" si="24"/>
        <v>Standard PO Retail 4300062543 changed</v>
      </c>
    </row>
    <row r="45">
      <c r="A45" s="4">
        <v>44</v>
      </c>
      <c r="B45" s="1"/>
      <c r="C45" s="1"/>
      <c r="D45" s="1"/>
      <c r="E45" s="3" t="s">
        <v>11</v>
      </c>
      <c r="F45" s="3" t="s">
        <v>36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7"/>
    </row>
    <row r="46">
      <c r="A46" s="4">
        <v>45</v>
      </c>
      <c r="B46" s="4" t="s">
        <v>1</v>
      </c>
      <c r="C46" s="3" t="s">
        <v>56</v>
      </c>
      <c r="D46" s="3" t="s">
        <v>30</v>
      </c>
      <c r="E46" s="3" t="s">
        <v>11</v>
      </c>
      <c r="F46" s="3" t="s">
        <v>36</v>
      </c>
      <c r="G46" s="3" t="s">
        <v>47</v>
      </c>
      <c r="H46" s="1" t="s">
        <v>24</v>
      </c>
      <c r="I46" s="1" t="s">
        <v>31</v>
      </c>
      <c r="J46" s="1" t="s">
        <v>31</v>
      </c>
      <c r="K46" s="6">
        <v>4300063047</v>
      </c>
      <c r="L46" s="2">
        <f t="shared" si="25" ref="L46:L47">K46</f>
        <v>4300063047</v>
      </c>
      <c r="M46" s="1" t="s">
        <v>51</v>
      </c>
      <c r="N46" s="2" t="s">
        <v>4</v>
      </c>
      <c r="O46" s="2" t="s">
        <v>59</v>
      </c>
      <c r="P46" s="2" t="s">
        <v>15</v>
      </c>
      <c r="Q46" s="5" t="str">
        <f t="shared" si="26" ref="Q46:Q47">CONCATENATE("Standard PO Retail ",K46," changed")</f>
        <v>Standard PO Retail 4300063047 changed</v>
      </c>
    </row>
    <row r="47">
      <c r="A47" s="4">
        <v>46</v>
      </c>
      <c r="B47" s="4" t="s">
        <v>23</v>
      </c>
      <c r="C47" s="3" t="s">
        <v>56</v>
      </c>
      <c r="D47" s="3" t="s">
        <v>30</v>
      </c>
      <c r="E47" s="3" t="s">
        <v>11</v>
      </c>
      <c r="F47" s="3" t="s">
        <v>36</v>
      </c>
      <c r="G47" s="3" t="s">
        <v>47</v>
      </c>
      <c r="H47" s="1" t="s">
        <v>24</v>
      </c>
      <c r="I47" s="1" t="s">
        <v>31</v>
      </c>
      <c r="J47" s="1" t="s">
        <v>31</v>
      </c>
      <c r="K47" s="6">
        <v>4300062543</v>
      </c>
      <c r="L47" s="2">
        <f t="shared" si="25"/>
        <v>4300062543</v>
      </c>
      <c r="M47" s="1" t="s">
        <v>51</v>
      </c>
      <c r="N47" s="2" t="s">
        <v>4</v>
      </c>
      <c r="O47" s="2" t="s">
        <v>59</v>
      </c>
      <c r="P47" s="2" t="s">
        <v>15</v>
      </c>
      <c r="Q47" s="5" t="str">
        <f t="shared" si="26"/>
        <v>Standard PO Retail 4300062543 changed</v>
      </c>
    </row>
    <row r="48">
      <c r="A48" s="4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7"/>
    </row>
    <row r="49">
      <c r="A49" s="4">
        <v>48</v>
      </c>
      <c r="B49" s="4" t="s">
        <v>29</v>
      </c>
      <c r="C49" s="3" t="s">
        <v>66</v>
      </c>
      <c r="D49" s="3" t="s">
        <v>30</v>
      </c>
      <c r="E49" s="3" t="s">
        <v>13</v>
      </c>
      <c r="F49" s="9" t="s">
        <v>49</v>
      </c>
      <c r="G49" s="3" t="s">
        <v>47</v>
      </c>
      <c r="H49" s="3" t="s">
        <v>24</v>
      </c>
      <c r="I49" s="1" t="s">
        <v>31</v>
      </c>
      <c r="J49" s="1" t="s">
        <v>31</v>
      </c>
      <c r="K49" s="6">
        <v>4300234947</v>
      </c>
      <c r="L49" s="2">
        <f>K49</f>
        <v>4300234947</v>
      </c>
      <c r="M49" s="1" t="s">
        <v>51</v>
      </c>
      <c r="N49" s="2" t="s">
        <v>4</v>
      </c>
      <c r="O49" s="2" t="s">
        <v>59</v>
      </c>
      <c r="P49" s="2" t="s">
        <v>15</v>
      </c>
      <c r="Q49" s="5" t="str">
        <f>CONCATENATE("Standard PO Retail ",K49," changed")</f>
        <v>Standard PO Retail 4300234947 changed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7"/>
    </row>
    <row r="51">
      <c r="A51" s="4">
        <v>50</v>
      </c>
      <c r="B51" s="4" t="s">
        <v>10</v>
      </c>
      <c r="C51" s="3" t="s">
        <v>38</v>
      </c>
      <c r="D51" s="3" t="s">
        <v>30</v>
      </c>
      <c r="E51" s="3" t="s">
        <v>57</v>
      </c>
      <c r="F51" s="9" t="s">
        <v>64</v>
      </c>
      <c r="G51" s="3" t="s">
        <v>47</v>
      </c>
      <c r="H51" s="1" t="s">
        <v>24</v>
      </c>
      <c r="I51" s="1" t="s">
        <v>31</v>
      </c>
      <c r="J51" s="1" t="s">
        <v>31</v>
      </c>
      <c r="K51" s="6">
        <v>4300012969</v>
      </c>
      <c r="L51" s="2">
        <f t="shared" si="27" ref="L51:L52">K51</f>
        <v>4300012969</v>
      </c>
      <c r="M51" s="1" t="s">
        <v>51</v>
      </c>
      <c r="N51" s="2" t="s">
        <v>4</v>
      </c>
      <c r="O51" s="2" t="s">
        <v>59</v>
      </c>
      <c r="P51" s="2" t="s">
        <v>15</v>
      </c>
      <c r="Q51" s="5" t="str">
        <f t="shared" si="28" ref="Q51:Q52">CONCATENATE("Standard PO Retail ",K51," changed")</f>
        <v>Standard PO Retail 4300012969 changed</v>
      </c>
    </row>
    <row r="52">
      <c r="A52" s="4">
        <v>51</v>
      </c>
      <c r="B52" s="4" t="s">
        <v>37</v>
      </c>
      <c r="C52" s="3" t="s">
        <v>38</v>
      </c>
      <c r="D52" s="3" t="s">
        <v>30</v>
      </c>
      <c r="E52" s="3" t="s">
        <v>57</v>
      </c>
      <c r="F52" s="9" t="s">
        <v>64</v>
      </c>
      <c r="G52" s="3" t="s">
        <v>47</v>
      </c>
      <c r="H52" s="1" t="s">
        <v>24</v>
      </c>
      <c r="I52" s="1" t="s">
        <v>31</v>
      </c>
      <c r="J52" s="1" t="s">
        <v>31</v>
      </c>
      <c r="K52" s="6">
        <v>4300013045</v>
      </c>
      <c r="L52" s="2">
        <f t="shared" si="27"/>
        <v>4300013045</v>
      </c>
      <c r="M52" s="1" t="s">
        <v>51</v>
      </c>
      <c r="N52" s="2" t="s">
        <v>4</v>
      </c>
      <c r="O52" s="2" t="s">
        <v>59</v>
      </c>
      <c r="P52" s="2" t="s">
        <v>15</v>
      </c>
      <c r="Q52" s="5" t="str">
        <f t="shared" si="28"/>
        <v>Standard PO Retail 4300013045 changed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