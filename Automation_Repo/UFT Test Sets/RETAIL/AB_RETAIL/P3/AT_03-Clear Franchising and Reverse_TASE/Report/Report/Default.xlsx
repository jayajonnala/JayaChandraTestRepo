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DT1_DataTransfer_OneValue" sheetId="3" r:id="rId3"/>
    <sheet name="DT2_DataTransfer_OneValue" sheetId="4" r:id="rId4"/>
    <sheet name="TC1_Test_02GR04_001_Loc" sheetId="5" r:id="rId5"/>
    <sheet name="TC2_Test_02GR04_001_Clear" sheetId="6" r:id="rId6"/>
    <sheet name="TC3_Test_02GR03_001_Clear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<sst xmlns="http://schemas.openxmlformats.org/spreadsheetml/2006/main" uniqueCount="60">
  <si>
    <t>Scripting</t>
  </si>
  <si>
    <t/>
  </si>
  <si>
    <t>DT_SAPTRANSACTIONCODE</t>
  </si>
  <si>
    <t>gr02</t>
  </si>
  <si>
    <t>5fe225d0456082020b824408337c7c87f62b51ff86a457a8</t>
  </si>
  <si>
    <t>Scenario</t>
  </si>
  <si>
    <t>%blank%</t>
  </si>
  <si>
    <t>DT_MR11_100_OKCD</t>
  </si>
  <si>
    <t>200</t>
  </si>
  <si>
    <t>ON</t>
  </si>
  <si>
    <t>DT_MR11_1000_PURCHASING_DOCUMENT</t>
  </si>
  <si>
    <t>DT_MR11_1000_TO</t>
  </si>
  <si>
    <t>DT_MR11_500_GRIDCELL_0_MESSAGE_TEXT_OCC2</t>
  </si>
  <si>
    <t>DT_MR11_100_VARIANT</t>
  </si>
  <si>
    <t>DT_EXPECTEDVALUE</t>
  </si>
  <si>
    <t>SESSION_MANAGER</t>
  </si>
  <si>
    <t>DT_IDOC_NUMBER</t>
  </si>
  <si>
    <t>DT_SAPSYSTEM</t>
  </si>
  <si>
    <t>RG2</t>
  </si>
  <si>
    <t>AUTOAB</t>
  </si>
  <si>
    <t>MR11</t>
  </si>
  <si>
    <t>Row_No</t>
  </si>
  <si>
    <t>RGS - SAP RETAIL Staging GLOBAL</t>
  </si>
  <si>
    <t>DT_SAPLANGUAGE</t>
  </si>
  <si>
    <t>DT_SAPOPTIONS</t>
  </si>
  <si>
    <t>DT_MR11_1000_QTY_VAR_LESS_THANEQUAL_TO</t>
  </si>
  <si>
    <t>0</t>
  </si>
  <si>
    <t>WE09</t>
  </si>
  <si>
    <t>DT_MR11_1000_LOGICAL_MESSAGE_OCC4</t>
  </si>
  <si>
    <t>DT_MR11_1000_FOR_VALUE_</t>
  </si>
  <si>
    <t>S</t>
  </si>
  <si>
    <t>5357b5f3d93536319381f29be85ab0e2660e6c8ed3cb</t>
  </si>
  <si>
    <t>DT_MR11_1000_INVOICE_SURPLUS</t>
  </si>
  <si>
    <t>DT_MR11_500_OKCD</t>
  </si>
  <si>
    <t>03-Clear Franchising and Reverse</t>
  </si>
  <si>
    <t>RSB</t>
  </si>
  <si>
    <t>exit</t>
  </si>
  <si>
    <t>DSM RG2</t>
  </si>
  <si>
    <t>ZMDIV_MR11</t>
  </si>
  <si>
    <t>EN</t>
  </si>
  <si>
    <t>DT_MR11_1000_COMPANY_CODE</t>
  </si>
  <si>
    <t>DT_MR11_500_GRIDCELL_0_MESSAGE_TEXT</t>
  </si>
  <si>
    <t>DT_EXPECTEDTRANSACTIONCODE_OCC2</t>
  </si>
  <si>
    <t>Document no. 9400921580 created</t>
  </si>
  <si>
    <t>DT_EXPECTEDTRANSACTIONCODE</t>
  </si>
  <si>
    <t>DT_MR11_1000_PURCHASE_ORDER_DATE</t>
  </si>
  <si>
    <t>DSM RSB</t>
  </si>
  <si>
    <t>R1E - SAP RETAIL Pre-Production EUROPE</t>
  </si>
  <si>
    <t>DT_SAPPASSWORD</t>
  </si>
  <si>
    <t>CMF_TEXT</t>
  </si>
  <si>
    <t>/ZMDIV_MIRO</t>
  </si>
  <si>
    <t>DT_MSG_TEXT_OUTPUT</t>
  </si>
  <si>
    <t>DT_SAPUSER</t>
  </si>
  <si>
    <t>rreye</t>
  </si>
  <si>
    <t>DT_MR11_500_GETCELLVALUE_OF_GRIDCELL_0_CMF_TEXT</t>
  </si>
  <si>
    <t>DT_MR11_100_CREATED_BY_OCC2</t>
  </si>
  <si>
    <t>DT_MR11_100_CHECK_TEXT_OF_TABLECELL_FLD_CONT_0</t>
  </si>
  <si>
    <t>DT_EXPECTEDTRANSACTIONCODE_OCC3</t>
  </si>
  <si>
    <t>DT_SAPCLIENT</t>
  </si>
  <si>
    <t>DT_MR11_1000_CHECK_TEXT_OF_LOGICAL_MESSAGE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</si>
</sst>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GR03_001_Clear_LocVend_Franch_Store_GR_DelivNot_cont_TradGoods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9"/>
  <sheetViews>
    <sheetView topLeftCell="H1" workbookViewId="0">
      <selection activeCell="H2" sqref="H2"/>
    </sheetView>
  </sheetViews>
  <sheetFormatPr defaultColWidth="9.125" defaultRowHeight="14.25"/>
  <cols>
    <col min="1" max="1" width="9.125" style="9" customWidth="1"/>
    <col min="2" max="2" width="28.875" style="9" customWidth="1"/>
    <col min="3" max="3" width="38.125" style="9" customWidth="1"/>
    <col min="4" max="4" width="15" style="9" customWidth="1"/>
    <col min="5" max="5" width="13.625" style="9" customWidth="1"/>
    <col min="6" max="6" width="50.5" style="9" customWidth="1"/>
    <col min="7" max="7" width="18.625" style="9" customWidth="1"/>
    <col min="8" max="8" width="16.75" style="9" customWidth="1"/>
    <col min="9" max="9" width="27.125" style="9" customWidth="1"/>
    <col min="10" max="10" width="33.375" style="9" customWidth="1"/>
    <col min="11" max="11" width="32.875" style="9" customWidth="1"/>
    <col min="12" max="12" width="31" style="9" customWidth="1"/>
    <col min="13" max="13" width="39.625" style="9" customWidth="1"/>
    <col min="14" max="14" width="39.75" style="9" customWidth="1"/>
    <col min="15" max="15" width="18.125" style="9" customWidth="1"/>
    <col min="16" max="16" width="46.125" style="9" customWidth="1"/>
    <col min="17" max="17" width="55.375" style="9" customWidth="1"/>
    <col min="18" max="18" width="41.625" style="9" customWidth="1"/>
    <col min="19" max="19" width="47.5" style="9" customWidth="1"/>
    <col min="20" max="20" width="19.625" style="9" customWidth="1"/>
    <col min="21" max="21" width="39.25" style="9" customWidth="1"/>
    <col min="22" max="22" width="32.875" style="9" customWidth="1"/>
    <col min="23" max="23" width="22.75" style="9" customWidth="1"/>
    <col min="24" max="24" width="39.25" style="9" customWidth="1"/>
    <col min="25" max="25" width="27.5" style="9" customWidth="1"/>
    <col min="26" max="26" width="50" style="9" customWidth="1"/>
    <col min="27" max="27" width="20.75" style="9" customWidth="1"/>
    <col min="28" max="28" width="54.375" style="9" customWidth="1"/>
    <col min="29" max="29" width="19.625" style="9" customWidth="1"/>
    <col min="30" max="30" width="39.25" style="9" customWidth="1"/>
    <col min="31" max="16384" width="9.125" style="9" customWidth="1"/>
  </cols>
  <sheetData>
    <row r="1" ht="12.75" customHeight="1" customFormat="1">
      <c r="A1" t="s">
        <v>21</v>
      </c>
      <c r="B1" t="s">
        <v>5</v>
      </c>
      <c r="C1" t="s">
        <v>17</v>
      </c>
      <c r="D1" t="s">
        <v>58</v>
      </c>
      <c r="E1" t="s">
        <v>52</v>
      </c>
      <c r="F1" t="s">
        <v>48</v>
      </c>
      <c r="G1" t="s">
        <v>23</v>
      </c>
      <c r="H1" t="s">
        <v>24</v>
      </c>
      <c r="I1" t="s">
        <v>2</v>
      </c>
      <c r="J1" t="s">
        <v>44</v>
      </c>
      <c r="K1" t="s">
        <v>32</v>
      </c>
      <c r="L1" t="s">
        <v>40</v>
      </c>
      <c r="M1" t="s">
        <v>10</v>
      </c>
      <c r="N1" t="s">
        <v>45</v>
      </c>
      <c r="O1" t="s">
        <v>11</v>
      </c>
      <c r="P1" t="s">
        <v>25</v>
      </c>
      <c r="Q1" t="s">
        <v>54</v>
      </c>
      <c r="R1" t="s">
        <v>41</v>
      </c>
      <c r="S1" t="s">
        <v>12</v>
      </c>
      <c r="T1" t="s">
        <v>33</v>
      </c>
      <c r="U1" t="s">
        <v>42</v>
      </c>
      <c r="V1" t="s">
        <v>55</v>
      </c>
      <c r="W1" t="s">
        <v>13</v>
      </c>
      <c r="X1" t="s">
        <v>28</v>
      </c>
      <c r="Y1" t="s">
        <v>29</v>
      </c>
      <c r="Z1" t="s">
        <v>59</v>
      </c>
      <c r="AA1" t="s">
        <v>14</v>
      </c>
      <c r="AB1" t="s">
        <v>56</v>
      </c>
      <c r="AC1" t="s">
        <v>7</v>
      </c>
      <c r="AD1" t="s">
        <v>57</v>
      </c>
    </row>
    <row r="2">
      <c r="A2" s="7">
        <v>1</v>
      </c>
      <c r="B2" s="7" t="s">
        <v>0</v>
      </c>
      <c r="C2" s="2" t="s">
        <v>47</v>
      </c>
      <c r="D2" s="2" t="s">
        <v>8</v>
      </c>
      <c r="E2" s="2" t="s">
        <v>19</v>
      </c>
      <c r="F2" s="2" t="s">
        <v>4</v>
      </c>
      <c r="G2" s="2" t="s">
        <v>39</v>
      </c>
      <c r="H2" s="1" t="s">
        <v>1</v>
      </c>
      <c r="I2" s="1" t="s">
        <v>20</v>
      </c>
      <c r="J2" s="1" t="s">
        <v>20</v>
      </c>
      <c r="K2" s="1" t="s">
        <v>9</v>
      </c>
      <c r="L2" s="1" t="s">
        <v>3</v>
      </c>
      <c r="M2" s="4">
        <v>5100002013</v>
      </c>
      <c r="N2" s="3" t="str">
        <f ca="1">CONCATENATE("01.01.",YEAR(NOW()))</f>
        <v>01.01.2025</v>
      </c>
      <c r="O2" s="3" t="str">
        <f ca="1">CONCATENATE("31.12.",YEAR(NOW()))</f>
        <v>31.12.2025</v>
      </c>
      <c r="P2" s="1" t="s">
        <v>6</v>
      </c>
      <c r="Q2" s="8" t="e">
        <f>[1]Output!A2</f>
        <v>#REF!</v>
      </c>
      <c r="R2" s="1" t="s">
        <v>49</v>
      </c>
      <c r="S2" s="1" t="s">
        <v>26</v>
      </c>
      <c r="T2" s="1" t="s">
        <v>27</v>
      </c>
      <c r="U2" s="1" t="s">
        <v>27</v>
      </c>
      <c r="V2" s="1" t="s">
        <v>6</v>
      </c>
      <c r="W2" s="4" t="s">
        <v>50</v>
      </c>
      <c r="X2" s="4" t="s">
        <v>38</v>
      </c>
      <c r="Y2" s="3" t="e">
        <f>MID(Q2,14,10)</f>
        <v>#REF!</v>
      </c>
      <c r="Z2" s="5" t="s">
        <v>38</v>
      </c>
      <c r="AA2" s="1" t="s">
        <v>30</v>
      </c>
      <c r="AB2" s="5" t="e">
        <f>Y2</f>
        <v>#REF!</v>
      </c>
      <c r="AC2" s="1" t="s">
        <v>36</v>
      </c>
      <c r="AD2" s="10" t="s">
        <v>15</v>
      </c>
    </row>
    <row r="3">
      <c r="A3" s="7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</row>
    <row r="4">
      <c r="A4" s="7">
        <v>3</v>
      </c>
      <c r="B4" s="7" t="s">
        <v>34</v>
      </c>
      <c r="C4" s="2" t="s">
        <v>47</v>
      </c>
      <c r="D4" s="2" t="s">
        <v>8</v>
      </c>
      <c r="E4" s="2" t="s">
        <v>19</v>
      </c>
      <c r="F4" s="2" t="s">
        <v>4</v>
      </c>
      <c r="G4" s="2" t="s">
        <v>39</v>
      </c>
      <c r="H4" s="1" t="s">
        <v>1</v>
      </c>
      <c r="I4" s="1" t="s">
        <v>20</v>
      </c>
      <c r="J4" s="1" t="s">
        <v>20</v>
      </c>
      <c r="K4" s="1" t="s">
        <v>9</v>
      </c>
      <c r="L4" s="1" t="s">
        <v>3</v>
      </c>
      <c r="M4" s="4">
        <v>5102828970</v>
      </c>
      <c r="N4" s="3" t="str">
        <f ca="1">CONCATENATE("01.01.",YEAR(NOW()))</f>
        <v>01.01.2025</v>
      </c>
      <c r="O4" s="3" t="str">
        <f ca="1">CONCATENATE("31.12.",YEAR(NOW()))</f>
        <v>31.12.2025</v>
      </c>
      <c r="P4" s="1" t="s">
        <v>6</v>
      </c>
      <c r="Q4" s="8" t="e">
        <f>[1]Output!A4</f>
        <v>#REF!</v>
      </c>
      <c r="R4" s="1" t="s">
        <v>49</v>
      </c>
      <c r="S4" s="1" t="s">
        <v>26</v>
      </c>
      <c r="T4" s="1" t="s">
        <v>27</v>
      </c>
      <c r="U4" s="1" t="s">
        <v>27</v>
      </c>
      <c r="V4" s="1" t="s">
        <v>6</v>
      </c>
      <c r="W4" s="4" t="s">
        <v>50</v>
      </c>
      <c r="X4" s="4" t="s">
        <v>38</v>
      </c>
      <c r="Y4" s="3" t="e">
        <f>MID(Q4,14,10)</f>
        <v>#REF!</v>
      </c>
      <c r="Z4" s="5" t="s">
        <v>38</v>
      </c>
      <c r="AA4" s="1" t="s">
        <v>30</v>
      </c>
      <c r="AB4" s="5" t="e">
        <f>Y4</f>
        <v>#REF!</v>
      </c>
      <c r="AC4" s="1" t="s">
        <v>36</v>
      </c>
      <c r="AD4" s="10" t="s">
        <v>15</v>
      </c>
    </row>
    <row r="5">
      <c r="A5" s="7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0"/>
    </row>
    <row r="6">
      <c r="A6" s="7">
        <v>5</v>
      </c>
      <c r="B6" s="7" t="s">
        <v>34</v>
      </c>
      <c r="C6" s="2" t="s">
        <v>22</v>
      </c>
      <c r="D6" s="2" t="s">
        <v>8</v>
      </c>
      <c r="E6" s="2" t="s">
        <v>53</v>
      </c>
      <c r="F6" s="2" t="s">
        <v>31</v>
      </c>
      <c r="G6" s="2" t="s">
        <v>39</v>
      </c>
      <c r="H6" s="1" t="s">
        <v>1</v>
      </c>
      <c r="I6" s="1" t="s">
        <v>20</v>
      </c>
      <c r="J6" s="1" t="s">
        <v>20</v>
      </c>
      <c r="K6" s="1" t="s">
        <v>9</v>
      </c>
      <c r="L6" s="1" t="s">
        <v>3</v>
      </c>
      <c r="M6" s="4">
        <v>5100000914</v>
      </c>
      <c r="N6" s="3" t="str">
        <f ca="1">CONCATENATE("01.01.",YEAR(NOW()))</f>
        <v>01.01.2025</v>
      </c>
      <c r="O6" s="3" t="str">
        <f ca="1">CONCATENATE("31.12.",YEAR(NOW()))</f>
        <v>31.12.2025</v>
      </c>
      <c r="P6" s="1" t="s">
        <v>6</v>
      </c>
      <c r="Q6" s="8" t="e">
        <f>[1]Output!A6</f>
        <v>#REF!</v>
      </c>
      <c r="R6" s="1" t="s">
        <v>49</v>
      </c>
      <c r="S6" s="1" t="s">
        <v>26</v>
      </c>
      <c r="T6" s="1" t="s">
        <v>27</v>
      </c>
      <c r="U6" s="1" t="s">
        <v>27</v>
      </c>
      <c r="V6" s="1" t="s">
        <v>6</v>
      </c>
      <c r="W6" s="4" t="s">
        <v>50</v>
      </c>
      <c r="X6" s="4" t="s">
        <v>38</v>
      </c>
      <c r="Y6" s="3" t="e">
        <f>MID(Q6,14,10)</f>
        <v>#REF!</v>
      </c>
      <c r="Z6" s="5" t="s">
        <v>38</v>
      </c>
      <c r="AA6" s="1" t="s">
        <v>30</v>
      </c>
      <c r="AB6" s="5" t="e">
        <f>Y6</f>
        <v>#REF!</v>
      </c>
      <c r="AC6" s="1" t="s">
        <v>36</v>
      </c>
      <c r="AD6" s="10" t="s">
        <v>15</v>
      </c>
    </row>
    <row r="7">
      <c r="A7" s="7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0"/>
    </row>
    <row r="8">
      <c r="A8" s="7">
        <v>7</v>
      </c>
      <c r="B8" s="11" t="s">
        <v>37</v>
      </c>
      <c r="C8" s="2" t="s">
        <v>18</v>
      </c>
      <c r="D8" s="2" t="s">
        <v>8</v>
      </c>
      <c r="E8" s="2" t="s">
        <v>19</v>
      </c>
      <c r="F8" s="2" t="s">
        <v>4</v>
      </c>
      <c r="G8" s="2" t="s">
        <v>39</v>
      </c>
      <c r="H8" s="1" t="s">
        <v>1</v>
      </c>
      <c r="I8" s="1" t="s">
        <v>20</v>
      </c>
      <c r="J8" s="1" t="s">
        <v>20</v>
      </c>
      <c r="K8" s="1" t="s">
        <v>9</v>
      </c>
      <c r="L8" s="1" t="s">
        <v>3</v>
      </c>
      <c r="M8" s="4">
        <v>5102261470</v>
      </c>
      <c r="N8" s="3" t="str">
        <f ca="1" t="shared" si="0" ref="N8:N9">CONCATENATE("01.01.",YEAR(NOW()))</f>
        <v>01.01.2025</v>
      </c>
      <c r="O8" s="3" t="str">
        <f ca="1" t="shared" si="1" ref="O8:O9">CONCATENATE("31.12.",YEAR(NOW()))</f>
        <v>31.12.2025</v>
      </c>
      <c r="P8" s="1" t="s">
        <v>6</v>
      </c>
      <c r="Q8" s="8" t="e">
        <f>[1]Output!A8</f>
        <v>#REF!</v>
      </c>
      <c r="R8" s="1" t="s">
        <v>49</v>
      </c>
      <c r="S8" s="1" t="s">
        <v>26</v>
      </c>
      <c r="T8" s="1" t="s">
        <v>27</v>
      </c>
      <c r="U8" s="1" t="s">
        <v>27</v>
      </c>
      <c r="V8" s="1" t="s">
        <v>6</v>
      </c>
      <c r="W8" s="4" t="s">
        <v>50</v>
      </c>
      <c r="X8" s="4" t="s">
        <v>38</v>
      </c>
      <c r="Y8" s="3" t="e">
        <f t="shared" si="2" ref="Y8:Y9">MID(Q8,14,10)</f>
        <v>#REF!</v>
      </c>
      <c r="Z8" s="5" t="s">
        <v>38</v>
      </c>
      <c r="AA8" s="1" t="s">
        <v>30</v>
      </c>
      <c r="AB8" s="5" t="e">
        <f t="shared" si="3" ref="AB8:AB9">Y8</f>
        <v>#REF!</v>
      </c>
      <c r="AC8" s="1" t="s">
        <v>36</v>
      </c>
      <c r="AD8" s="10" t="s">
        <v>15</v>
      </c>
    </row>
    <row r="9">
      <c r="A9" s="7">
        <v>8</v>
      </c>
      <c r="B9" s="11" t="s">
        <v>46</v>
      </c>
      <c r="C9" s="2" t="s">
        <v>35</v>
      </c>
      <c r="D9" s="2" t="s">
        <v>8</v>
      </c>
      <c r="E9" s="2" t="s">
        <v>19</v>
      </c>
      <c r="F9" s="2" t="s">
        <v>4</v>
      </c>
      <c r="G9" s="2" t="s">
        <v>39</v>
      </c>
      <c r="H9" s="1" t="s">
        <v>1</v>
      </c>
      <c r="I9" s="1" t="s">
        <v>20</v>
      </c>
      <c r="J9" s="1" t="s">
        <v>20</v>
      </c>
      <c r="K9" s="1" t="s">
        <v>9</v>
      </c>
      <c r="L9" s="1" t="s">
        <v>3</v>
      </c>
      <c r="M9" s="4">
        <v>5100125369</v>
      </c>
      <c r="N9" s="3" t="str">
        <f ca="1" t="shared" si="0"/>
        <v>01.01.2025</v>
      </c>
      <c r="O9" s="3" t="str">
        <f ca="1" t="shared" si="1"/>
        <v>31.12.2025</v>
      </c>
      <c r="P9" s="1" t="s">
        <v>6</v>
      </c>
      <c r="Q9" s="8" t="e">
        <f>[1]Output!A9</f>
        <v>#REF!</v>
      </c>
      <c r="R9" s="1" t="s">
        <v>49</v>
      </c>
      <c r="S9" s="1" t="s">
        <v>26</v>
      </c>
      <c r="T9" s="1" t="s">
        <v>27</v>
      </c>
      <c r="U9" s="1" t="s">
        <v>27</v>
      </c>
      <c r="V9" s="1" t="s">
        <v>6</v>
      </c>
      <c r="W9" s="4" t="s">
        <v>50</v>
      </c>
      <c r="X9" s="4" t="s">
        <v>38</v>
      </c>
      <c r="Y9" s="3" t="e">
        <f t="shared" si="2"/>
        <v>#REF!</v>
      </c>
      <c r="Z9" s="5" t="s">
        <v>38</v>
      </c>
      <c r="AA9" s="1" t="s">
        <v>30</v>
      </c>
      <c r="AB9" s="5" t="e">
        <f t="shared" si="3"/>
        <v>#REF!</v>
      </c>
      <c r="AC9" s="1" t="s">
        <v>36</v>
      </c>
      <c r="AD9" s="10" t="s">
        <v>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>
      <selection activeCell="A2" sqref="A2"/>
    </sheetView>
  </sheetViews>
  <sheetFormatPr defaultColWidth="9.125" defaultRowHeight="14.25"/>
  <cols>
    <col min="1" max="16384" width="9.125" style="9" customWidth="1"/>
  </cols>
  <sheetData>
    <row r="1" ht="12.75" customHeight="1" customFormat="1">
      <c r="A1" t="s">
        <v>51</v>
      </c>
      <c r="B1" t="s">
        <v>16</v>
      </c>
    </row>
    <row r="2">
      <c r="A2" s="1"/>
      <c r="B2" s="10"/>
    </row>
    <row r="3">
      <c r="A3" s="1"/>
      <c r="B3" s="10"/>
    </row>
    <row r="4">
      <c r="A4" s="1" t="s">
        <v>43</v>
      </c>
      <c r="B4" s="10">
        <v>3729097255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