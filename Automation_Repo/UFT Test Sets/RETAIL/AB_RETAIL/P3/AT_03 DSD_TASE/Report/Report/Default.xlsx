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Return_Trading_Goods" sheetId="3" r:id="rId3"/>
    <sheet name="TC2_Deliv_Note_w_Trading" sheetId="4" r:id="rId4"/>
    <sheet name="TC3_Deliv_Note_w_Weighable" sheetId="5" r:id="rId5"/>
    <sheet name="TC4_GR_Deliv_Note_containing" sheetId="6" r:id="rId6"/>
    <sheet name="TC5_DSD_GR_Deliv_Note_w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<sst xmlns="http://schemas.openxmlformats.org/spreadsheetml/2006/main" uniqueCount="119">
  <si>
    <t>Scripting</t>
  </si>
  <si>
    <t/>
  </si>
  <si>
    <t>DT_SAPTRANSACTIONCODE</t>
  </si>
  <si>
    <t>GP01</t>
  </si>
  <si>
    <t>7078518</t>
  </si>
  <si>
    <t>40</t>
  </si>
  <si>
    <t>DT_ME21N_1211_TABLECELL_OUN_0</t>
  </si>
  <si>
    <t>DT_EXPECTEDVALUE_OCC3</t>
  </si>
  <si>
    <t>DT_ME21N_1303_CONDITION_CONTROL</t>
  </si>
  <si>
    <t>A01</t>
  </si>
  <si>
    <t>10000922</t>
  </si>
  <si>
    <t>DT_ME21N_1211_TABLECELL_ARTICLE_1</t>
  </si>
  <si>
    <t>7077132</t>
  </si>
  <si>
    <t>F</t>
  </si>
  <si>
    <t>DT_ME21N_0304_ITEM_OK_OCC3</t>
  </si>
  <si>
    <t>Data passed to port OK</t>
  </si>
  <si>
    <t>DT_PO_NUMBER_OUTPUT</t>
  </si>
  <si>
    <t>ZDSD</t>
  </si>
  <si>
    <t>DT_ME21N_1211_TABLECELL_SITE_0</t>
  </si>
  <si>
    <t>DT_ME21N_0304_ITEM_OK_OCC7</t>
  </si>
  <si>
    <t>DT_EXPECTEDTRANSACTIONCODE_OCC4</t>
  </si>
  <si>
    <t>/nexit</t>
  </si>
  <si>
    <t>Scenario</t>
  </si>
  <si>
    <t>DT_ME21N_1211_TABLECELL_FREE_2</t>
  </si>
  <si>
    <t>DT_ME21N_1211_TABLECELL_DELIV_DATE_1</t>
  </si>
  <si>
    <t>3</t>
  </si>
  <si>
    <t>%blank%</t>
  </si>
  <si>
    <t>200</t>
  </si>
  <si>
    <t>GR02</t>
  </si>
  <si>
    <t>DT_EXPECTEDVALUE</t>
  </si>
  <si>
    <t>30</t>
  </si>
  <si>
    <t>DT_ME21N_1211_TABLECELL_OUN_1</t>
  </si>
  <si>
    <t>%space%  3</t>
  </si>
  <si>
    <t>MIGO</t>
  </si>
  <si>
    <t>DT_ME21N_0010_GODYNPROACTION_OCC2</t>
  </si>
  <si>
    <t>DT_ME21N_2000_GODYNPROPO_NUMBER</t>
  </si>
  <si>
    <t>DT_EXPECTEDVALUE_OCC4</t>
  </si>
  <si>
    <t>SESSION_MANAGER</t>
  </si>
  <si>
    <t>DT_IDOC_NUMBER</t>
  </si>
  <si>
    <t>DT_SAPSYSTEM</t>
  </si>
  <si>
    <t>AUTOAB</t>
  </si>
  <si>
    <t>5f93edb3da92bdc819e195d7be568c7eb6af7aebbdeecb6b</t>
  </si>
  <si>
    <t>54369cf60f6c2d4ef8d1b7ce9210a6df2b88f047bd18667d</t>
  </si>
  <si>
    <t>G02</t>
  </si>
  <si>
    <t>DT_ME21N_1211_TABLECELL_ARTICLE_2</t>
  </si>
  <si>
    <t>GW08</t>
  </si>
  <si>
    <t>DT_ME21N_PO_NUMBER</t>
  </si>
  <si>
    <t>DT_ME21N_1_GR_NUMBER</t>
  </si>
  <si>
    <t>MBGMCR</t>
  </si>
  <si>
    <t>DT_ARTICLE_NO_OUTPUT</t>
  </si>
  <si>
    <t>RGS - SAP RETAIL Staging GLOBAL</t>
  </si>
  <si>
    <t>DT_SAPLANGUAGE</t>
  </si>
  <si>
    <t>DT_SAPOPTIONS</t>
  </si>
  <si>
    <t>KG</t>
  </si>
  <si>
    <t>DT_ME21N_1211_TABLECELL_SITE_1</t>
  </si>
  <si>
    <t>S</t>
  </si>
  <si>
    <t>WE09</t>
  </si>
  <si>
    <t>DT_EXPECTEDTRANSACTIONCODE_OCC5</t>
  </si>
  <si>
    <t>5357b5f3d93536319381f29be85ab0e2660e6c8ed3cb</t>
  </si>
  <si>
    <t>DT_ME21N_1211_TABLECELL_PO_QUANTITY_0</t>
  </si>
  <si>
    <t>DT_ME21N_1211_TABLECELL_DELIV_DATE_2</t>
  </si>
  <si>
    <t>W</t>
  </si>
  <si>
    <t>DT_MIGO_0010_GODEFAULTTV_BWART</t>
  </si>
  <si>
    <t>DT_ME21N_750_OKCD</t>
  </si>
  <si>
    <t>/MBGMCR_OUT</t>
  </si>
  <si>
    <t>DT_ME21N_1211_TABLECELL_OUN_2</t>
  </si>
  <si>
    <t>GW01</t>
  </si>
  <si>
    <t>DT_EXPECTEDVALUE_OCC5</t>
  </si>
  <si>
    <t>DT_ME21N_0010_GODYNPROACTION_OCC10</t>
  </si>
  <si>
    <t>DT_ME21N_0100_DOC_INFO</t>
  </si>
  <si>
    <t>13</t>
  </si>
  <si>
    <t>Row_Number</t>
  </si>
  <si>
    <t>7077061</t>
  </si>
  <si>
    <t>DT_ME21N_14_OKCD</t>
  </si>
  <si>
    <t>FB03</t>
  </si>
  <si>
    <t>DT_ME21N_100_OKCD</t>
  </si>
  <si>
    <t>EN</t>
  </si>
  <si>
    <t>DT_ME21N_1211_TABLECELL_SITE_2</t>
  </si>
  <si>
    <t>DT_EXPECTEDTRANSACTIONCODE_OCC2</t>
  </si>
  <si>
    <t>DT_ME21N_0304_ITEM_OK_OCC5</t>
  </si>
  <si>
    <t>DT_EXPECTEDTRANSACTIONCODE</t>
  </si>
  <si>
    <t>DT_ME21N_1211_TABLECELL_PO_QUANTITY_1</t>
  </si>
  <si>
    <t>DT_NUM</t>
  </si>
  <si>
    <t>DT_ME21N_100_VARIANT</t>
  </si>
  <si>
    <t>DT_ME21N_600_GRIDCELL_13_SHORT_DESCRIPTION</t>
  </si>
  <si>
    <t>DT_ME21N_1000_FOR_VALUE__OCC2</t>
  </si>
  <si>
    <t>02 - GoodsReceipt/03 DSD</t>
  </si>
  <si>
    <t>ME21N</t>
  </si>
  <si>
    <t>DT_ME21N_1221_PURCH_ORG</t>
  </si>
  <si>
    <t>true</t>
  </si>
  <si>
    <t>DT_ME21N_1211_TABLECELL_ARTICLE_0</t>
  </si>
  <si>
    <t>50</t>
  </si>
  <si>
    <t>G008</t>
  </si>
  <si>
    <t>DT_EXPECTEDVALUE_OCC2</t>
  </si>
  <si>
    <t>DT_EXPECTEDVALUE_OCC6</t>
  </si>
  <si>
    <t>R1E - SAP RETAIL Pre-Production EUROPE</t>
  </si>
  <si>
    <t>DT_SAPPASSWORD</t>
  </si>
  <si>
    <t>E</t>
  </si>
  <si>
    <t>DT_ME21N_1105_VENDOR</t>
  </si>
  <si>
    <t>DT_ME21N_6000_ITEM_OCC5</t>
  </si>
  <si>
    <t>DT_ME21N_1325_CHECK_TEXT_OF_SETT_GROUP_1</t>
  </si>
  <si>
    <t>DT_ME21N_0110_DELIVERY_NOTE</t>
  </si>
  <si>
    <t>A04</t>
  </si>
  <si>
    <t>DT_ME21N_600_GRIDCELL_3_VARIANT_NAME_OCC2</t>
  </si>
  <si>
    <t>DT_SAPUSER</t>
  </si>
  <si>
    <t>rreye</t>
  </si>
  <si>
    <t>DT_ME21N_1221_COMPANY_CODE</t>
  </si>
  <si>
    <t>7077059</t>
  </si>
  <si>
    <t>7076226</t>
  </si>
  <si>
    <t>DT_EXPECTEDTRANSACTIONCODE_OCC3</t>
  </si>
  <si>
    <t>DT_ME21N_100_CREATED_BY_OCC2</t>
  </si>
  <si>
    <t>DT_ME21N_120_CHECK_TEXT_OF_DATA_PASSED_TO_PORT_OK</t>
  </si>
  <si>
    <t>02-Clear DSD and Reverse</t>
  </si>
  <si>
    <t>DT_SAPCLIENT</t>
  </si>
  <si>
    <t>DT_ME21N_1221_PURCH_GROUP</t>
  </si>
  <si>
    <t>DT_ME21N_1105_MEPO_TOPLINEBSART</t>
  </si>
  <si>
    <t>DT_ME21N_1211_TABLECELL_PO_QUANTITY_2</t>
  </si>
  <si>
    <t>DT_ME21N_1211_TABLECELL_DELIV_DATE_0</t>
  </si>
  <si>
    <t>DT_ME21N_100_CHECK_TEXT_OF_TABLECELL_FLD_CONT_6</t>
  </si>
</sst>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GR03_007_Loc_Vend_DSD_GR_Deliv_Note_w_free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N11"/>
  <sheetViews>
    <sheetView workbookViewId="0">
      <pane xSplit="1" ySplit="0" topLeftCell="AK2" activePane="topRight"/>
      <selection activeCell="AK2" sqref="AK2"/>
      <selection pane="topRight" activeCell="AK2" sqref="AK2"/>
    </sheetView>
  </sheetViews>
  <sheetFormatPr defaultColWidth="9.125" defaultRowHeight="14.25"/>
  <cols>
    <col min="1" max="1" width="12.5" style="12" customWidth="1"/>
    <col min="2" max="2" width="41" style="12" customWidth="1"/>
    <col min="3" max="3" width="38.125" style="12" customWidth="1"/>
    <col min="4" max="4" width="15" style="12" customWidth="1"/>
    <col min="5" max="5" width="13.625" style="12" customWidth="1"/>
    <col min="6" max="6" width="48.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28.5" style="12" customWidth="1"/>
    <col min="12" max="12" width="31.125" style="12" customWidth="1"/>
    <col min="13" max="13" width="32.25" style="12" customWidth="1"/>
    <col min="14" max="14" width="37.5" style="12" customWidth="1"/>
    <col min="15" max="15" width="20.75" style="12" customWidth="1"/>
    <col min="16" max="16" width="35.25" style="12" customWidth="1"/>
    <col min="17" max="17" width="24.75" style="12" customWidth="1"/>
    <col min="18" max="20" width="38.125" style="12" customWidth="1"/>
    <col min="21" max="23" width="43.5" style="12" customWidth="1"/>
    <col min="24" max="26" width="34.375" style="12" customWidth="1"/>
    <col min="27" max="29" width="41.75" style="12" customWidth="1"/>
    <col min="30" max="32" width="34.5" style="12" customWidth="1"/>
    <col min="33" max="34" width="26.625" style="12" customWidth="1"/>
    <col min="35" max="35" width="23.5" style="12" customWidth="1"/>
    <col min="36" max="36" width="27.125" style="12" customWidth="1"/>
    <col min="37" max="37" width="37.125" style="12" customWidth="1"/>
    <col min="38" max="38" width="48.125" style="12" customWidth="1"/>
    <col min="39" max="39" width="19.875" style="12" customWidth="1"/>
    <col min="40" max="40" width="39.25" style="12" customWidth="1"/>
    <col min="41" max="41" width="40.375" style="12" customWidth="1"/>
    <col min="42" max="43" width="39.25" style="12" customWidth="1"/>
    <col min="44" max="44" width="9.125" style="12" customWidth="1"/>
    <col min="45" max="45" width="32.25" style="12" customWidth="1"/>
    <col min="46" max="48" width="30.625" style="12" customWidth="1"/>
    <col min="49" max="50" width="26.625" style="12" customWidth="1"/>
    <col min="51" max="51" width="25.625" style="12" customWidth="1"/>
    <col min="52" max="52" width="41.375" style="12" customWidth="1"/>
    <col min="53" max="53" width="26.125" style="12" customWidth="1"/>
    <col min="54" max="54" width="39.25" style="12" customWidth="1"/>
    <col min="55" max="55" width="20.875" style="12" customWidth="1"/>
    <col min="56" max="56" width="39.25" style="12" customWidth="1"/>
    <col min="57" max="57" width="34.125" style="12" customWidth="1"/>
    <col min="58" max="58" width="24" style="12" customWidth="1"/>
    <col min="59" max="60" width="49.25" style="12" customWidth="1"/>
    <col min="61" max="61" width="34.625" style="12" customWidth="1"/>
    <col min="62" max="62" width="26.625" style="12" customWidth="1"/>
    <col min="63" max="64" width="55.625" style="12" customWidth="1"/>
    <col min="65" max="65" width="20.875" style="12" customWidth="1"/>
    <col min="66" max="66" width="39.25" style="12" customWidth="1"/>
    <col min="67" max="16384" width="9.125" style="12" customWidth="1"/>
  </cols>
  <sheetData>
    <row r="1" ht="12.75" customHeight="1" customFormat="1">
      <c r="A1" t="s">
        <v>71</v>
      </c>
      <c r="B1" t="s">
        <v>22</v>
      </c>
      <c r="C1" t="s">
        <v>39</v>
      </c>
      <c r="D1" t="s">
        <v>113</v>
      </c>
      <c r="E1" t="s">
        <v>104</v>
      </c>
      <c r="F1" t="s">
        <v>96</v>
      </c>
      <c r="G1" t="s">
        <v>51</v>
      </c>
      <c r="H1" t="s">
        <v>52</v>
      </c>
      <c r="I1" t="s">
        <v>2</v>
      </c>
      <c r="J1" t="s">
        <v>80</v>
      </c>
      <c r="K1" t="s">
        <v>88</v>
      </c>
      <c r="L1" t="s">
        <v>114</v>
      </c>
      <c r="M1" t="s">
        <v>106</v>
      </c>
      <c r="N1" t="s">
        <v>115</v>
      </c>
      <c r="O1" t="s">
        <v>29</v>
      </c>
      <c r="P1" t="s">
        <v>23</v>
      </c>
      <c r="Q1" t="s">
        <v>98</v>
      </c>
      <c r="R1" t="s">
        <v>90</v>
      </c>
      <c r="S1" t="s">
        <v>11</v>
      </c>
      <c r="T1" t="s">
        <v>44</v>
      </c>
      <c r="U1" t="s">
        <v>59</v>
      </c>
      <c r="V1" t="s">
        <v>81</v>
      </c>
      <c r="W1" t="s">
        <v>116</v>
      </c>
      <c r="X1" t="s">
        <v>6</v>
      </c>
      <c r="Y1" t="s">
        <v>31</v>
      </c>
      <c r="Z1" t="s">
        <v>65</v>
      </c>
      <c r="AA1" t="s">
        <v>117</v>
      </c>
      <c r="AB1" t="s">
        <v>24</v>
      </c>
      <c r="AC1" t="s">
        <v>60</v>
      </c>
      <c r="AD1" t="s">
        <v>18</v>
      </c>
      <c r="AE1" t="s">
        <v>54</v>
      </c>
      <c r="AF1" t="s">
        <v>77</v>
      </c>
      <c r="AG1" t="s">
        <v>93</v>
      </c>
      <c r="AH1" t="s">
        <v>7</v>
      </c>
      <c r="AI1" t="s">
        <v>46</v>
      </c>
      <c r="AJ1" t="s">
        <v>99</v>
      </c>
      <c r="AK1" t="s">
        <v>8</v>
      </c>
      <c r="AL1" t="s">
        <v>100</v>
      </c>
      <c r="AM1" t="s">
        <v>73</v>
      </c>
      <c r="AN1" t="s">
        <v>78</v>
      </c>
      <c r="AO1" t="s">
        <v>34</v>
      </c>
      <c r="AP1" t="s">
        <v>35</v>
      </c>
      <c r="AQ1" t="s">
        <v>62</v>
      </c>
      <c r="AR1" t="s">
        <v>82</v>
      </c>
      <c r="AS1" t="s">
        <v>101</v>
      </c>
      <c r="AT1" t="s">
        <v>14</v>
      </c>
      <c r="AU1" t="s">
        <v>79</v>
      </c>
      <c r="AV1" t="s">
        <v>19</v>
      </c>
      <c r="AW1" t="s">
        <v>36</v>
      </c>
      <c r="AX1" t="s">
        <v>67</v>
      </c>
      <c r="AY1" t="s">
        <v>47</v>
      </c>
      <c r="AZ1" t="s">
        <v>68</v>
      </c>
      <c r="BA1" t="s">
        <v>69</v>
      </c>
      <c r="BB1" t="s">
        <v>109</v>
      </c>
      <c r="BC1" t="s">
        <v>63</v>
      </c>
      <c r="BD1" t="s">
        <v>20</v>
      </c>
      <c r="BE1" t="s">
        <v>110</v>
      </c>
      <c r="BF1" t="s">
        <v>83</v>
      </c>
      <c r="BG1" t="s">
        <v>84</v>
      </c>
      <c r="BH1" t="s">
        <v>103</v>
      </c>
      <c r="BI1" t="s">
        <v>85</v>
      </c>
      <c r="BJ1" t="s">
        <v>94</v>
      </c>
      <c r="BK1" t="s">
        <v>118</v>
      </c>
      <c r="BL1" t="s">
        <v>111</v>
      </c>
      <c r="BM1" t="s">
        <v>75</v>
      </c>
      <c r="BN1" t="s">
        <v>57</v>
      </c>
    </row>
    <row r="2">
      <c r="A2" s="9">
        <v>1</v>
      </c>
      <c r="B2" s="9" t="s">
        <v>0</v>
      </c>
      <c r="C2" s="3" t="s">
        <v>95</v>
      </c>
      <c r="D2" s="3" t="s">
        <v>27</v>
      </c>
      <c r="E2" s="3" t="s">
        <v>40</v>
      </c>
      <c r="F2" s="3" t="s">
        <v>41</v>
      </c>
      <c r="G2" s="3" t="s">
        <v>76</v>
      </c>
      <c r="H2" s="1" t="s">
        <v>1</v>
      </c>
      <c r="I2" s="1" t="s">
        <v>87</v>
      </c>
      <c r="J2" s="1" t="s">
        <v>87</v>
      </c>
      <c r="K2" s="2" t="s">
        <v>3</v>
      </c>
      <c r="L2" s="2" t="s">
        <v>43</v>
      </c>
      <c r="M2" s="2" t="s">
        <v>28</v>
      </c>
      <c r="N2" s="2" t="s">
        <v>17</v>
      </c>
      <c r="O2" s="2" t="s">
        <v>97</v>
      </c>
      <c r="P2" s="2" t="s">
        <v>89</v>
      </c>
      <c r="Q2" s="2" t="s">
        <v>10</v>
      </c>
      <c r="R2" s="2">
        <v>7076520</v>
      </c>
      <c r="S2" s="2" t="s">
        <v>108</v>
      </c>
      <c r="T2" s="2" t="s">
        <v>4</v>
      </c>
      <c r="U2" s="2" t="s">
        <v>30</v>
      </c>
      <c r="V2" s="2" t="s">
        <v>91</v>
      </c>
      <c r="W2" s="2" t="s">
        <v>5</v>
      </c>
      <c r="X2" s="2" t="s">
        <v>53</v>
      </c>
      <c r="Y2" s="2" t="s">
        <v>53</v>
      </c>
      <c r="Z2" s="2" t="s">
        <v>53</v>
      </c>
      <c r="AA2" s="5">
        <f ca="1" t="shared" si="0" ref="AA2:AC2">TODAY()</f>
        <v>45959</v>
      </c>
      <c r="AB2" s="5">
        <f ca="1" t="shared" si="0"/>
        <v>45959</v>
      </c>
      <c r="AC2" s="5">
        <f ca="1" t="shared" si="0"/>
        <v>45959</v>
      </c>
      <c r="AD2" s="2" t="s">
        <v>66</v>
      </c>
      <c r="AE2" s="2" t="s">
        <v>66</v>
      </c>
      <c r="AF2" s="2" t="s">
        <v>66</v>
      </c>
      <c r="AG2" s="1" t="s">
        <v>61</v>
      </c>
      <c r="AH2" s="1" t="s">
        <v>55</v>
      </c>
      <c r="AI2" s="7" t="e">
        <f>[1]Output!A2</f>
        <v>#REF!</v>
      </c>
      <c r="AJ2" s="2" t="s">
        <v>32</v>
      </c>
      <c r="AK2" s="1">
        <v>10</v>
      </c>
      <c r="AL2" s="4" t="s">
        <v>13</v>
      </c>
      <c r="AM2" s="1" t="s">
        <v>33</v>
      </c>
      <c r="AN2" s="1" t="s">
        <v>33</v>
      </c>
      <c r="AO2" s="2" t="s">
        <v>9</v>
      </c>
      <c r="AP2" s="6" t="e">
        <f>AI2</f>
        <v>#REF!</v>
      </c>
      <c r="AQ2" s="6">
        <v>101</v>
      </c>
      <c r="AR2" s="10">
        <v>19</v>
      </c>
      <c r="AS2" s="2" t="e">
        <f>CONCATENATE("DN",AP2)</f>
        <v>#REF!</v>
      </c>
      <c r="AT2" s="2" t="s">
        <v>89</v>
      </c>
      <c r="AU2" s="2" t="s">
        <v>89</v>
      </c>
      <c r="AV2" s="2" t="s">
        <v>89</v>
      </c>
      <c r="AW2" s="1" t="s">
        <v>55</v>
      </c>
      <c r="AX2" s="1" t="s">
        <v>55</v>
      </c>
      <c r="AY2" s="7" t="e">
        <f>[1]Output!B2</f>
        <v>#REF!</v>
      </c>
      <c r="AZ2" s="1" t="s">
        <v>102</v>
      </c>
      <c r="BA2" s="1" t="s">
        <v>25</v>
      </c>
      <c r="BB2" s="1" t="s">
        <v>74</v>
      </c>
      <c r="BC2" s="1" t="s">
        <v>56</v>
      </c>
      <c r="BD2" s="1" t="s">
        <v>56</v>
      </c>
      <c r="BE2" s="1" t="s">
        <v>26</v>
      </c>
      <c r="BF2" s="2" t="s">
        <v>64</v>
      </c>
      <c r="BG2" s="1" t="s">
        <v>70</v>
      </c>
      <c r="BH2" s="1" t="s">
        <v>48</v>
      </c>
      <c r="BI2" s="6" t="e">
        <f ca="1">CONCATENATE(AY2,YEAR(TODAY()))</f>
        <v>#REF!</v>
      </c>
      <c r="BJ2" s="1" t="s">
        <v>55</v>
      </c>
      <c r="BK2" s="4" t="e">
        <f ca="1">BI2</f>
        <v>#REF!</v>
      </c>
      <c r="BL2" s="4" t="s">
        <v>15</v>
      </c>
      <c r="BM2" s="1" t="s">
        <v>21</v>
      </c>
      <c r="BN2" s="11" t="s">
        <v>37</v>
      </c>
    </row>
    <row r="3">
      <c r="A3" s="9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1"/>
    </row>
    <row r="4">
      <c r="A4" s="9">
        <v>3</v>
      </c>
      <c r="B4" s="9" t="s">
        <v>86</v>
      </c>
      <c r="C4" s="3" t="s">
        <v>95</v>
      </c>
      <c r="D4" s="3" t="s">
        <v>27</v>
      </c>
      <c r="E4" s="3" t="s">
        <v>40</v>
      </c>
      <c r="F4" s="3" t="s">
        <v>42</v>
      </c>
      <c r="G4" s="3" t="s">
        <v>76</v>
      </c>
      <c r="H4" s="1" t="s">
        <v>1</v>
      </c>
      <c r="I4" s="1" t="s">
        <v>87</v>
      </c>
      <c r="J4" s="1" t="s">
        <v>87</v>
      </c>
      <c r="K4" s="2" t="s">
        <v>3</v>
      </c>
      <c r="L4" s="2" t="s">
        <v>43</v>
      </c>
      <c r="M4" s="2" t="s">
        <v>28</v>
      </c>
      <c r="N4" s="2" t="s">
        <v>17</v>
      </c>
      <c r="O4" s="2" t="s">
        <v>97</v>
      </c>
      <c r="P4" s="2" t="s">
        <v>89</v>
      </c>
      <c r="Q4" s="2">
        <v>10000922</v>
      </c>
      <c r="R4" s="2">
        <v>7076520</v>
      </c>
      <c r="S4" s="2">
        <v>7076226</v>
      </c>
      <c r="T4" s="2">
        <v>7076225</v>
      </c>
      <c r="U4" s="2" t="s">
        <v>30</v>
      </c>
      <c r="V4" s="2" t="s">
        <v>91</v>
      </c>
      <c r="W4" s="2" t="s">
        <v>5</v>
      </c>
      <c r="X4" s="2" t="s">
        <v>53</v>
      </c>
      <c r="Y4" s="2" t="s">
        <v>53</v>
      </c>
      <c r="Z4" s="2" t="s">
        <v>53</v>
      </c>
      <c r="AA4" s="5">
        <f ca="1" t="shared" si="1" ref="AA4:AC4">TODAY()</f>
        <v>45959</v>
      </c>
      <c r="AB4" s="5">
        <f ca="1" t="shared" si="1"/>
        <v>45959</v>
      </c>
      <c r="AC4" s="5">
        <f ca="1" t="shared" si="1"/>
        <v>45959</v>
      </c>
      <c r="AD4" s="2" t="s">
        <v>66</v>
      </c>
      <c r="AE4" s="2" t="s">
        <v>66</v>
      </c>
      <c r="AF4" s="2" t="s">
        <v>66</v>
      </c>
      <c r="AG4" s="1" t="s">
        <v>61</v>
      </c>
      <c r="AH4" s="1" t="s">
        <v>55</v>
      </c>
      <c r="AI4" s="7" t="e">
        <f>[1]Output!A4</f>
        <v>#REF!</v>
      </c>
      <c r="AJ4" s="2" t="s">
        <v>32</v>
      </c>
      <c r="AK4" s="1">
        <v>10</v>
      </c>
      <c r="AL4" s="4" t="s">
        <v>13</v>
      </c>
      <c r="AM4" s="1" t="s">
        <v>33</v>
      </c>
      <c r="AN4" s="1" t="s">
        <v>33</v>
      </c>
      <c r="AO4" s="2" t="s">
        <v>9</v>
      </c>
      <c r="AP4" s="6" t="e">
        <f t="shared" si="2" ref="AP4:AP5">AI4</f>
        <v>#REF!</v>
      </c>
      <c r="AQ4" s="6"/>
      <c r="AR4" s="10">
        <v>102</v>
      </c>
      <c r="AS4" s="2" t="e">
        <f t="shared" si="3" ref="AS4:AS5">CONCATENATE("DN",AP4)</f>
        <v>#REF!</v>
      </c>
      <c r="AT4" s="2" t="s">
        <v>89</v>
      </c>
      <c r="AU4" s="2" t="s">
        <v>89</v>
      </c>
      <c r="AV4" s="2" t="s">
        <v>89</v>
      </c>
      <c r="AW4" s="1" t="s">
        <v>55</v>
      </c>
      <c r="AX4" s="1" t="s">
        <v>55</v>
      </c>
      <c r="AY4" s="7" t="e">
        <f>[1]Output!B4</f>
        <v>#REF!</v>
      </c>
      <c r="AZ4" s="1" t="s">
        <v>102</v>
      </c>
      <c r="BA4" s="1" t="s">
        <v>25</v>
      </c>
      <c r="BB4" s="1" t="s">
        <v>74</v>
      </c>
      <c r="BC4" s="1" t="s">
        <v>56</v>
      </c>
      <c r="BD4" s="1" t="s">
        <v>56</v>
      </c>
      <c r="BE4" s="1" t="s">
        <v>26</v>
      </c>
      <c r="BF4" s="2" t="s">
        <v>64</v>
      </c>
      <c r="BG4" s="1" t="s">
        <v>70</v>
      </c>
      <c r="BH4" s="1" t="s">
        <v>48</v>
      </c>
      <c r="BI4" s="6" t="e">
        <f ca="1" t="shared" si="4" ref="BI4:BI5">CONCATENATE(AY4,YEAR(TODAY()))</f>
        <v>#REF!</v>
      </c>
      <c r="BJ4" s="1" t="s">
        <v>26</v>
      </c>
      <c r="BK4" s="4" t="e">
        <f ca="1" t="shared" si="5" ref="BK4:BK5">BI4</f>
        <v>#REF!</v>
      </c>
      <c r="BL4" s="4" t="s">
        <v>15</v>
      </c>
      <c r="BM4" s="1" t="s">
        <v>21</v>
      </c>
      <c r="BN4" s="11" t="s">
        <v>37</v>
      </c>
    </row>
    <row r="5">
      <c r="A5" s="9">
        <v>4</v>
      </c>
      <c r="B5" s="9" t="s">
        <v>112</v>
      </c>
      <c r="C5" s="3" t="s">
        <v>95</v>
      </c>
      <c r="D5" s="3" t="s">
        <v>27</v>
      </c>
      <c r="E5" s="3" t="s">
        <v>40</v>
      </c>
      <c r="F5" s="3" t="s">
        <v>42</v>
      </c>
      <c r="G5" s="3" t="s">
        <v>76</v>
      </c>
      <c r="H5" s="1" t="s">
        <v>1</v>
      </c>
      <c r="I5" s="1" t="s">
        <v>87</v>
      </c>
      <c r="J5" s="1" t="s">
        <v>87</v>
      </c>
      <c r="K5" s="2" t="s">
        <v>3</v>
      </c>
      <c r="L5" s="2" t="s">
        <v>43</v>
      </c>
      <c r="M5" s="2" t="s">
        <v>28</v>
      </c>
      <c r="N5" s="2" t="s">
        <v>17</v>
      </c>
      <c r="O5" s="2" t="s">
        <v>97</v>
      </c>
      <c r="P5" s="2" t="s">
        <v>89</v>
      </c>
      <c r="Q5" s="2">
        <v>10000922</v>
      </c>
      <c r="R5" s="2">
        <v>7076520</v>
      </c>
      <c r="S5" s="2">
        <v>7076226</v>
      </c>
      <c r="T5" s="2">
        <v>7076225</v>
      </c>
      <c r="U5" s="2" t="s">
        <v>30</v>
      </c>
      <c r="V5" s="2" t="s">
        <v>91</v>
      </c>
      <c r="W5" s="2" t="s">
        <v>5</v>
      </c>
      <c r="X5" s="2" t="s">
        <v>53</v>
      </c>
      <c r="Y5" s="2" t="s">
        <v>53</v>
      </c>
      <c r="Z5" s="2" t="s">
        <v>53</v>
      </c>
      <c r="AA5" s="5">
        <f ca="1" t="shared" si="6" ref="AA5:AC5">TODAY()+1</f>
        <v>45960</v>
      </c>
      <c r="AB5" s="5">
        <f ca="1" t="shared" si="6"/>
        <v>45960</v>
      </c>
      <c r="AC5" s="5">
        <f ca="1" t="shared" si="6"/>
        <v>45960</v>
      </c>
      <c r="AD5" s="2" t="s">
        <v>45</v>
      </c>
      <c r="AE5" s="2" t="s">
        <v>45</v>
      </c>
      <c r="AF5" s="2" t="s">
        <v>45</v>
      </c>
      <c r="AG5" s="1" t="s">
        <v>61</v>
      </c>
      <c r="AH5" s="1" t="s">
        <v>55</v>
      </c>
      <c r="AI5" s="7" t="e">
        <f>[1]Output!A5</f>
        <v>#REF!</v>
      </c>
      <c r="AJ5" s="2" t="s">
        <v>32</v>
      </c>
      <c r="AK5" s="1">
        <v>10</v>
      </c>
      <c r="AL5" s="4" t="s">
        <v>13</v>
      </c>
      <c r="AM5" s="1" t="s">
        <v>33</v>
      </c>
      <c r="AN5" s="1" t="s">
        <v>33</v>
      </c>
      <c r="AO5" s="2" t="s">
        <v>9</v>
      </c>
      <c r="AP5" s="6" t="e">
        <f t="shared" si="2"/>
        <v>#REF!</v>
      </c>
      <c r="AQ5" s="6"/>
      <c r="AR5" s="10">
        <v>120</v>
      </c>
      <c r="AS5" s="2" t="e">
        <f t="shared" si="3"/>
        <v>#REF!</v>
      </c>
      <c r="AT5" s="2" t="s">
        <v>89</v>
      </c>
      <c r="AU5" s="2" t="s">
        <v>89</v>
      </c>
      <c r="AV5" s="2" t="s">
        <v>89</v>
      </c>
      <c r="AW5" s="1" t="s">
        <v>55</v>
      </c>
      <c r="AX5" s="1" t="s">
        <v>55</v>
      </c>
      <c r="AY5" s="7" t="e">
        <f>[1]Output!B5</f>
        <v>#REF!</v>
      </c>
      <c r="AZ5" s="1" t="s">
        <v>102</v>
      </c>
      <c r="BA5" s="1" t="s">
        <v>25</v>
      </c>
      <c r="BB5" s="1" t="s">
        <v>74</v>
      </c>
      <c r="BC5" s="1" t="s">
        <v>56</v>
      </c>
      <c r="BD5" s="1" t="s">
        <v>56</v>
      </c>
      <c r="BE5" s="1" t="s">
        <v>26</v>
      </c>
      <c r="BF5" s="2" t="s">
        <v>64</v>
      </c>
      <c r="BG5" s="1" t="s">
        <v>70</v>
      </c>
      <c r="BH5" s="1" t="s">
        <v>48</v>
      </c>
      <c r="BI5" s="6" t="e">
        <f ca="1" t="shared" si="4"/>
        <v>#REF!</v>
      </c>
      <c r="BJ5" s="1" t="s">
        <v>26</v>
      </c>
      <c r="BK5" s="4" t="e">
        <f ca="1" t="shared" si="5"/>
        <v>#REF!</v>
      </c>
      <c r="BL5" s="4" t="s">
        <v>15</v>
      </c>
      <c r="BM5" s="1" t="s">
        <v>21</v>
      </c>
      <c r="BN5" s="11" t="s">
        <v>37</v>
      </c>
    </row>
    <row r="6">
      <c r="A6" s="9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1"/>
    </row>
    <row r="7">
      <c r="A7" s="9">
        <v>6</v>
      </c>
      <c r="B7" s="9" t="s">
        <v>86</v>
      </c>
      <c r="C7" s="3" t="s">
        <v>50</v>
      </c>
      <c r="D7" s="3" t="s">
        <v>27</v>
      </c>
      <c r="E7" s="3" t="s">
        <v>105</v>
      </c>
      <c r="F7" s="3" t="s">
        <v>58</v>
      </c>
      <c r="G7" s="3" t="s">
        <v>76</v>
      </c>
      <c r="H7" s="1" t="s">
        <v>1</v>
      </c>
      <c r="I7" s="1" t="s">
        <v>87</v>
      </c>
      <c r="J7" s="1" t="s">
        <v>87</v>
      </c>
      <c r="K7" s="2" t="s">
        <v>3</v>
      </c>
      <c r="L7" s="2" t="s">
        <v>43</v>
      </c>
      <c r="M7" s="2" t="s">
        <v>28</v>
      </c>
      <c r="N7" s="2" t="s">
        <v>17</v>
      </c>
      <c r="O7" s="2" t="s">
        <v>97</v>
      </c>
      <c r="P7" s="2" t="s">
        <v>89</v>
      </c>
      <c r="Q7" s="2">
        <v>10000261</v>
      </c>
      <c r="R7" s="2">
        <v>7077059</v>
      </c>
      <c r="S7" s="2">
        <v>7077132</v>
      </c>
      <c r="T7" s="2">
        <v>7077061</v>
      </c>
      <c r="U7" s="2" t="s">
        <v>30</v>
      </c>
      <c r="V7" s="2" t="s">
        <v>91</v>
      </c>
      <c r="W7" s="2" t="s">
        <v>5</v>
      </c>
      <c r="X7" s="2" t="s">
        <v>53</v>
      </c>
      <c r="Y7" s="2" t="s">
        <v>53</v>
      </c>
      <c r="Z7" s="2" t="s">
        <v>53</v>
      </c>
      <c r="AA7" s="5">
        <f ca="1">TODAY()-5</f>
        <v>45954</v>
      </c>
      <c r="AB7" s="5">
        <f ca="1" t="shared" si="7" ref="AB7:AB8">AA7</f>
        <v>45954</v>
      </c>
      <c r="AC7" s="5">
        <f ca="1" t="shared" si="8" ref="AC7:AC8">AA7</f>
        <v>45954</v>
      </c>
      <c r="AD7" s="2" t="s">
        <v>92</v>
      </c>
      <c r="AE7" s="2" t="str">
        <f t="shared" si="9" ref="AE7:AE8">AD7</f>
        <v>G008</v>
      </c>
      <c r="AF7" s="2" t="str">
        <f t="shared" si="10" ref="AF7:AF8">AD7</f>
        <v>G008</v>
      </c>
      <c r="AG7" s="1" t="s">
        <v>61</v>
      </c>
      <c r="AH7" s="1" t="s">
        <v>55</v>
      </c>
      <c r="AI7" s="7" t="e">
        <f>[1]Output!A7</f>
        <v>#REF!</v>
      </c>
      <c r="AJ7" s="2" t="s">
        <v>32</v>
      </c>
      <c r="AK7" s="1">
        <v>10</v>
      </c>
      <c r="AL7" s="4" t="s">
        <v>13</v>
      </c>
      <c r="AM7" s="1" t="s">
        <v>33</v>
      </c>
      <c r="AN7" s="1" t="s">
        <v>33</v>
      </c>
      <c r="AO7" s="2" t="s">
        <v>9</v>
      </c>
      <c r="AP7" s="6" t="e">
        <f t="shared" si="11" ref="AP7:AP8">AI7</f>
        <v>#REF!</v>
      </c>
      <c r="AQ7" s="6"/>
      <c r="AR7" s="10">
        <v>25</v>
      </c>
      <c r="AS7" s="2" t="e">
        <f t="shared" si="12" ref="AS7:AS8">CONCATENATE("DN",AP7)</f>
        <v>#REF!</v>
      </c>
      <c r="AT7" s="2" t="s">
        <v>89</v>
      </c>
      <c r="AU7" s="2" t="s">
        <v>89</v>
      </c>
      <c r="AV7" s="2" t="s">
        <v>89</v>
      </c>
      <c r="AW7" s="1" t="s">
        <v>55</v>
      </c>
      <c r="AX7" s="1" t="s">
        <v>55</v>
      </c>
      <c r="AY7" s="7" t="e">
        <f>[1]Output!B7</f>
        <v>#REF!</v>
      </c>
      <c r="AZ7" s="1" t="s">
        <v>102</v>
      </c>
      <c r="BA7" s="1" t="s">
        <v>25</v>
      </c>
      <c r="BB7" s="1" t="s">
        <v>74</v>
      </c>
      <c r="BC7" s="1" t="s">
        <v>56</v>
      </c>
      <c r="BD7" s="1" t="s">
        <v>56</v>
      </c>
      <c r="BE7" s="1" t="s">
        <v>26</v>
      </c>
      <c r="BF7" s="2" t="s">
        <v>64</v>
      </c>
      <c r="BG7" s="1" t="s">
        <v>70</v>
      </c>
      <c r="BH7" s="1" t="s">
        <v>48</v>
      </c>
      <c r="BI7" s="6" t="e">
        <f ca="1" t="shared" si="13" ref="BI7:BI8">CONCATENATE(AY7,YEAR(TODAY()))</f>
        <v>#REF!</v>
      </c>
      <c r="BJ7" s="1" t="s">
        <v>55</v>
      </c>
      <c r="BK7" s="4" t="e">
        <f ca="1" t="shared" si="14" ref="BK7:BK8">BI7</f>
        <v>#REF!</v>
      </c>
      <c r="BL7" s="4" t="s">
        <v>15</v>
      </c>
      <c r="BM7" s="1" t="s">
        <v>21</v>
      </c>
      <c r="BN7" s="11" t="s">
        <v>37</v>
      </c>
    </row>
    <row r="8">
      <c r="A8" s="9">
        <v>7</v>
      </c>
      <c r="B8" s="9" t="s">
        <v>112</v>
      </c>
      <c r="C8" s="3" t="s">
        <v>50</v>
      </c>
      <c r="D8" s="3" t="s">
        <v>27</v>
      </c>
      <c r="E8" s="3" t="s">
        <v>105</v>
      </c>
      <c r="F8" s="3" t="s">
        <v>58</v>
      </c>
      <c r="G8" s="3" t="s">
        <v>76</v>
      </c>
      <c r="H8" s="1" t="s">
        <v>1</v>
      </c>
      <c r="I8" s="1" t="s">
        <v>87</v>
      </c>
      <c r="J8" s="1" t="s">
        <v>87</v>
      </c>
      <c r="K8" s="2" t="s">
        <v>3</v>
      </c>
      <c r="L8" s="2" t="s">
        <v>43</v>
      </c>
      <c r="M8" s="2" t="s">
        <v>28</v>
      </c>
      <c r="N8" s="2" t="s">
        <v>17</v>
      </c>
      <c r="O8" s="2" t="s">
        <v>97</v>
      </c>
      <c r="P8" s="2" t="s">
        <v>89</v>
      </c>
      <c r="Q8" s="2">
        <v>10000261</v>
      </c>
      <c r="R8" s="2" t="s">
        <v>107</v>
      </c>
      <c r="S8" s="2" t="s">
        <v>12</v>
      </c>
      <c r="T8" s="2" t="s">
        <v>72</v>
      </c>
      <c r="U8" s="2" t="s">
        <v>30</v>
      </c>
      <c r="V8" s="2" t="s">
        <v>91</v>
      </c>
      <c r="W8" s="2" t="s">
        <v>5</v>
      </c>
      <c r="X8" s="2" t="s">
        <v>53</v>
      </c>
      <c r="Y8" s="2" t="s">
        <v>53</v>
      </c>
      <c r="Z8" s="2" t="s">
        <v>53</v>
      </c>
      <c r="AA8" s="5">
        <f ca="1">TODAY()-1</f>
        <v>45958</v>
      </c>
      <c r="AB8" s="5">
        <f ca="1" t="shared" si="7"/>
        <v>45958</v>
      </c>
      <c r="AC8" s="5">
        <f ca="1" t="shared" si="8"/>
        <v>45958</v>
      </c>
      <c r="AD8" s="2" t="s">
        <v>92</v>
      </c>
      <c r="AE8" s="2" t="str">
        <f t="shared" si="9"/>
        <v>G008</v>
      </c>
      <c r="AF8" s="2" t="str">
        <f t="shared" si="10"/>
        <v>G008</v>
      </c>
      <c r="AG8" s="1" t="s">
        <v>61</v>
      </c>
      <c r="AH8" s="1" t="s">
        <v>55</v>
      </c>
      <c r="AI8" s="7" t="e">
        <f>[1]Output!A8</f>
        <v>#REF!</v>
      </c>
      <c r="AJ8" s="2" t="s">
        <v>32</v>
      </c>
      <c r="AK8" s="1">
        <v>10</v>
      </c>
      <c r="AL8" s="4" t="s">
        <v>13</v>
      </c>
      <c r="AM8" s="1" t="s">
        <v>33</v>
      </c>
      <c r="AN8" s="1" t="s">
        <v>33</v>
      </c>
      <c r="AO8" s="2" t="s">
        <v>9</v>
      </c>
      <c r="AP8" s="6" t="e">
        <f t="shared" si="11"/>
        <v>#REF!</v>
      </c>
      <c r="AQ8" s="6"/>
      <c r="AR8" s="10">
        <v>20</v>
      </c>
      <c r="AS8" s="2" t="e">
        <f t="shared" si="12"/>
        <v>#REF!</v>
      </c>
      <c r="AT8" s="2" t="s">
        <v>89</v>
      </c>
      <c r="AU8" s="2" t="s">
        <v>89</v>
      </c>
      <c r="AV8" s="2" t="s">
        <v>89</v>
      </c>
      <c r="AW8" s="1" t="s">
        <v>55</v>
      </c>
      <c r="AX8" s="1" t="s">
        <v>55</v>
      </c>
      <c r="AY8" s="7" t="e">
        <f>[1]Output!B8</f>
        <v>#REF!</v>
      </c>
      <c r="AZ8" s="1" t="s">
        <v>102</v>
      </c>
      <c r="BA8" s="1" t="s">
        <v>25</v>
      </c>
      <c r="BB8" s="1" t="s">
        <v>74</v>
      </c>
      <c r="BC8" s="1" t="s">
        <v>56</v>
      </c>
      <c r="BD8" s="1" t="s">
        <v>56</v>
      </c>
      <c r="BE8" s="1" t="s">
        <v>26</v>
      </c>
      <c r="BF8" s="2" t="s">
        <v>64</v>
      </c>
      <c r="BG8" s="1" t="s">
        <v>70</v>
      </c>
      <c r="BH8" s="1" t="s">
        <v>48</v>
      </c>
      <c r="BI8" s="6" t="e">
        <f ca="1" t="shared" si="13"/>
        <v>#REF!</v>
      </c>
      <c r="BJ8" s="1" t="s">
        <v>55</v>
      </c>
      <c r="BK8" s="4" t="e">
        <f ca="1" t="shared" si="14"/>
        <v>#REF!</v>
      </c>
      <c r="BL8" s="4" t="s">
        <v>15</v>
      </c>
      <c r="BM8" s="1" t="s">
        <v>21</v>
      </c>
      <c r="BN8" s="11" t="s">
        <v>37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2">
        <v>7076625</v>
      </c>
      <c r="S11" s="2">
        <v>7076670</v>
      </c>
      <c r="T11" s="2">
        <v>7076685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workbookViewId="0">
      <selection activeCell="A2" sqref="A2"/>
    </sheetView>
  </sheetViews>
  <sheetFormatPr defaultColWidth="9.125" defaultRowHeight="14.25"/>
  <cols>
    <col min="1" max="1" width="25.625" style="12" bestFit="1" customWidth="1"/>
    <col min="2" max="2" width="25" style="12" bestFit="1" customWidth="1"/>
    <col min="3" max="16384" width="9.125" style="12" customWidth="1"/>
  </cols>
  <sheetData>
    <row r="1" ht="12.75" customHeight="1" customFormat="1">
      <c r="A1" t="s">
        <v>16</v>
      </c>
      <c r="B1" t="s">
        <v>49</v>
      </c>
      <c r="C1" t="s">
        <v>38</v>
      </c>
    </row>
    <row r="2">
      <c r="A2" s="1">
        <v>5218866980</v>
      </c>
      <c r="B2" s="1">
        <v>5034359185</v>
      </c>
      <c r="C2" s="11"/>
    </row>
    <row r="3">
      <c r="A3" s="1"/>
      <c r="B3" s="1"/>
      <c r="C3" s="11"/>
    </row>
    <row r="4">
      <c r="A4" s="1">
        <v>5236298619</v>
      </c>
      <c r="B4" s="1">
        <v>5079044729</v>
      </c>
      <c r="C4" s="11"/>
    </row>
    <row r="5">
      <c r="A5" s="1">
        <v>5236300065</v>
      </c>
      <c r="B5" s="1">
        <v>5079046327</v>
      </c>
      <c r="C5" s="11">
        <v>3800699688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