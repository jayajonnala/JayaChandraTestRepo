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1_016" sheetId="4" r:id="rId4"/>
    <sheet name="TC2_Test_02LIV01_016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<sst xmlns="http://schemas.openxmlformats.org/spreadsheetml/2006/main" uniqueCount="71">
  <si>
    <t/>
  </si>
  <si>
    <t>DT_SAPTRANSACTIONCODE</t>
  </si>
  <si>
    <t>DT_MIRO_0010_AMOUNT</t>
  </si>
  <si>
    <t>DT_EXPECTEDVALUE_OCC3</t>
  </si>
  <si>
    <t>DT_MIRO_120_CHECK_TEXT_OF_Status</t>
  </si>
  <si>
    <t>DT_MIRO_120_GETTEXT_PU_NBR_OUTPUT</t>
  </si>
  <si>
    <t>DN0</t>
  </si>
  <si>
    <t>DT_MIRO_0010_REFERENCE</t>
  </si>
  <si>
    <t>DT_EXPECTEDTRANSACTIONCODE_OCC4</t>
  </si>
  <si>
    <t>DT_MIRO_120_OKCD</t>
  </si>
  <si>
    <t>/nexit</t>
  </si>
  <si>
    <t>Scenario</t>
  </si>
  <si>
    <t>DT_MIRO_0010_POSTING_DATE</t>
  </si>
  <si>
    <t>DT_MIRO_6310_CHECK_TEXT_OF_TABLECELL_AMOUNT_3</t>
  </si>
  <si>
    <t>%blank%</t>
  </si>
  <si>
    <t>DT_MIRO_100_VARIANT_OCC2</t>
  </si>
  <si>
    <t>OFF</t>
  </si>
  <si>
    <t>AT_3_1_06 LIV Local Vendor DC and DSD Invoice with Untied Empties</t>
  </si>
  <si>
    <t>200</t>
  </si>
  <si>
    <t>GR02</t>
  </si>
  <si>
    <t>ON</t>
  </si>
  <si>
    <t>DT_EXPECTEDVALUE</t>
  </si>
  <si>
    <t>SESSION_MANAGER</t>
  </si>
  <si>
    <t xml:space="preserve">0,00 </t>
  </si>
  <si>
    <t>DT_IDOC_OUTPUT</t>
  </si>
  <si>
    <t>DT_SAPSYSTEM</t>
  </si>
  <si>
    <t>AUTOAB</t>
  </si>
  <si>
    <t>54363b985b32332e19fc27af1d85c6bf1fbcd011bd52a981</t>
  </si>
  <si>
    <t>DT_SAPLANGUAGE</t>
  </si>
  <si>
    <t>DT_SAPOPTIONS</t>
  </si>
  <si>
    <t>S</t>
  </si>
  <si>
    <t>WE09</t>
  </si>
  <si>
    <t>DT_EXPECTEDTRANSACTIONCODE_OCC5</t>
  </si>
  <si>
    <t>Row</t>
  </si>
  <si>
    <t>DT_MIRO_6310_CHECK_TEXT_OF_TABLECELL_AMOUNT_0</t>
  </si>
  <si>
    <t>DT_MIRO_200_GETCELLVALUE_OF_GRIDCELL_0_DOCNR</t>
  </si>
  <si>
    <t>DT_MIRO_6000_OKCD_OCC2</t>
  </si>
  <si>
    <t>DT_MIRO_1000_TEST_MODE_OCC2</t>
  </si>
  <si>
    <t>DT_MIRO_120_GETTEXT_OF_PU_NBR</t>
  </si>
  <si>
    <t>DN5201419863</t>
  </si>
  <si>
    <t>DT_MIRO_0010_INVOICE_DATE</t>
  </si>
  <si>
    <t>DT_MIRO_100_CREATED_BY_OCC2</t>
  </si>
  <si>
    <t>DT_GET_AMOUNT_OUTPUT</t>
  </si>
  <si>
    <t>PU40022506</t>
  </si>
  <si>
    <t>EN</t>
  </si>
  <si>
    <t>MIRO</t>
  </si>
  <si>
    <t>DT_MIRO_6212_RM08MLFSNR</t>
  </si>
  <si>
    <t>DT_MIRO_6000_TRANSACTION_OCC2</t>
  </si>
  <si>
    <t>DT_EXPECTEDTRANSACTIONCODE_OCC2</t>
  </si>
  <si>
    <t>DT_EXPECTEDTRANSACTIONCODE_OCC6</t>
  </si>
  <si>
    <t>DT_EXPECTEDTRANSACTIONCODE</t>
  </si>
  <si>
    <t>DT_MIRO_6310_CHECK_TEXT_OF_TABLECELL_AMOUNT_1</t>
  </si>
  <si>
    <t>MIR4</t>
  </si>
  <si>
    <t>DT_MIRO_1000_FOR_VALUE</t>
  </si>
  <si>
    <t>DT_MIRO_1000_COMPANY_CODE</t>
  </si>
  <si>
    <t>DT_EXPECTEDVALUE_OCC2</t>
  </si>
  <si>
    <t>J1GP01</t>
  </si>
  <si>
    <t>R1E - SAP RETAIL Pre-Production EUROPE</t>
  </si>
  <si>
    <t>DT_SAPPASSWORD</t>
  </si>
  <si>
    <t>DT_MIRO_6000_INV_NUMBER</t>
  </si>
  <si>
    <t>/ZMDIV_MIRO</t>
  </si>
  <si>
    <t>DT_MIRO_1000_DOCUMENT_OCC2</t>
  </si>
  <si>
    <t>DT_MIRO_200_GETCELLVALUE_DOCNR_OUTPUT</t>
  </si>
  <si>
    <t>DT_SAPUSER</t>
  </si>
  <si>
    <t>DT_MIRO_0010_CALCULATE_TAX_OCC2</t>
  </si>
  <si>
    <t>DT_EXPECTEDTRANSACTIONCODE_OCC3</t>
  </si>
  <si>
    <t>DT_MIRO_100_OKCD</t>
  </si>
  <si>
    <t>DT_DOC_NUM_OUTPUT</t>
  </si>
  <si>
    <t>DT_SAPCLIENT</t>
  </si>
  <si>
    <t>DT_MIRO_6310_CHECK_TEXT_OF_TABLECELL_AMOUNT_2</t>
  </si>
  <si>
    <t>DT_MIRO_6000_OKCD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</si>
</sst>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6" borderId="1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6" borderId="1" xfId="0" applyFont="1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4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1_016_LocVend_DC-DSD_Invoice_w_Untied_Emptie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Q4"/>
  <sheetViews>
    <sheetView topLeftCell="H1" workbookViewId="0">
      <selection activeCell="H2" sqref="H2"/>
    </sheetView>
  </sheetViews>
  <sheetFormatPr defaultColWidth="9.125" defaultRowHeight="14.25"/>
  <cols>
    <col min="1" max="1" width="4.75" style="15" customWidth="1"/>
    <col min="2" max="2" width="62.625" style="15" customWidth="1"/>
    <col min="3" max="3" width="38.125" style="15" customWidth="1"/>
    <col min="4" max="4" width="15" style="15" customWidth="1"/>
    <col min="5" max="5" width="13.625" style="15" customWidth="1"/>
    <col min="6" max="6" width="48.5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30.875" style="15" customWidth="1"/>
    <col min="12" max="12" width="29" style="15" customWidth="1"/>
    <col min="13" max="13" width="29.875" style="15" customWidth="1"/>
    <col min="14" max="14" width="26.875" style="15" customWidth="1"/>
    <col min="15" max="15" width="23.75" style="15" customWidth="1"/>
    <col min="16" max="16" width="36.75" style="15" customWidth="1"/>
    <col min="17" max="17" width="27.875" style="15" customWidth="1"/>
    <col min="18" max="22" width="53.625" style="15" customWidth="1"/>
    <col min="23" max="23" width="20.75" style="15" customWidth="1"/>
    <col min="24" max="24" width="41.625" style="15" customWidth="1"/>
    <col min="25" max="25" width="39.25" style="15" customWidth="1"/>
    <col min="26" max="26" width="20.5" style="15" customWidth="1"/>
    <col min="27" max="27" width="39.25" style="15" customWidth="1"/>
    <col min="28" max="28" width="32.75" style="15" customWidth="1"/>
    <col min="29" max="29" width="47.875" style="15" customWidth="1"/>
    <col min="30" max="30" width="27.375" style="15" customWidth="1"/>
    <col min="31" max="31" width="26.625" style="15" customWidth="1"/>
    <col min="32" max="32" width="19.5" style="15" customWidth="1"/>
    <col min="33" max="33" width="39.25" style="15" customWidth="1"/>
    <col min="34" max="34" width="57.25" style="15" customWidth="1"/>
    <col min="35" max="35" width="26.375" style="15" customWidth="1"/>
    <col min="36" max="36" width="39.25" style="15" customWidth="1"/>
    <col min="37" max="37" width="32" style="15" customWidth="1"/>
    <col min="38" max="38" width="32.75" style="15" customWidth="1"/>
    <col min="39" max="39" width="26.625" style="15" customWidth="1"/>
    <col min="40" max="40" width="40.875" style="15" customWidth="1"/>
    <col min="41" max="41" width="92.5" style="15" customWidth="1"/>
    <col min="42" max="42" width="19.5" style="15" customWidth="1"/>
    <col min="43" max="43" width="39.25" style="15" customWidth="1"/>
    <col min="44" max="16384" width="9.125" style="15" customWidth="1"/>
  </cols>
  <sheetData>
    <row r="1" ht="12.75" customHeight="1" customFormat="1">
      <c r="A1" t="s">
        <v>33</v>
      </c>
      <c r="B1" t="s">
        <v>11</v>
      </c>
      <c r="C1" t="s">
        <v>25</v>
      </c>
      <c r="D1" t="s">
        <v>68</v>
      </c>
      <c r="E1" t="s">
        <v>63</v>
      </c>
      <c r="F1" t="s">
        <v>58</v>
      </c>
      <c r="G1" t="s">
        <v>28</v>
      </c>
      <c r="H1" t="s">
        <v>29</v>
      </c>
      <c r="I1" t="s">
        <v>1</v>
      </c>
      <c r="J1" t="s">
        <v>50</v>
      </c>
      <c r="K1" t="s">
        <v>54</v>
      </c>
      <c r="L1" t="s">
        <v>40</v>
      </c>
      <c r="M1" t="s">
        <v>12</v>
      </c>
      <c r="N1" t="s">
        <v>7</v>
      </c>
      <c r="O1" t="s">
        <v>2</v>
      </c>
      <c r="P1" t="s">
        <v>64</v>
      </c>
      <c r="Q1" t="s">
        <v>46</v>
      </c>
      <c r="R1" t="s">
        <v>34</v>
      </c>
      <c r="S1" t="s">
        <v>51</v>
      </c>
      <c r="T1" t="s">
        <v>69</v>
      </c>
      <c r="U1" t="s">
        <v>13</v>
      </c>
      <c r="V1" t="s">
        <v>47</v>
      </c>
      <c r="W1" t="s">
        <v>21</v>
      </c>
      <c r="X1" t="s">
        <v>59</v>
      </c>
      <c r="Y1" t="s">
        <v>48</v>
      </c>
      <c r="Z1" t="s">
        <v>70</v>
      </c>
      <c r="AA1" t="s">
        <v>65</v>
      </c>
      <c r="AB1" t="s">
        <v>41</v>
      </c>
      <c r="AC1" t="s">
        <v>15</v>
      </c>
      <c r="AD1" t="s">
        <v>53</v>
      </c>
      <c r="AE1" t="s">
        <v>55</v>
      </c>
      <c r="AF1" t="s">
        <v>66</v>
      </c>
      <c r="AG1" t="s">
        <v>8</v>
      </c>
      <c r="AH1" t="s">
        <v>35</v>
      </c>
      <c r="AI1" t="s">
        <v>36</v>
      </c>
      <c r="AJ1" t="s">
        <v>32</v>
      </c>
      <c r="AK1" t="s">
        <v>61</v>
      </c>
      <c r="AL1" t="s">
        <v>37</v>
      </c>
      <c r="AM1" t="s">
        <v>3</v>
      </c>
      <c r="AN1" t="s">
        <v>38</v>
      </c>
      <c r="AO1" t="s">
        <v>4</v>
      </c>
      <c r="AP1" t="s">
        <v>9</v>
      </c>
      <c r="AQ1" t="s">
        <v>49</v>
      </c>
    </row>
    <row r="2">
      <c r="A2" s="7">
        <v>1</v>
      </c>
      <c r="B2" s="7"/>
      <c r="C2" s="2" t="s">
        <v>57</v>
      </c>
      <c r="D2" s="2" t="s">
        <v>18</v>
      </c>
      <c r="E2" s="2" t="s">
        <v>26</v>
      </c>
      <c r="F2" s="2" t="s">
        <v>27</v>
      </c>
      <c r="G2" s="2" t="s">
        <v>44</v>
      </c>
      <c r="H2" s="2" t="s">
        <v>0</v>
      </c>
      <c r="I2" s="1" t="s">
        <v>45</v>
      </c>
      <c r="J2" s="1" t="s">
        <v>45</v>
      </c>
      <c r="K2" s="5" t="s">
        <v>19</v>
      </c>
      <c r="L2" s="8">
        <f ca="1" t="shared" si="0" ref="L2:M2">TODAY()</f>
        <v>45960</v>
      </c>
      <c r="M2" s="8">
        <f ca="1" t="shared" si="0"/>
        <v>45960</v>
      </c>
      <c r="N2" s="9" t="str">
        <f>CONCATENATE("IN",Q2)</f>
        <v>INDN5201419863</v>
      </c>
      <c r="O2" s="5">
        <v>181.08000000000001</v>
      </c>
      <c r="P2" s="5" t="s">
        <v>20</v>
      </c>
      <c r="Q2" s="12" t="s">
        <v>39</v>
      </c>
      <c r="R2" s="3">
        <v>0.029999999999999999</v>
      </c>
      <c r="S2" s="3">
        <v>64</v>
      </c>
      <c r="T2" s="3">
        <v>32.399999999999999</v>
      </c>
      <c r="U2" s="3">
        <v>56</v>
      </c>
      <c r="V2" s="3">
        <v>1</v>
      </c>
      <c r="W2" s="1" t="s">
        <v>30</v>
      </c>
      <c r="X2" s="4" t="e">
        <f>[1]Output!D2</f>
        <v>#REF!</v>
      </c>
      <c r="Y2" s="1" t="s">
        <v>52</v>
      </c>
      <c r="Z2" s="1" t="s">
        <v>31</v>
      </c>
      <c r="AA2" s="1" t="s">
        <v>31</v>
      </c>
      <c r="AB2" s="1" t="s">
        <v>14</v>
      </c>
      <c r="AC2" s="1" t="s">
        <v>60</v>
      </c>
      <c r="AD2" s="11" t="e">
        <f>X2</f>
        <v>#REF!</v>
      </c>
      <c r="AE2" s="1" t="s">
        <v>30</v>
      </c>
      <c r="AF2" s="1" t="s">
        <v>52</v>
      </c>
      <c r="AG2" s="1" t="s">
        <v>52</v>
      </c>
      <c r="AH2" s="4" t="e">
        <f>[1]Output!F2</f>
        <v>#REF!</v>
      </c>
      <c r="AI2" s="1" t="s">
        <v>56</v>
      </c>
      <c r="AJ2" s="1" t="s">
        <v>56</v>
      </c>
      <c r="AK2" s="9" t="e">
        <f>AH2</f>
        <v>#REF!</v>
      </c>
      <c r="AL2" s="1" t="s">
        <v>16</v>
      </c>
      <c r="AM2" s="1" t="s">
        <v>30</v>
      </c>
      <c r="AN2" s="4" t="e">
        <f>[1]Output!G2</f>
        <v>#REF!</v>
      </c>
      <c r="AO2" s="14" t="e">
        <f>CONCATENATE("Document ",AN2," was posted in company code ",K2)</f>
        <v>#REF!</v>
      </c>
      <c r="AP2" s="1" t="s">
        <v>10</v>
      </c>
      <c r="AQ2" s="13" t="s">
        <v>22</v>
      </c>
    </row>
    <row r="3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3"/>
    </row>
    <row r="4">
      <c r="A4" s="6">
        <v>3</v>
      </c>
      <c r="B4" s="6" t="s">
        <v>17</v>
      </c>
      <c r="C4" s="2" t="s">
        <v>57</v>
      </c>
      <c r="D4" s="2" t="s">
        <v>18</v>
      </c>
      <c r="E4" s="2" t="s">
        <v>26</v>
      </c>
      <c r="F4" s="2" t="s">
        <v>27</v>
      </c>
      <c r="G4" s="2" t="s">
        <v>44</v>
      </c>
      <c r="H4" s="2" t="s">
        <v>0</v>
      </c>
      <c r="I4" s="1" t="s">
        <v>45</v>
      </c>
      <c r="J4" s="1" t="s">
        <v>45</v>
      </c>
      <c r="K4" s="5" t="s">
        <v>19</v>
      </c>
      <c r="L4" s="8">
        <f ca="1">TODAY()</f>
        <v>45960</v>
      </c>
      <c r="M4" s="8">
        <f ca="1">TODAY()+1</f>
        <v>45961</v>
      </c>
      <c r="N4" s="9" t="str">
        <f>CONCATENATE("IN",Q4)</f>
        <v>INDN0</v>
      </c>
      <c r="O4" s="5">
        <v>691.03999999999996</v>
      </c>
      <c r="P4" s="5" t="s">
        <v>20</v>
      </c>
      <c r="Q4" s="12" t="s">
        <v>6</v>
      </c>
      <c r="R4" s="3"/>
      <c r="S4" s="3"/>
      <c r="T4" s="3"/>
      <c r="U4" s="3"/>
      <c r="V4" s="3">
        <v>1</v>
      </c>
      <c r="W4" s="1" t="s">
        <v>30</v>
      </c>
      <c r="X4" s="4" t="e">
        <f>[1]Output!D4</f>
        <v>#REF!</v>
      </c>
      <c r="Y4" s="1" t="s">
        <v>52</v>
      </c>
      <c r="Z4" s="1" t="s">
        <v>31</v>
      </c>
      <c r="AA4" s="1" t="s">
        <v>31</v>
      </c>
      <c r="AB4" s="1" t="s">
        <v>14</v>
      </c>
      <c r="AC4" s="1" t="s">
        <v>60</v>
      </c>
      <c r="AD4" s="11" t="e">
        <f>X4</f>
        <v>#REF!</v>
      </c>
      <c r="AE4" s="1" t="s">
        <v>30</v>
      </c>
      <c r="AF4" s="1" t="s">
        <v>52</v>
      </c>
      <c r="AG4" s="1" t="s">
        <v>52</v>
      </c>
      <c r="AH4" s="4" t="e">
        <f>[1]Output!F4</f>
        <v>#REF!</v>
      </c>
      <c r="AI4" s="1" t="s">
        <v>56</v>
      </c>
      <c r="AJ4" s="1" t="s">
        <v>56</v>
      </c>
      <c r="AK4" s="9" t="e">
        <f>AH4</f>
        <v>#REF!</v>
      </c>
      <c r="AL4" s="1" t="s">
        <v>16</v>
      </c>
      <c r="AM4" s="1" t="s">
        <v>30</v>
      </c>
      <c r="AN4" s="4" t="e">
        <f>[1]Output!G4</f>
        <v>#REF!</v>
      </c>
      <c r="AO4" s="14" t="e">
        <f>CONCATENATE("Document ",AN4," was posted in company code ",K4)</f>
        <v>#REF!</v>
      </c>
      <c r="AP4" s="1" t="s">
        <v>10</v>
      </c>
      <c r="AQ4" s="13" t="s">
        <v>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4"/>
  <sheetViews>
    <sheetView topLeftCell="C1" workbookViewId="0">
      <selection activeCell="C2" sqref="C2"/>
    </sheetView>
  </sheetViews>
  <sheetFormatPr defaultColWidth="9.125" defaultRowHeight="14.25"/>
  <cols>
    <col min="1" max="1" width="9.125" style="15" customWidth="1"/>
    <col min="2" max="2" width="60.25" style="15" bestFit="1" customWidth="1"/>
    <col min="3" max="3" width="60.25" style="15" customWidth="1"/>
    <col min="4" max="4" width="23.125" style="15" bestFit="1" customWidth="1"/>
    <col min="5" max="5" width="18" style="15" bestFit="1" customWidth="1"/>
    <col min="6" max="6" width="46.5" style="15" bestFit="1" customWidth="1"/>
    <col min="7" max="7" width="41.125" style="15" bestFit="1" customWidth="1"/>
    <col min="8" max="16384" width="9.125" style="15" customWidth="1"/>
  </cols>
  <sheetData>
    <row r="1" ht="12.75" customHeight="1" customFormat="1">
      <c r="A1" t="s">
        <v>33</v>
      </c>
      <c r="B1" t="s">
        <v>11</v>
      </c>
      <c r="C1" t="s">
        <v>42</v>
      </c>
      <c r="D1" t="s">
        <v>67</v>
      </c>
      <c r="E1" t="s">
        <v>24</v>
      </c>
      <c r="F1" t="s">
        <v>62</v>
      </c>
      <c r="G1" t="s">
        <v>5</v>
      </c>
    </row>
    <row r="2">
      <c r="A2" s="7">
        <v>1</v>
      </c>
      <c r="B2" s="7"/>
      <c r="C2" s="1"/>
      <c r="D2" s="1"/>
      <c r="E2" s="1"/>
      <c r="F2" s="1"/>
      <c r="G2" s="13"/>
    </row>
    <row r="3">
      <c r="A3" s="1">
        <v>2</v>
      </c>
      <c r="B3" s="1"/>
      <c r="C3" s="1"/>
      <c r="D3" s="1"/>
      <c r="E3" s="1"/>
      <c r="F3" s="1"/>
      <c r="G3" s="13"/>
    </row>
    <row r="4">
      <c r="A4" s="6">
        <v>3</v>
      </c>
      <c r="B4" s="6" t="s">
        <v>17</v>
      </c>
      <c r="C4" s="1" t="s">
        <v>23</v>
      </c>
      <c r="D4" s="1">
        <v>6056578987</v>
      </c>
      <c r="E4" s="1"/>
      <c r="F4" s="1">
        <v>5140022506</v>
      </c>
      <c r="G4" s="13" t="s">
        <v>43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0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