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1_Test_02ORD0201_024" sheetId="3" r:id="rId3"/>
    <sheet name="TC2_Test_02ORD0201_025" sheetId="4" r:id="rId4"/>
    <sheet name="TC3_Test_02ORD0201_028" sheetId="5" r:id="rId5"/>
    <sheet name="TC4_Test_02ORD0201_030" sheetId="6" r:id="rId6"/>
    <sheet name="TC5_Test_02ORD0201_031" sheetId="7" r:id="rId7"/>
  </sheets>
  <calcPr calcId="40001"/>
</workbook>
</file>

<file path=xl/sharedStrings.xml><?xml version="1.0" encoding="utf-8"?>
<sst xmlns="http://schemas.openxmlformats.org/spreadsheetml/2006/main" uniqueCount="61">
  <si>
    <t>DT_SAPTRANSACTIONCODE</t>
  </si>
  <si>
    <t>Release to vendor via email or EDI or Print-Meat &amp; Fish</t>
  </si>
  <si>
    <t>01 - Release via printed document</t>
  </si>
  <si>
    <t>AUTOFAB</t>
  </si>
  <si>
    <t>BUYJCMGR</t>
  </si>
  <si>
    <t>01 - Release to vendor via email or EDI or Print</t>
  </si>
  <si>
    <t>AUTOTEST</t>
  </si>
  <si>
    <t>DT_ME21N_1211_TABLECELL_SITE_0</t>
  </si>
  <si>
    <t>Scenario</t>
  </si>
  <si>
    <t>%blank%</t>
  </si>
  <si>
    <t>ZMPO</t>
  </si>
  <si>
    <t>05 - 13.Import procurement from Delhaize\Release to vendor via email or EDI or Print</t>
  </si>
  <si>
    <t>Release to vendor via printed;  DN GR with SURP; DN-Invoice GR with SURP</t>
  </si>
  <si>
    <t>200</t>
  </si>
  <si>
    <t>DT_EXPECTEDVALUE</t>
  </si>
  <si>
    <t>GR02</t>
  </si>
  <si>
    <t>ON</t>
  </si>
  <si>
    <t>SESSION_MANAGER</t>
  </si>
  <si>
    <t>Release to vendor via email - DN Invoice GR (normal case)</t>
  </si>
  <si>
    <t>DT_SAPSYSTEM</t>
  </si>
  <si>
    <t>init-123</t>
  </si>
  <si>
    <t>10000232</t>
  </si>
  <si>
    <t>G06</t>
  </si>
  <si>
    <t>01 PO BP Create Order - Error Message</t>
  </si>
  <si>
    <t>RGS - SAP RETAIL Staging GLOBAL</t>
  </si>
  <si>
    <t>DT_SAPLANGUAGE</t>
  </si>
  <si>
    <t>DT_SAPOPTIONS</t>
  </si>
  <si>
    <t>10000389</t>
  </si>
  <si>
    <t>01-PO Dry\01 BP Create Order - Error Message</t>
  </si>
  <si>
    <t>DT_ME21N_1211_TABLECELL_PO_QUANTITY_0</t>
  </si>
  <si>
    <t>DT_PO_NUMBER</t>
  </si>
  <si>
    <t>10000502</t>
  </si>
  <si>
    <t>Row_Number</t>
  </si>
  <si>
    <t>10000226</t>
  </si>
  <si>
    <t>EN</t>
  </si>
  <si>
    <t>DT_EXPECTEDTRANSACTIONCODE_OCC2</t>
  </si>
  <si>
    <t>52a5cba5919fce32e5bb1c049111e8cda7f0ac699712</t>
  </si>
  <si>
    <t>DT_EXPECTEDTRANSACTIONCODE</t>
  </si>
  <si>
    <t>ME21N</t>
  </si>
  <si>
    <t>DT_ME21N_1221_PURCH_ORG</t>
  </si>
  <si>
    <t>DT_ME21N_1211_TABLECELL_ARTICLE_0</t>
  </si>
  <si>
    <t>10</t>
  </si>
  <si>
    <t>DT_ME21N_1211_SAPLMEGUITC_1211</t>
  </si>
  <si>
    <t>R1E - SAP RETAIL Pre-Production EUROPE</t>
  </si>
  <si>
    <t>DT_SAPPASSWORD</t>
  </si>
  <si>
    <t>E</t>
  </si>
  <si>
    <t>DT_ME21N_1105_VENDOR</t>
  </si>
  <si>
    <t>gp01</t>
  </si>
  <si>
    <t>G22</t>
  </si>
  <si>
    <t>GW17</t>
  </si>
  <si>
    <t>Release to vendor via email; DN GR with DEF; DN-Invoice GR with DEF</t>
  </si>
  <si>
    <t>DT_SAPUSER</t>
  </si>
  <si>
    <t>5357ad1a0c47930650cdbcc05eca08602f3a08dbd65a</t>
  </si>
  <si>
    <t>DT_ME21N_1221_COMPANY_CODE</t>
  </si>
  <si>
    <t>RXP</t>
  </si>
  <si>
    <t>DT_SAPCLIENT</t>
  </si>
  <si>
    <t>DT_ME21N_1105_MEPO_TOPLINEBSART</t>
  </si>
  <si>
    <t>DT_ME21N_1221_PURCH_GROUP</t>
  </si>
  <si>
    <t>DT_ME21N_1211_TABLECELL_DELIV_DATE_0</t>
  </si>
  <si>
    <t>True</t>
  </si>
  <si>
    <t>DT_ME21N_1211_TABLECELL_FREE_1</t>
  </si>
</sst>
</file>

<file path=xl/styles.xml><?xml version="1.0" encoding="utf-8"?>
<styleSheet xmlns="http://schemas.openxmlformats.org/spreadsheetml/2006/main">
  <numFmts count="1">
    <numFmt numFmtId="164" formatCode="dd\.mm\.yyyy"/>
  </numFmts>
  <fonts count="18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3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164" fontId="1" fillId="5" borderId="1" xfId="0" applyNumberFormat="1" applyFill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6" borderId="2" xfId="0" applyFill="1" applyBorder="1" applyProtection="1">
      <protection locked="0"/>
    </xf>
    <xf numFmtId="0" fontId="1" fillId="0" borderId="2" xfId="0" applyBorder="1" applyProtection="1">
      <protection locked="0"/>
    </xf>
    <xf numFmtId="11" fontId="1" fillId="3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13"/>
  <sheetViews>
    <sheetView topLeftCell="Q1" workbookViewId="0">
      <selection activeCell="Q2" sqref="Q2"/>
    </sheetView>
  </sheetViews>
  <sheetFormatPr defaultColWidth="9.125" defaultRowHeight="14.25"/>
  <cols>
    <col min="1" max="1" width="12.5" style="12" customWidth="1"/>
    <col min="2" max="2" width="72.5" style="12" customWidth="1"/>
    <col min="3" max="3" width="38.125" style="12" customWidth="1"/>
    <col min="4" max="4" width="15" style="12" customWidth="1"/>
    <col min="5" max="5" width="13.625" style="12" customWidth="1"/>
    <col min="6" max="6" width="55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1" width="37.5" style="12" customWidth="1"/>
    <col min="12" max="12" width="20.75" style="12" customWidth="1"/>
    <col min="13" max="13" width="24.75" style="12" customWidth="1"/>
    <col min="14" max="14" width="28.5" style="12" customWidth="1"/>
    <col min="15" max="15" width="31.125" style="12" customWidth="1"/>
    <col min="16" max="16" width="32.25" style="12" customWidth="1"/>
    <col min="17" max="17" width="38.125" style="12" customWidth="1"/>
    <col min="18" max="18" width="43.5" style="12" customWidth="1"/>
    <col min="19" max="19" width="41.75" style="12" customWidth="1"/>
    <col min="20" max="20" width="34.5" style="12" customWidth="1"/>
    <col min="21" max="21" width="35" style="12" customWidth="1"/>
    <col min="22" max="22" width="35.25" style="12" customWidth="1"/>
    <col min="23" max="23" width="39.25" style="12" customWidth="1"/>
    <col min="24" max="24" width="16.375" style="12" customWidth="1"/>
    <col min="25" max="16384" width="9.125" style="12" customWidth="1"/>
  </cols>
  <sheetData>
    <row r="1" ht="12.75" customHeight="1" customFormat="1">
      <c r="A1" t="s">
        <v>32</v>
      </c>
      <c r="B1" t="s">
        <v>8</v>
      </c>
      <c r="C1" t="s">
        <v>19</v>
      </c>
      <c r="D1" t="s">
        <v>55</v>
      </c>
      <c r="E1" t="s">
        <v>51</v>
      </c>
      <c r="F1" t="s">
        <v>44</v>
      </c>
      <c r="G1" t="s">
        <v>25</v>
      </c>
      <c r="H1" t="s">
        <v>26</v>
      </c>
      <c r="I1" t="s">
        <v>0</v>
      </c>
      <c r="J1" t="s">
        <v>37</v>
      </c>
      <c r="K1" t="s">
        <v>56</v>
      </c>
      <c r="L1" t="s">
        <v>14</v>
      </c>
      <c r="M1" t="s">
        <v>46</v>
      </c>
      <c r="N1" t="s">
        <v>39</v>
      </c>
      <c r="O1" t="s">
        <v>57</v>
      </c>
      <c r="P1" t="s">
        <v>53</v>
      </c>
      <c r="Q1" t="s">
        <v>40</v>
      </c>
      <c r="R1" t="s">
        <v>29</v>
      </c>
      <c r="S1" t="s">
        <v>58</v>
      </c>
      <c r="T1" t="s">
        <v>7</v>
      </c>
      <c r="U1" t="s">
        <v>42</v>
      </c>
      <c r="V1" t="s">
        <v>60</v>
      </c>
      <c r="W1" t="s">
        <v>35</v>
      </c>
      <c r="X1" t="s">
        <v>30</v>
      </c>
    </row>
    <row r="2">
      <c r="A2" s="6">
        <v>1</v>
      </c>
      <c r="B2" s="6" t="s">
        <v>5</v>
      </c>
      <c r="C2" s="3" t="s">
        <v>43</v>
      </c>
      <c r="D2" s="3" t="s">
        <v>13</v>
      </c>
      <c r="E2" s="3" t="s">
        <v>3</v>
      </c>
      <c r="F2" s="3" t="s">
        <v>20</v>
      </c>
      <c r="G2" s="3" t="s">
        <v>34</v>
      </c>
      <c r="H2" s="3" t="s">
        <v>9</v>
      </c>
      <c r="I2" s="4" t="s">
        <v>38</v>
      </c>
      <c r="J2" s="4" t="s">
        <v>38</v>
      </c>
      <c r="K2" s="2" t="s">
        <v>10</v>
      </c>
      <c r="L2" s="2" t="s">
        <v>45</v>
      </c>
      <c r="M2" s="2">
        <v>10000587</v>
      </c>
      <c r="N2" s="2" t="s">
        <v>47</v>
      </c>
      <c r="O2" s="2" t="s">
        <v>48</v>
      </c>
      <c r="P2" s="2" t="s">
        <v>15</v>
      </c>
      <c r="Q2" s="8">
        <v>7126111</v>
      </c>
      <c r="R2" s="2" t="s">
        <v>41</v>
      </c>
      <c r="S2" s="7">
        <f ca="1" t="shared" si="0" ref="S2:S8">TODAY()+14</f>
        <v>45972</v>
      </c>
      <c r="T2" s="2" t="s">
        <v>49</v>
      </c>
      <c r="U2" s="4" t="s">
        <v>59</v>
      </c>
      <c r="V2" s="4" t="s">
        <v>16</v>
      </c>
      <c r="W2" s="4" t="s">
        <v>17</v>
      </c>
      <c r="X2" s="9">
        <v>4300062353</v>
      </c>
    </row>
    <row r="3">
      <c r="A3" s="6">
        <v>2</v>
      </c>
      <c r="B3" s="6" t="s">
        <v>11</v>
      </c>
      <c r="C3" s="3" t="s">
        <v>43</v>
      </c>
      <c r="D3" s="3" t="s">
        <v>13</v>
      </c>
      <c r="E3" s="3" t="s">
        <v>3</v>
      </c>
      <c r="F3" s="3" t="s">
        <v>20</v>
      </c>
      <c r="G3" s="3" t="s">
        <v>34</v>
      </c>
      <c r="H3" s="3" t="s">
        <v>9</v>
      </c>
      <c r="I3" s="4" t="s">
        <v>38</v>
      </c>
      <c r="J3" s="4" t="s">
        <v>38</v>
      </c>
      <c r="K3" s="2" t="s">
        <v>10</v>
      </c>
      <c r="L3" s="2" t="s">
        <v>45</v>
      </c>
      <c r="M3" s="2" t="s">
        <v>31</v>
      </c>
      <c r="N3" s="2" t="s">
        <v>47</v>
      </c>
      <c r="O3" s="2" t="s">
        <v>48</v>
      </c>
      <c r="P3" s="2" t="s">
        <v>15</v>
      </c>
      <c r="Q3" s="8">
        <v>7063964</v>
      </c>
      <c r="R3" s="2" t="s">
        <v>41</v>
      </c>
      <c r="S3" s="7">
        <f ca="1" t="shared" si="0"/>
        <v>45972</v>
      </c>
      <c r="T3" s="2" t="s">
        <v>49</v>
      </c>
      <c r="U3" s="4" t="s">
        <v>59</v>
      </c>
      <c r="V3" s="4" t="s">
        <v>16</v>
      </c>
      <c r="W3" s="4" t="s">
        <v>17</v>
      </c>
      <c r="X3" s="9">
        <v>4300062095</v>
      </c>
    </row>
    <row r="4">
      <c r="A4" s="6">
        <v>3</v>
      </c>
      <c r="B4" s="6" t="s">
        <v>18</v>
      </c>
      <c r="C4" s="3" t="s">
        <v>43</v>
      </c>
      <c r="D4" s="3" t="s">
        <v>13</v>
      </c>
      <c r="E4" s="3" t="s">
        <v>3</v>
      </c>
      <c r="F4" s="3" t="s">
        <v>20</v>
      </c>
      <c r="G4" s="3" t="s">
        <v>34</v>
      </c>
      <c r="H4" s="3" t="s">
        <v>9</v>
      </c>
      <c r="I4" s="4" t="s">
        <v>38</v>
      </c>
      <c r="J4" s="4" t="s">
        <v>38</v>
      </c>
      <c r="K4" s="2" t="s">
        <v>10</v>
      </c>
      <c r="L4" s="2" t="s">
        <v>45</v>
      </c>
      <c r="M4" s="2" t="s">
        <v>31</v>
      </c>
      <c r="N4" s="2" t="s">
        <v>47</v>
      </c>
      <c r="O4" s="2" t="s">
        <v>48</v>
      </c>
      <c r="P4" s="2" t="s">
        <v>15</v>
      </c>
      <c r="Q4" s="8">
        <v>7063964</v>
      </c>
      <c r="R4" s="2" t="s">
        <v>41</v>
      </c>
      <c r="S4" s="7">
        <f ca="1" t="shared" si="0"/>
        <v>45972</v>
      </c>
      <c r="T4" s="2" t="s">
        <v>49</v>
      </c>
      <c r="U4" s="4" t="s">
        <v>59</v>
      </c>
      <c r="V4" s="4" t="s">
        <v>16</v>
      </c>
      <c r="W4" s="4" t="s">
        <v>17</v>
      </c>
      <c r="X4" s="9">
        <v>4300062095</v>
      </c>
    </row>
    <row r="5">
      <c r="A5" s="6">
        <v>4</v>
      </c>
      <c r="B5" s="6" t="s">
        <v>1</v>
      </c>
      <c r="C5" s="3" t="s">
        <v>43</v>
      </c>
      <c r="D5" s="3" t="s">
        <v>13</v>
      </c>
      <c r="E5" s="3" t="s">
        <v>3</v>
      </c>
      <c r="F5" s="3" t="s">
        <v>20</v>
      </c>
      <c r="G5" s="3" t="s">
        <v>34</v>
      </c>
      <c r="H5" s="3" t="s">
        <v>9</v>
      </c>
      <c r="I5" s="4" t="s">
        <v>38</v>
      </c>
      <c r="J5" s="4" t="s">
        <v>38</v>
      </c>
      <c r="K5" s="2" t="s">
        <v>10</v>
      </c>
      <c r="L5" s="2" t="s">
        <v>45</v>
      </c>
      <c r="M5" s="2" t="s">
        <v>31</v>
      </c>
      <c r="N5" s="2" t="s">
        <v>47</v>
      </c>
      <c r="O5" s="2" t="s">
        <v>48</v>
      </c>
      <c r="P5" s="2" t="s">
        <v>15</v>
      </c>
      <c r="Q5" s="8">
        <v>7063964</v>
      </c>
      <c r="R5" s="2" t="s">
        <v>41</v>
      </c>
      <c r="S5" s="7">
        <f ca="1" t="shared" si="0"/>
        <v>45972</v>
      </c>
      <c r="T5" s="2" t="s">
        <v>49</v>
      </c>
      <c r="U5" s="4" t="s">
        <v>59</v>
      </c>
      <c r="V5" s="4" t="s">
        <v>16</v>
      </c>
      <c r="W5" s="4" t="s">
        <v>17</v>
      </c>
      <c r="X5" s="9">
        <v>4300062095</v>
      </c>
    </row>
    <row r="6">
      <c r="A6" s="6">
        <v>5</v>
      </c>
      <c r="B6" s="6" t="s">
        <v>50</v>
      </c>
      <c r="C6" s="3" t="s">
        <v>43</v>
      </c>
      <c r="D6" s="3" t="s">
        <v>13</v>
      </c>
      <c r="E6" s="3" t="s">
        <v>3</v>
      </c>
      <c r="F6" s="3" t="s">
        <v>20</v>
      </c>
      <c r="G6" s="3" t="s">
        <v>34</v>
      </c>
      <c r="H6" s="3" t="s">
        <v>9</v>
      </c>
      <c r="I6" s="4" t="s">
        <v>38</v>
      </c>
      <c r="J6" s="4" t="s">
        <v>38</v>
      </c>
      <c r="K6" s="2" t="s">
        <v>10</v>
      </c>
      <c r="L6" s="2" t="s">
        <v>45</v>
      </c>
      <c r="M6" s="2" t="s">
        <v>31</v>
      </c>
      <c r="N6" s="2" t="s">
        <v>47</v>
      </c>
      <c r="O6" s="2" t="s">
        <v>48</v>
      </c>
      <c r="P6" s="2" t="s">
        <v>15</v>
      </c>
      <c r="Q6" s="8">
        <v>7063964</v>
      </c>
      <c r="R6" s="2" t="s">
        <v>41</v>
      </c>
      <c r="S6" s="7">
        <f ca="1" t="shared" si="0"/>
        <v>45972</v>
      </c>
      <c r="T6" s="2" t="s">
        <v>49</v>
      </c>
      <c r="U6" s="4" t="s">
        <v>59</v>
      </c>
      <c r="V6" s="4" t="s">
        <v>16</v>
      </c>
      <c r="W6" s="4" t="s">
        <v>17</v>
      </c>
      <c r="X6" s="9">
        <v>4300062095</v>
      </c>
    </row>
    <row r="7">
      <c r="A7" s="6">
        <v>6</v>
      </c>
      <c r="B7" s="6" t="s">
        <v>12</v>
      </c>
      <c r="C7" s="3" t="s">
        <v>43</v>
      </c>
      <c r="D7" s="3" t="s">
        <v>13</v>
      </c>
      <c r="E7" s="3" t="s">
        <v>3</v>
      </c>
      <c r="F7" s="3" t="s">
        <v>20</v>
      </c>
      <c r="G7" s="3" t="s">
        <v>34</v>
      </c>
      <c r="H7" s="3" t="s">
        <v>9</v>
      </c>
      <c r="I7" s="4" t="s">
        <v>38</v>
      </c>
      <c r="J7" s="4" t="s">
        <v>38</v>
      </c>
      <c r="K7" s="2" t="s">
        <v>10</v>
      </c>
      <c r="L7" s="2" t="s">
        <v>45</v>
      </c>
      <c r="M7" s="2" t="s">
        <v>31</v>
      </c>
      <c r="N7" s="2" t="s">
        <v>47</v>
      </c>
      <c r="O7" s="2" t="s">
        <v>48</v>
      </c>
      <c r="P7" s="2" t="s">
        <v>15</v>
      </c>
      <c r="Q7" s="8">
        <v>7063964</v>
      </c>
      <c r="R7" s="2" t="s">
        <v>41</v>
      </c>
      <c r="S7" s="7">
        <f ca="1" t="shared" si="0"/>
        <v>45972</v>
      </c>
      <c r="T7" s="2" t="s">
        <v>49</v>
      </c>
      <c r="U7" s="4" t="s">
        <v>59</v>
      </c>
      <c r="V7" s="4" t="s">
        <v>16</v>
      </c>
      <c r="W7" s="4" t="s">
        <v>17</v>
      </c>
      <c r="X7" s="9">
        <v>4300062095</v>
      </c>
    </row>
    <row r="8">
      <c r="A8" s="6">
        <v>7</v>
      </c>
      <c r="B8" s="6" t="s">
        <v>2</v>
      </c>
      <c r="C8" s="3" t="s">
        <v>43</v>
      </c>
      <c r="D8" s="3" t="s">
        <v>13</v>
      </c>
      <c r="E8" s="3" t="s">
        <v>3</v>
      </c>
      <c r="F8" s="3" t="s">
        <v>20</v>
      </c>
      <c r="G8" s="3" t="s">
        <v>34</v>
      </c>
      <c r="H8" s="3" t="s">
        <v>9</v>
      </c>
      <c r="I8" s="4" t="s">
        <v>38</v>
      </c>
      <c r="J8" s="4" t="s">
        <v>38</v>
      </c>
      <c r="K8" s="2" t="s">
        <v>10</v>
      </c>
      <c r="L8" s="2" t="s">
        <v>45</v>
      </c>
      <c r="M8" s="2" t="s">
        <v>31</v>
      </c>
      <c r="N8" s="2" t="s">
        <v>47</v>
      </c>
      <c r="O8" s="2" t="s">
        <v>48</v>
      </c>
      <c r="P8" s="2" t="s">
        <v>15</v>
      </c>
      <c r="Q8" s="8">
        <v>7063964</v>
      </c>
      <c r="R8" s="2" t="s">
        <v>41</v>
      </c>
      <c r="S8" s="7">
        <f ca="1" t="shared" si="0"/>
        <v>45972</v>
      </c>
      <c r="T8" s="2" t="s">
        <v>49</v>
      </c>
      <c r="U8" s="4" t="s">
        <v>59</v>
      </c>
      <c r="V8" s="4" t="s">
        <v>16</v>
      </c>
      <c r="W8" s="4" t="s">
        <v>17</v>
      </c>
      <c r="X8" s="9">
        <v>4300062095</v>
      </c>
    </row>
    <row r="9">
      <c r="A9" s="6">
        <v>8</v>
      </c>
      <c r="B9" s="1"/>
      <c r="C9" s="1"/>
      <c r="D9" s="1"/>
      <c r="E9" s="3" t="s">
        <v>3</v>
      </c>
      <c r="F9" s="3" t="s">
        <v>20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0"/>
    </row>
    <row r="10">
      <c r="A10" s="6">
        <v>9</v>
      </c>
      <c r="B10" s="6" t="s">
        <v>28</v>
      </c>
      <c r="C10" s="3" t="s">
        <v>43</v>
      </c>
      <c r="D10" s="3" t="s">
        <v>13</v>
      </c>
      <c r="E10" s="3" t="s">
        <v>3</v>
      </c>
      <c r="F10" s="3" t="s">
        <v>20</v>
      </c>
      <c r="G10" s="3" t="s">
        <v>34</v>
      </c>
      <c r="H10" s="3" t="s">
        <v>9</v>
      </c>
      <c r="I10" s="4" t="s">
        <v>38</v>
      </c>
      <c r="J10" s="4" t="s">
        <v>38</v>
      </c>
      <c r="K10" s="2" t="s">
        <v>10</v>
      </c>
      <c r="L10" s="2" t="s">
        <v>45</v>
      </c>
      <c r="M10" s="2" t="s">
        <v>27</v>
      </c>
      <c r="N10" s="2" t="s">
        <v>47</v>
      </c>
      <c r="O10" s="2" t="s">
        <v>22</v>
      </c>
      <c r="P10" s="2" t="s">
        <v>15</v>
      </c>
      <c r="Q10" s="8">
        <v>7085638</v>
      </c>
      <c r="R10" s="2" t="s">
        <v>41</v>
      </c>
      <c r="S10" s="7">
        <f ca="1" t="shared" si="1" ref="S10:S11">TODAY()+14</f>
        <v>45972</v>
      </c>
      <c r="T10" s="2" t="s">
        <v>49</v>
      </c>
      <c r="U10" s="4" t="s">
        <v>59</v>
      </c>
      <c r="V10" s="4" t="s">
        <v>16</v>
      </c>
      <c r="W10" s="4" t="s">
        <v>17</v>
      </c>
      <c r="X10" s="9">
        <v>4303833815</v>
      </c>
    </row>
    <row r="11">
      <c r="A11" s="6">
        <v>10</v>
      </c>
      <c r="B11" s="6" t="s">
        <v>54</v>
      </c>
      <c r="C11" s="3" t="s">
        <v>54</v>
      </c>
      <c r="D11" s="3" t="s">
        <v>13</v>
      </c>
      <c r="E11" s="3" t="s">
        <v>6</v>
      </c>
      <c r="F11" s="11" t="s">
        <v>36</v>
      </c>
      <c r="G11" s="3" t="s">
        <v>34</v>
      </c>
      <c r="H11" s="3" t="s">
        <v>9</v>
      </c>
      <c r="I11" s="4" t="s">
        <v>38</v>
      </c>
      <c r="J11" s="4" t="s">
        <v>38</v>
      </c>
      <c r="K11" s="2" t="s">
        <v>10</v>
      </c>
      <c r="L11" s="2" t="s">
        <v>45</v>
      </c>
      <c r="M11" s="2" t="s">
        <v>21</v>
      </c>
      <c r="N11" s="2" t="s">
        <v>47</v>
      </c>
      <c r="O11" s="2" t="s">
        <v>22</v>
      </c>
      <c r="P11" s="2" t="s">
        <v>15</v>
      </c>
      <c r="Q11" s="8">
        <v>7085856</v>
      </c>
      <c r="R11" s="2" t="s">
        <v>41</v>
      </c>
      <c r="S11" s="7">
        <f ca="1" t="shared" si="1"/>
        <v>45972</v>
      </c>
      <c r="T11" s="2" t="s">
        <v>49</v>
      </c>
      <c r="U11" s="4" t="s">
        <v>59</v>
      </c>
      <c r="V11" s="4" t="s">
        <v>16</v>
      </c>
      <c r="W11" s="4" t="s">
        <v>17</v>
      </c>
      <c r="X11" s="9">
        <v>4300234954</v>
      </c>
    </row>
    <row r="12">
      <c r="A12" s="6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0"/>
    </row>
    <row r="13">
      <c r="A13" s="6">
        <v>12</v>
      </c>
      <c r="B13" s="6" t="s">
        <v>23</v>
      </c>
      <c r="C13" s="3" t="s">
        <v>24</v>
      </c>
      <c r="D13" s="3" t="s">
        <v>13</v>
      </c>
      <c r="E13" s="3" t="s">
        <v>4</v>
      </c>
      <c r="F13" s="11" t="s">
        <v>52</v>
      </c>
      <c r="G13" s="3" t="s">
        <v>34</v>
      </c>
      <c r="H13" s="3" t="s">
        <v>9</v>
      </c>
      <c r="I13" s="4" t="s">
        <v>38</v>
      </c>
      <c r="J13" s="4" t="s">
        <v>38</v>
      </c>
      <c r="K13" s="2" t="s">
        <v>10</v>
      </c>
      <c r="L13" s="2" t="s">
        <v>45</v>
      </c>
      <c r="M13" s="2" t="s">
        <v>33</v>
      </c>
      <c r="N13" s="2" t="s">
        <v>47</v>
      </c>
      <c r="O13" s="2" t="s">
        <v>22</v>
      </c>
      <c r="P13" s="2" t="s">
        <v>15</v>
      </c>
      <c r="Q13" s="8">
        <v>7088046</v>
      </c>
      <c r="R13" s="2" t="s">
        <v>41</v>
      </c>
      <c r="S13" s="7">
        <f ca="1">TODAY()+14</f>
        <v>45972</v>
      </c>
      <c r="T13" s="2" t="s">
        <v>49</v>
      </c>
      <c r="U13" s="4" t="s">
        <v>59</v>
      </c>
      <c r="V13" s="4" t="s">
        <v>16</v>
      </c>
      <c r="W13" s="4" t="s">
        <v>17</v>
      </c>
      <c r="X13" s="9">
        <v>4300012932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ColWidth="9.42578125" defaultRowHeight="15.1"/>
  <cols>
    <col min="1" max="16384" width="9.42578125" style="5" customWidth="1"/>
  </cols>
  <sheetData>
    <row r="1" customFormat="1"/>
  </sheetData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