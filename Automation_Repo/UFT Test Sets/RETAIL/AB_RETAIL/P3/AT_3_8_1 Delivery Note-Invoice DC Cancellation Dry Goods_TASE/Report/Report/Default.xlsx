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_1" sheetId="3" r:id="rId3"/>
    <sheet name="TC1_Test_PRE_02LIV07" sheetId="4" r:id="rId4"/>
    <sheet name="TC2_Test_Get_Article_Numbe" sheetId="5" r:id="rId5"/>
    <sheet name="DataTransfer_2" sheetId="6" r:id="rId6"/>
    <sheet name="TC3_Test_02LIV08_001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<sst xmlns="http://schemas.openxmlformats.org/spreadsheetml/2006/main" uniqueCount="84">
  <si>
    <t/>
  </si>
  <si>
    <t>DT_SAPTRANSACTIONCODE</t>
  </si>
  <si>
    <t>DT_EXPECTEDVALUE_OCC3</t>
  </si>
  <si>
    <t>DT_MR8M_0304_ITEM_OK_OCC3</t>
  </si>
  <si>
    <t>DT_MR8M_120_OKCD</t>
  </si>
  <si>
    <t>DT_MR8M_2010_GODYNPROMAT_DOC</t>
  </si>
  <si>
    <t>DT_MR8M_0200_SAPLMIGOTV_GOITEM_OCC2</t>
  </si>
  <si>
    <t>DT_NUM3</t>
  </si>
  <si>
    <t>DT_PU_ORD_OUTPUT</t>
  </si>
  <si>
    <t>DT_MR8M_1000_FOR_VALUE</t>
  </si>
  <si>
    <t>DT_EXPECTEDTRANSACTIONCODE_OCC4</t>
  </si>
  <si>
    <t>DT_MR8M_1_CHECK_TEXT_OF_STATUSBAR</t>
  </si>
  <si>
    <t>DT_MR8M_1000_SEARCH_IN_FIELD</t>
  </si>
  <si>
    <t>OFF</t>
  </si>
  <si>
    <t>200</t>
  </si>
  <si>
    <t>DT_EXPECTEDVALUE</t>
  </si>
  <si>
    <t>ZMDIV_VINV01</t>
  </si>
  <si>
    <t>DT_MR8M_200_GRIDCELL_0_DOC_NUMBER</t>
  </si>
  <si>
    <t>MIGO</t>
  </si>
  <si>
    <t>DT_MR8M_2010_TRANSACTION</t>
  </si>
  <si>
    <t>DT_MR8M_0304_ITEM_OK</t>
  </si>
  <si>
    <t>ON</t>
  </si>
  <si>
    <t>DT_IDOC_OUTPUT</t>
  </si>
  <si>
    <t>DT_SAPSYSTEM</t>
  </si>
  <si>
    <t>AUTOAB</t>
  </si>
  <si>
    <t>DT_MR8M_INSERT</t>
  </si>
  <si>
    <t>DT_SAPLANGUAGE</t>
  </si>
  <si>
    <t>DT_SAPOPTIONS</t>
  </si>
  <si>
    <t>S</t>
  </si>
  <si>
    <t>WE09</t>
  </si>
  <si>
    <t>DT_MR8M_1000_LOGICAL_MESSAGE</t>
  </si>
  <si>
    <t>ZZMDIV_E1RBKP</t>
  </si>
  <si>
    <t>DT_MR8M_6150_INVOICE_DOCUMENT_NO</t>
  </si>
  <si>
    <t>0</t>
  </si>
  <si>
    <t>DT_EXPECTEDTRANSACTIONCODE_OCC5</t>
  </si>
  <si>
    <t>DT_MR8M_1000_TEST_MODE</t>
  </si>
  <si>
    <t>DT_MR8M_0200_SAPLMIGOTV_GOITEM_OCC3</t>
  </si>
  <si>
    <t>DT_MR8M_300_OKCD</t>
  </si>
  <si>
    <t>DT_MR8M_1000_DOCUMENT2</t>
  </si>
  <si>
    <t>DT_MR8M_120_CHECK_TEXT_OF_DOCUMENT_PU10000047_WAS_POSTED_IN_COMPANY_CODE_GR02_2</t>
  </si>
  <si>
    <t>DT_MR8M_1000_SEARCH_IN_SEGMENT</t>
  </si>
  <si>
    <t>DT_MR8M_0200_SAPLMIGOTV_GOITEM</t>
  </si>
  <si>
    <t>DT_GETTEXT_PU_NBR_OUTPUT</t>
  </si>
  <si>
    <t>FB03</t>
  </si>
  <si>
    <t>DT_MR8M_750_OKCD2</t>
  </si>
  <si>
    <t>DT_MR8M_1000_TEST_MODE_2</t>
  </si>
  <si>
    <t>A03</t>
  </si>
  <si>
    <t>5437a04a21e66f6527e527dfa825c285e0597d03328a917b</t>
  </si>
  <si>
    <t>EN</t>
  </si>
  <si>
    <t>DT_MR8M_300_REVERSAL_REASON</t>
  </si>
  <si>
    <t>DT_EXPECTEDTRANSACTIONCODE_OCC2</t>
  </si>
  <si>
    <t>1</t>
  </si>
  <si>
    <t>DT_MR8M_1000_BASIC_TYPE</t>
  </si>
  <si>
    <t>DT_EXPECTEDTRANSACTIONCODE_OCC6</t>
  </si>
  <si>
    <t>DT_INVOICE</t>
  </si>
  <si>
    <t>DT_NUM_OUTPUT</t>
  </si>
  <si>
    <t>DT_EXPECTEDTRANSACTIONCODE</t>
  </si>
  <si>
    <t>DT_MR8M_300_FISCAL_YEAR</t>
  </si>
  <si>
    <t>DT_NUM</t>
  </si>
  <si>
    <t>MIR4</t>
  </si>
  <si>
    <t>03</t>
  </si>
  <si>
    <t>BELNR</t>
  </si>
  <si>
    <t>DT_EXPECTEDVALUE_OCC2</t>
  </si>
  <si>
    <t>DT_MR8M_750_OKCD</t>
  </si>
  <si>
    <t>J1GP01</t>
  </si>
  <si>
    <t>DT_MR8M_0304_ITEM_OK_OCC2</t>
  </si>
  <si>
    <t>R1E - SAP RETAIL Pre-Production EUROPE</t>
  </si>
  <si>
    <t>DT_SAPPASSWORD</t>
  </si>
  <si>
    <t>ZMDIV_MIRO</t>
  </si>
  <si>
    <t>DT_MR8M_100_CHECK_TEXT_OF_TABLECELL_FLD_CONT_0</t>
  </si>
  <si>
    <t>DT_MR8M_100_OKCD</t>
  </si>
  <si>
    <t>DT_MR8M_120_CHECK_TEXT_OF_DOCUMENT_PU10000047_WAS_POSTED_IN_COMPANY_CODE_GR02</t>
  </si>
  <si>
    <t>DT_MIRO_200_GETCELLVALUE_DOCNR_OUTPUT</t>
  </si>
  <si>
    <t>DT_SAPUSER</t>
  </si>
  <si>
    <t>MR8M</t>
  </si>
  <si>
    <t>DT_MR8M_300_INVOICE_DOCUMENT_NO</t>
  </si>
  <si>
    <t>DT_MR8M_1000_DIRECTION__1OUTB__2INB</t>
  </si>
  <si>
    <t>DT_EXPECTEDTRANSACTIONCODE_OCC3</t>
  </si>
  <si>
    <t>DT_MR8M_6150_FISCAL_YEAR</t>
  </si>
  <si>
    <t>2</t>
  </si>
  <si>
    <t>DT_SAPCLIENT</t>
  </si>
  <si>
    <t>DT_MR8M_300_CHECK_TEXT_OF_STATUSBAR</t>
  </si>
  <si>
    <t>DT_MR8M_750_CHECK_TEXT_OF_DOCUMENT_NUMBER</t>
  </si>
  <si>
    <t>DT_MR8M_1000_DOCUMENT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</si>
</sst>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2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2" fillId="0" borderId="2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8_001_Deliv_Note-Invoice_DC_Cancellation_Dry_Good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C2"/>
  <sheetViews>
    <sheetView topLeftCell="AQ1" workbookViewId="0">
      <selection activeCell="AQ2" sqref="AQ2"/>
    </sheetView>
  </sheetViews>
  <sheetFormatPr defaultColWidth="9.125" defaultRowHeight="14.25"/>
  <cols>
    <col min="1" max="1" width="38.125" style="7" customWidth="1"/>
    <col min="2" max="2" width="15" style="7" customWidth="1"/>
    <col min="3" max="3" width="13.625" style="7" customWidth="1"/>
    <col min="4" max="4" width="48" style="7" customWidth="1"/>
    <col min="5" max="5" width="18.625" style="7" customWidth="1"/>
    <col min="6" max="6" width="16.75" style="7" customWidth="1"/>
    <col min="7" max="7" width="27.125" style="7" customWidth="1"/>
    <col min="8" max="8" width="33.375" style="7" customWidth="1"/>
    <col min="9" max="9" width="38" style="7" customWidth="1"/>
    <col min="10" max="10" width="27.5" style="7" customWidth="1"/>
    <col min="11" max="11" width="33.875" style="7" customWidth="1"/>
    <col min="12" max="12" width="20.75" style="7" customWidth="1"/>
    <col min="13" max="13" width="11" style="7" customWidth="1"/>
    <col min="14" max="14" width="65.25" style="7" customWidth="1"/>
    <col min="15" max="15" width="20.125" style="7" customWidth="1"/>
    <col min="16" max="16" width="39.25" style="7" customWidth="1"/>
    <col min="17" max="17" width="40.625" style="7" customWidth="1"/>
    <col min="18" max="18" width="27.5" style="7" customWidth="1"/>
    <col min="19" max="19" width="33.875" style="7" customWidth="1"/>
    <col min="20" max="20" width="37.875" style="7" customWidth="1"/>
    <col min="21" max="21" width="33.875" style="7" customWidth="1"/>
    <col min="22" max="22" width="28" style="7" customWidth="1"/>
    <col min="23" max="23" width="26.625" style="7" customWidth="1"/>
    <col min="24" max="24" width="54.875" style="7" customWidth="1"/>
    <col min="25" max="25" width="20.125" style="7" customWidth="1"/>
    <col min="26" max="26" width="39.25" style="7" customWidth="1"/>
    <col min="27" max="27" width="39" style="7" customWidth="1"/>
    <col min="28" max="28" width="28.5" style="7" customWidth="1"/>
    <col min="29" max="29" width="40.25" style="7" customWidth="1"/>
    <col min="30" max="30" width="39.25" style="7" customWidth="1"/>
    <col min="31" max="31" width="18" style="7" customWidth="1"/>
    <col min="32" max="32" width="51.5" style="7" customWidth="1"/>
    <col min="33" max="33" width="20.125" style="7" customWidth="1"/>
    <col min="34" max="34" width="39.25" style="7" customWidth="1"/>
    <col min="35" max="35" width="26.75" style="7" customWidth="1"/>
    <col min="36" max="36" width="27.5" style="7" customWidth="1"/>
    <col min="37" max="37" width="26.625" style="7" customWidth="1"/>
    <col min="38" max="38" width="93.125" style="7" customWidth="1"/>
    <col min="39" max="39" width="26.625" style="7" customWidth="1"/>
    <col min="40" max="40" width="28.5" style="7" customWidth="1"/>
    <col min="41" max="41" width="29.5" style="7" customWidth="1"/>
    <col min="42" max="42" width="95.125" style="7" customWidth="1"/>
    <col min="43" max="43" width="20.125" style="7" customWidth="1"/>
    <col min="44" max="44" width="39.25" style="7" customWidth="1"/>
    <col min="45" max="45" width="29.75" style="7" customWidth="1"/>
    <col min="46" max="46" width="35.75" style="7" customWidth="1"/>
    <col min="47" max="47" width="36.25" style="7" customWidth="1"/>
    <col min="48" max="48" width="24" style="7" customWidth="1"/>
    <col min="49" max="49" width="29.875" style="7" customWidth="1"/>
    <col min="50" max="51" width="42.125" style="7" customWidth="1"/>
    <col min="52" max="52" width="29.875" style="7" customWidth="1"/>
    <col min="53" max="53" width="11.625" style="7" customWidth="1"/>
    <col min="54" max="54" width="41.125" style="7" customWidth="1"/>
    <col min="55" max="55" width="12.125" style="11" customWidth="1"/>
    <col min="56" max="16384" width="9.125" style="7" customWidth="1"/>
  </cols>
  <sheetData>
    <row r="1" ht="12.75" customHeight="1" customFormat="1">
      <c r="A1" t="s">
        <v>23</v>
      </c>
      <c r="B1" t="s">
        <v>80</v>
      </c>
      <c r="C1" t="s">
        <v>73</v>
      </c>
      <c r="D1" t="s">
        <v>67</v>
      </c>
      <c r="E1" t="s">
        <v>26</v>
      </c>
      <c r="F1" t="s">
        <v>27</v>
      </c>
      <c r="G1" t="s">
        <v>1</v>
      </c>
      <c r="H1" t="s">
        <v>56</v>
      </c>
      <c r="I1" t="s">
        <v>75</v>
      </c>
      <c r="J1" t="s">
        <v>57</v>
      </c>
      <c r="K1" t="s">
        <v>49</v>
      </c>
      <c r="L1" t="s">
        <v>15</v>
      </c>
      <c r="M1" t="s">
        <v>58</v>
      </c>
      <c r="N1" t="s">
        <v>81</v>
      </c>
      <c r="O1" t="s">
        <v>37</v>
      </c>
      <c r="P1" t="s">
        <v>50</v>
      </c>
      <c r="Q1" t="s">
        <v>76</v>
      </c>
      <c r="R1" t="s">
        <v>52</v>
      </c>
      <c r="S1" t="s">
        <v>30</v>
      </c>
      <c r="T1" t="s">
        <v>40</v>
      </c>
      <c r="U1" t="s">
        <v>12</v>
      </c>
      <c r="V1" t="s">
        <v>9</v>
      </c>
      <c r="W1" t="s">
        <v>62</v>
      </c>
      <c r="X1" t="s">
        <v>69</v>
      </c>
      <c r="Y1" t="s">
        <v>70</v>
      </c>
      <c r="Z1" t="s">
        <v>77</v>
      </c>
      <c r="AA1" t="s">
        <v>32</v>
      </c>
      <c r="AB1" t="s">
        <v>78</v>
      </c>
      <c r="AC1" t="s">
        <v>17</v>
      </c>
      <c r="AD1" t="s">
        <v>10</v>
      </c>
      <c r="AE1" t="s">
        <v>25</v>
      </c>
      <c r="AF1" t="s">
        <v>82</v>
      </c>
      <c r="AG1" t="s">
        <v>63</v>
      </c>
      <c r="AH1" t="s">
        <v>34</v>
      </c>
      <c r="AI1" t="s">
        <v>83</v>
      </c>
      <c r="AJ1" t="s">
        <v>35</v>
      </c>
      <c r="AK1" t="s">
        <v>2</v>
      </c>
      <c r="AL1" t="s">
        <v>71</v>
      </c>
      <c r="AM1" t="s">
        <v>44</v>
      </c>
      <c r="AN1" t="s">
        <v>38</v>
      </c>
      <c r="AO1" t="s">
        <v>45</v>
      </c>
      <c r="AP1" t="s">
        <v>39</v>
      </c>
      <c r="AQ1" t="s">
        <v>4</v>
      </c>
      <c r="AR1" t="s">
        <v>53</v>
      </c>
      <c r="AS1" t="s">
        <v>19</v>
      </c>
      <c r="AT1" t="s">
        <v>5</v>
      </c>
      <c r="AU1" t="s">
        <v>41</v>
      </c>
      <c r="AV1" t="s">
        <v>20</v>
      </c>
      <c r="AW1" t="s">
        <v>65</v>
      </c>
      <c r="AX1" t="s">
        <v>6</v>
      </c>
      <c r="AY1" t="s">
        <v>36</v>
      </c>
      <c r="AZ1" t="s">
        <v>3</v>
      </c>
      <c r="BA1" t="s">
        <v>7</v>
      </c>
      <c r="BB1" t="s">
        <v>11</v>
      </c>
      <c r="BC1" t="s">
        <v>54</v>
      </c>
    </row>
    <row r="2" s="7" customFormat="1">
      <c r="A2" s="4" t="s">
        <v>66</v>
      </c>
      <c r="B2" s="4" t="s">
        <v>14</v>
      </c>
      <c r="C2" s="4" t="s">
        <v>24</v>
      </c>
      <c r="D2" s="4" t="s">
        <v>47</v>
      </c>
      <c r="E2" s="4" t="s">
        <v>48</v>
      </c>
      <c r="F2" s="4" t="s">
        <v>0</v>
      </c>
      <c r="G2" s="1" t="s">
        <v>74</v>
      </c>
      <c r="H2" s="1" t="s">
        <v>74</v>
      </c>
      <c r="I2" s="10">
        <v>0</v>
      </c>
      <c r="J2" s="2">
        <f ca="1">YEAR(TODAY())</f>
        <v>2025</v>
      </c>
      <c r="K2" s="2" t="s">
        <v>60</v>
      </c>
      <c r="L2" s="1" t="s">
        <v>28</v>
      </c>
      <c r="M2" s="5" t="e">
        <f>[1]Output!A2</f>
        <v>#REF!</v>
      </c>
      <c r="N2" s="5" t="e">
        <f>CONCATENATE("Document reversed with no. ",M2,": Please manually clear FI documents")</f>
        <v>#REF!</v>
      </c>
      <c r="O2" s="1" t="s">
        <v>29</v>
      </c>
      <c r="P2" s="1" t="s">
        <v>29</v>
      </c>
      <c r="Q2" s="2" t="s">
        <v>51</v>
      </c>
      <c r="R2" s="2" t="s">
        <v>16</v>
      </c>
      <c r="S2" s="2" t="s">
        <v>68</v>
      </c>
      <c r="T2" s="2" t="s">
        <v>31</v>
      </c>
      <c r="U2" s="2" t="s">
        <v>61</v>
      </c>
      <c r="V2" s="3" t="e">
        <f>M2</f>
        <v>#REF!</v>
      </c>
      <c r="W2" s="1" t="s">
        <v>28</v>
      </c>
      <c r="X2" s="3" t="e">
        <f>M2</f>
        <v>#REF!</v>
      </c>
      <c r="Y2" s="1" t="s">
        <v>59</v>
      </c>
      <c r="Z2" s="1" t="s">
        <v>59</v>
      </c>
      <c r="AA2" s="3" t="e">
        <f>M2</f>
        <v>#REF!</v>
      </c>
      <c r="AB2" s="3">
        <f ca="1">YEAR(TODAY())</f>
        <v>2025</v>
      </c>
      <c r="AC2" s="1" t="s">
        <v>33</v>
      </c>
      <c r="AD2" s="1" t="s">
        <v>43</v>
      </c>
      <c r="AE2" s="5" t="e">
        <f>[1]Output!C2</f>
        <v>#REF!</v>
      </c>
      <c r="AF2" s="3" t="e">
        <f>AE2</f>
        <v>#REF!</v>
      </c>
      <c r="AG2" s="1" t="s">
        <v>64</v>
      </c>
      <c r="AH2" s="1" t="s">
        <v>64</v>
      </c>
      <c r="AI2" s="3" t="e">
        <f>AE2-1</f>
        <v>#REF!</v>
      </c>
      <c r="AJ2" s="1" t="s">
        <v>13</v>
      </c>
      <c r="AK2" s="1" t="s">
        <v>28</v>
      </c>
      <c r="AL2" s="5" t="e">
        <f>CONCATENATE("Document PU",MID(AI2,3,9)," was posted in company code GR02")</f>
        <v>#REF!</v>
      </c>
      <c r="AM2" s="1" t="s">
        <v>64</v>
      </c>
      <c r="AN2" s="3" t="e">
        <f>AE2</f>
        <v>#REF!</v>
      </c>
      <c r="AO2" s="1" t="s">
        <v>13</v>
      </c>
      <c r="AP2" s="5" t="e">
        <f>CONCATENATE("Document PU",MID(AE2,3,9)," was posted in company code GR02")</f>
        <v>#REF!</v>
      </c>
      <c r="AQ2" s="1" t="s">
        <v>18</v>
      </c>
      <c r="AR2" s="1" t="s">
        <v>18</v>
      </c>
      <c r="AS2" s="1" t="s">
        <v>46</v>
      </c>
      <c r="AT2" s="2">
        <v>5079044026</v>
      </c>
      <c r="AU2" s="1" t="s">
        <v>79</v>
      </c>
      <c r="AV2" s="2" t="s">
        <v>21</v>
      </c>
      <c r="AW2" s="2" t="s">
        <v>21</v>
      </c>
      <c r="AX2" s="1" t="s">
        <v>33</v>
      </c>
      <c r="AY2" s="1" t="s">
        <v>79</v>
      </c>
      <c r="AZ2" s="2" t="s">
        <v>21</v>
      </c>
      <c r="BA2" s="5" t="s">
        <v>0</v>
      </c>
      <c r="BB2" s="3" t="str">
        <f>CONCATENATE("Article document ",BA2," posted")</f>
        <v>Article document  posted</v>
      </c>
      <c r="BC2" s="8">
        <v>6004283912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selection activeCell="A2" sqref="A2"/>
    </sheetView>
  </sheetViews>
  <sheetFormatPr defaultColWidth="9.125" defaultRowHeight="14.25"/>
  <cols>
    <col min="1" max="1" width="17.75" style="7" bestFit="1" customWidth="1"/>
    <col min="2" max="2" width="18" style="7" bestFit="1" customWidth="1"/>
    <col min="3" max="3" width="21.375" style="7" bestFit="1" customWidth="1"/>
    <col min="4" max="4" width="41.125" style="7" bestFit="1" customWidth="1"/>
    <col min="5" max="5" width="46.5" style="7" bestFit="1" customWidth="1"/>
    <col min="6" max="16384" width="9.125" style="7" customWidth="1"/>
  </cols>
  <sheetData>
    <row r="1" ht="12.75" customHeight="1" customFormat="1">
      <c r="A1" t="s">
        <v>55</v>
      </c>
      <c r="B1" t="s">
        <v>22</v>
      </c>
      <c r="C1" t="s">
        <v>8</v>
      </c>
      <c r="D1" t="s">
        <v>42</v>
      </c>
      <c r="E1" t="s">
        <v>72</v>
      </c>
    </row>
    <row r="2">
      <c r="A2" s="1">
        <v>6056580272</v>
      </c>
      <c r="B2" s="1">
        <v>3755705030</v>
      </c>
      <c r="C2" s="1">
        <v>5140022702</v>
      </c>
      <c r="D2" s="1"/>
      <c r="E2" s="9">
        <v>5140097728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