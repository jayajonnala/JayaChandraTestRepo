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TRIS02SR_007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<sst xmlns="http://schemas.openxmlformats.org/spreadsheetml/2006/main" uniqueCount="169">
  <si>
    <t>54abbf64761ae81fba4ee84f9e6106f803499f48f4d090e9</t>
  </si>
  <si>
    <t/>
  </si>
  <si>
    <t>DT_SAPTRANSACTIONCODE</t>
  </si>
  <si>
    <t>GP01</t>
  </si>
  <si>
    <t>11</t>
  </si>
  <si>
    <t>DT_ME21N_0014_CHECK_MESSAGEPARAMETER_OF_STATUSBAR</t>
  </si>
  <si>
    <t>A01</t>
  </si>
  <si>
    <t>DT_EXPECTEDVALUE_OCC3</t>
  </si>
  <si>
    <t>TriangularReturns</t>
  </si>
  <si>
    <t>DT_ME21N_1100_ACT_GDS_MVMNT_DATE</t>
  </si>
  <si>
    <t>DT_EXPECTEDVALUE_OCC7</t>
  </si>
  <si>
    <t>DT_ME21N_0750_CHECK_GETCELLVALUE_OF_GRIDCELL_2_KTONR</t>
  </si>
  <si>
    <t>DT_ME21N_1211_TABLECELL_ARTICLE_1</t>
  </si>
  <si>
    <t>GW32</t>
  </si>
  <si>
    <t>G249</t>
  </si>
  <si>
    <t>DT_ME21N_0500_CHECK_GETCELLVALUE_OF_GRIDCELL_0_LIFNR</t>
  </si>
  <si>
    <t>DT_ME21N_0500_CHECK_GETCELLVALUE_OF_GRIDCELL_0_STATUS</t>
  </si>
  <si>
    <t>DT_ME21N_0100_OKCD</t>
  </si>
  <si>
    <t>DT_ME21N_0104_CHECK_TEXT_OF_TABLECELL_ARTICLE_0</t>
  </si>
  <si>
    <t>MB03</t>
  </si>
  <si>
    <t>DT_ME21N_0750_CHECK_GETCELLVALUE_OF_GRIDCELL_0_KTONR_OCC1</t>
  </si>
  <si>
    <t>DT_ME21N_1211_TABLECELL_SITE_0</t>
  </si>
  <si>
    <t>DT_ME21N_0014_CHECK_TEXT_OF_STATUSBAR</t>
  </si>
  <si>
    <t>DT_MIGO_0010_GODYNPROACTION</t>
  </si>
  <si>
    <t>DT_ME21N_0001_OKCD</t>
  </si>
  <si>
    <t>DT_ME21N_0500_CHECK_GETCELLVALUE_OF_GRIDCELL_0_AUART</t>
  </si>
  <si>
    <t>DT_EXPECTEDTRANSACTIONCODE_OCC4</t>
  </si>
  <si>
    <t>1 successful and 0 incorrect goods movements</t>
  </si>
  <si>
    <t>DT_EXPECTEDTRANSACTIONCODE_OCC8</t>
  </si>
  <si>
    <t>DT_ME21N_0750_CHECK_TEXT_OF_REFERENCE</t>
  </si>
  <si>
    <t>DT_ME21N_0014_OKCD</t>
  </si>
  <si>
    <t>/nmigo</t>
  </si>
  <si>
    <t>%blank%</t>
  </si>
  <si>
    <t>3</t>
  </si>
  <si>
    <t>DT_ME21N_0102_TABLECELL_DOCUMENT_0</t>
  </si>
  <si>
    <t>DT_ME21N_0102_CHECK_MESSAGEPARAMETER_OF_STATUSBAR</t>
  </si>
  <si>
    <t>200</t>
  </si>
  <si>
    <t>DT_EXPECTEDVALUE</t>
  </si>
  <si>
    <t>GR02</t>
  </si>
  <si>
    <t>ON</t>
  </si>
  <si>
    <t>MIGO</t>
  </si>
  <si>
    <t>DT_ME21N_0010_GODEFAULT_TVBWART</t>
  </si>
  <si>
    <t>DT_ME21N_2000_GODYNPROPO_NUMBER</t>
  </si>
  <si>
    <t>DT_ME21N_0102_ORDER</t>
  </si>
  <si>
    <t>DT_EXPECTEDVALUE_OCC4</t>
  </si>
  <si>
    <t>/nvl06o</t>
  </si>
  <si>
    <t>DT_ME21N_0100_CREATED_BY</t>
  </si>
  <si>
    <t>DT_ME21N_0600_GRIDCELL_3_VARIANT_NAME</t>
  </si>
  <si>
    <t>DT_ME21N_0120_NO_NAME</t>
  </si>
  <si>
    <t>DT_EXPECTEDVALUE_OCC8</t>
  </si>
  <si>
    <t>DT_ME21N_0102_CHECK_MESSAGEPARAMETER_OF_STATUSBAR_OUTPUT</t>
  </si>
  <si>
    <t>DT_SAPSYSTEM</t>
  </si>
  <si>
    <t>AUTOAB</t>
  </si>
  <si>
    <t>7077817</t>
  </si>
  <si>
    <t>DT_ME21N_0001_CHECK_TEXT_OF_STATUSBAR</t>
  </si>
  <si>
    <t>DT_ME21N_0500_CHECK_TEXT_OF_STATUSBAR</t>
  </si>
  <si>
    <t>DT_ME21N_0500_OKCD</t>
  </si>
  <si>
    <t>/nva03</t>
  </si>
  <si>
    <t>DT_ME21N_0120_OKCD</t>
  </si>
  <si>
    <t>DT_ME21N_0104_CHECK_TEXT_OF_TABLECELL_ARTICLE_1</t>
  </si>
  <si>
    <t>DT_ME21N_0014_CHECK_MESSAGEPARAMETER_OF_STATUSBAR_OUTPUT</t>
  </si>
  <si>
    <t>DT_SAPLANGUAGE</t>
  </si>
  <si>
    <t>DT_SAPOPTIONS</t>
  </si>
  <si>
    <t>DT_ME21N_1211_TABLECELL_SITE_1</t>
  </si>
  <si>
    <t>S</t>
  </si>
  <si>
    <t>DT_EXPECTEDTRANSACTIONCODE_OCC1</t>
  </si>
  <si>
    <t>DT_ME21N_0200_CHECK_TEXT_OF_TABLECELL_MOVEMENT_TYPE_0</t>
  </si>
  <si>
    <t>@08@</t>
  </si>
  <si>
    <t>AB_TRIANGULAR</t>
  </si>
  <si>
    <t>DT_EXPECTEDTRANSACTIONCODE_OCC5</t>
  </si>
  <si>
    <t>0</t>
  </si>
  <si>
    <t>DT_ME21N_0750_CHECK_GETCELLVALUE_OF_GRIDCELL_1_KTONR</t>
  </si>
  <si>
    <t>11004628</t>
  </si>
  <si>
    <t>DT_ME21N_0100_CHECK_TEXT_OF_TREE_SAPTABLETREECONTROL1_OUTPUT</t>
  </si>
  <si>
    <t>SCENARIO</t>
  </si>
  <si>
    <t>DT_ME21N_1211_TABLECELL_RETURNS_ITEM_0</t>
  </si>
  <si>
    <t>DT_ME21N_1211_TABLECELL_PO_QUANTITY_0</t>
  </si>
  <si>
    <t>DT_ME21N_0200_CHECK_TEXT_OF_TABLECELL_ARTICLE_0</t>
  </si>
  <si>
    <t>ZMDSO_TRIANG_SO</t>
  </si>
  <si>
    <t>DT_ME21N_4900_CHECK_TEXT_OF_TABLECELL_ARTICLE_0</t>
  </si>
  <si>
    <t>DT_ME21N_4301_CHECK_TEXT_OF_ORDER_TYPE</t>
  </si>
  <si>
    <t>DT_EXPECTEDTRANSACTIONCODE_OCC9</t>
  </si>
  <si>
    <t>DT_EXPECTEDVALUE_OCC1</t>
  </si>
  <si>
    <t>DT_ME21N_0010_GODYNPROREFDOC</t>
  </si>
  <si>
    <t>/nzmdso_triang_so</t>
  </si>
  <si>
    <t>DT_ME21N_0500_CHECK_GETCELLVALUE_OF_GRIDCELL_0_MBLNR</t>
  </si>
  <si>
    <t>DT_EXPECTEDVALUE_OCC5</t>
  </si>
  <si>
    <t>/nVF01</t>
  </si>
  <si>
    <t>DT_ME21N_0102_CHECK_TEXT_OF_STATUSBAR</t>
  </si>
  <si>
    <t>DT_EXPECTEDTRANSACTIONCODE_OCC10</t>
  </si>
  <si>
    <t>30112105</t>
  </si>
  <si>
    <t>DT_ME21N_0001_CHECK_MESSAGEPARAMETER_OF_STATUSBAR_OUTPUT</t>
  </si>
  <si>
    <t>DT_ROW_NO_PO_OUTPUT</t>
  </si>
  <si>
    <t>10001095</t>
  </si>
  <si>
    <t>R01</t>
  </si>
  <si>
    <t>161</t>
  </si>
  <si>
    <t>DT_ME21N_1000_DISPLAY_EXISTING_SO</t>
  </si>
  <si>
    <t>DT_ME21N_0102_ORDER_OCC1</t>
  </si>
  <si>
    <t>DT_ME21N_0200_GRIDCELL_0_DOC_NUMBER</t>
  </si>
  <si>
    <t>FB03</t>
  </si>
  <si>
    <t>EN</t>
  </si>
  <si>
    <t>ZR</t>
  </si>
  <si>
    <t>DT_EXPECTEDTRANSACTIONCODE_OCC2</t>
  </si>
  <si>
    <t>DT_ME21N_0600_GRIDCELL_0_VARIANT_NAME</t>
  </si>
  <si>
    <t>DT_ME21N_0500_CHECK_GETCELLVALUE_OF_GRIDCELL_0_XBLNR</t>
  </si>
  <si>
    <t>ZTRE</t>
  </si>
  <si>
    <t>DT_ME21N_4701_CHECK_TEXT_OF_SOLDTO_PARTY</t>
  </si>
  <si>
    <t>VL06O</t>
  </si>
  <si>
    <t>DT_ME21N_1000_DELIVERY</t>
  </si>
  <si>
    <t>DT_EXPECTEDTRANSACTIONCODE_OCC6</t>
  </si>
  <si>
    <t>DT_VARIANT_USER</t>
  </si>
  <si>
    <t>DT_ME21N_0500_CHECK_GETCELLVALUE_OF_GRIDCELL_0_VBELN_OUTPUT</t>
  </si>
  <si>
    <t>DT_EXPECTEDTRANSACTIONCODE</t>
  </si>
  <si>
    <t>DT_ME21N_1211_TABLECELL_RETURNS_ITEM_1</t>
  </si>
  <si>
    <t>DT_ME21N_1211_TABLECELL_PO_QUANTITY_1</t>
  </si>
  <si>
    <t>DT_ME21N_0200_CHECK_TEXT_OF_TABLECELL_ARTICLE_1</t>
  </si>
  <si>
    <t>DT_ME21N_1000_ACTION</t>
  </si>
  <si>
    <t>DT_ME21N_0500_CHECK_GETCELLVALUE_OF_GRIDCELL_0_VBELN</t>
  </si>
  <si>
    <t>DT_ME21N_4021_CHECK_TEXT_OF_PO_NUMBER</t>
  </si>
  <si>
    <t>DT_ME21N_4900_CHECK_TEXT_OF_TABLECELL_ARTICLE_1</t>
  </si>
  <si>
    <t>DT_ME21N_4351_CHECK_TEXT_OF_PO_NUMBER</t>
  </si>
  <si>
    <t>11210011</t>
  </si>
  <si>
    <t>ME21N</t>
  </si>
  <si>
    <t>DT_ME21N_1221_PURCH_ORG</t>
  </si>
  <si>
    <t>true</t>
  </si>
  <si>
    <t>DT_ME21N_1211_TABLECELL_ARTICLE_0</t>
  </si>
  <si>
    <t>10</t>
  </si>
  <si>
    <t>G226</t>
  </si>
  <si>
    <t>DT_EXPECTEDVALUE_OCC2</t>
  </si>
  <si>
    <t>DT_ME21N_0001_CHECK_MESSAGEPARAMETER_OF_STATUSBAR</t>
  </si>
  <si>
    <t>DT_ME21N_0600_GRIDCELL_3_VARIANT_NAME_OCC1</t>
  </si>
  <si>
    <t>DT_EXPECTEDVALUE_OCC6</t>
  </si>
  <si>
    <t>DT_ME21N_0120_CHECK_TEXT_OF_STATUSBAR</t>
  </si>
  <si>
    <t>DT_ME21N_0102_OKCD</t>
  </si>
  <si>
    <t>R1E - SAP RETAIL Pre-Production EUROPE</t>
  </si>
  <si>
    <t>DT_SAPPASSWORD</t>
  </si>
  <si>
    <t>ZABT</t>
  </si>
  <si>
    <t>E</t>
  </si>
  <si>
    <t>DT_ME21N_1105_VENDOR</t>
  </si>
  <si>
    <t>G04</t>
  </si>
  <si>
    <t>7077822</t>
  </si>
  <si>
    <t>919</t>
  </si>
  <si>
    <t>DT_ME21N_0110_DELIVERY_NOTE</t>
  </si>
  <si>
    <t>DT_ME21N_1000_ARTICLE_DOCUMENT</t>
  </si>
  <si>
    <t>DT_ME21N_1000_ARTICLE_DOC_YEAR</t>
  </si>
  <si>
    <t>DT_ME21N_0750_CHECK_GETCELLVALUE_OF_GRIDCELL_0_KTONR</t>
  </si>
  <si>
    <t>DT_EXPECTEDTRANSACTIONCODE_OCC11</t>
  </si>
  <si>
    <t>22911102</t>
  </si>
  <si>
    <t>DT_ME21_DROPDOWN</t>
  </si>
  <si>
    <t>ROW</t>
  </si>
  <si>
    <t>DT_SAPUSER</t>
  </si>
  <si>
    <t>DT_ME21N_1221_COMPANY_CODE</t>
  </si>
  <si>
    <t>DT_ME21N_0111_TABLECELL_FUNCT_0</t>
  </si>
  <si>
    <t>DT_ME21N_0111_TABLECELL_NUMBER_0</t>
  </si>
  <si>
    <t>DT_EXPECTEDTRANSACTIONCODE_OCC3</t>
  </si>
  <si>
    <t>DT_ME21N_4351_CHECK_TEXT_OF_COLLECTIVE_NO</t>
  </si>
  <si>
    <t>DT_ME21N_0100_CHECK_TEXT_OF_TREE_SAPTABLETREECONTROL1</t>
  </si>
  <si>
    <t>DT_EXPECTEDTRANSACTIONCODE_OCC7</t>
  </si>
  <si>
    <t>DT_ME21N_0750_CHECK_GETCELLVALUE_OF_GRIDCELL_1_KTONR_OCC1</t>
  </si>
  <si>
    <t>DT_VARIANTNAME1</t>
  </si>
  <si>
    <t>AB Triangular Sales</t>
  </si>
  <si>
    <t>AT_6_2_3_3 Create for TP Returns (ZTRE)</t>
  </si>
  <si>
    <t>DT_SAPCLIENT</t>
  </si>
  <si>
    <t>DT_ME21N_1105_MEPO_TOPLINEBSART</t>
  </si>
  <si>
    <t>DT_ME21N_1221_PURCH_GROUP</t>
  </si>
  <si>
    <t>DT_ME21N_1000_TEST_MODE</t>
  </si>
  <si>
    <t>VA03</t>
  </si>
  <si>
    <t>VF01</t>
  </si>
  <si>
    <t>11210023</t>
  </si>
</sst>
</file>

<file path=xl/styles.xml><?xml version="1.0" encoding="utf-8"?>
<styleSheet xmlns="http://schemas.openxmlformats.org/spreadsheetml/2006/main">
  <numFmts count="2">
    <numFmt numFmtId="164" formatCode="yyyy"/>
    <numFmt numFmtId="165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165" fontId="1" fillId="4" borderId="1" xfId="0" applyNumberForma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TASE_DT_06TRIS02SR_007_Create_for_TP_Returns_ZTR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I4"/>
  <sheetViews>
    <sheetView topLeftCell="J1" workbookViewId="0">
      <selection activeCell="J2" sqref="J2"/>
    </sheetView>
  </sheetViews>
  <sheetFormatPr defaultColWidth="9.125" defaultRowHeight="14.25"/>
  <cols>
    <col min="1" max="1" width="9.125" style="11" customWidth="1"/>
    <col min="2" max="2" width="37.125" style="11" customWidth="1"/>
    <col min="3" max="3" width="38.125" style="11" customWidth="1"/>
    <col min="4" max="4" width="15" style="11" customWidth="1"/>
    <col min="5" max="5" width="13.625" style="11" customWidth="1"/>
    <col min="6" max="6" width="46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7.5" style="11" customWidth="1"/>
    <col min="12" max="12" width="20.75" style="11" customWidth="1"/>
    <col min="13" max="13" width="24.75" style="11" customWidth="1"/>
    <col min="14" max="14" width="28.5" style="11" customWidth="1"/>
    <col min="15" max="15" width="31.125" style="11" customWidth="1"/>
    <col min="16" max="16" width="32.25" style="11" customWidth="1"/>
    <col min="17" max="18" width="45" style="11" customWidth="1"/>
    <col min="19" max="20" width="38.125" style="11" customWidth="1"/>
    <col min="21" max="22" width="43.5" style="11" customWidth="1"/>
    <col min="23" max="24" width="34.5" style="11" customWidth="1"/>
    <col min="25" max="25" width="36.625" style="11" customWidth="1"/>
    <col min="26" max="26" width="38.375" style="11" customWidth="1"/>
    <col min="27" max="27" width="26.625" style="11" customWidth="1"/>
    <col min="28" max="28" width="60.875" style="11" customWidth="1"/>
    <col min="29" max="29" width="53.25" style="11" customWidth="1"/>
    <col min="30" max="30" width="21.875" style="11" customWidth="1"/>
    <col min="31" max="31" width="39.25" style="11" customWidth="1"/>
    <col min="32" max="32" width="34.5" style="11" customWidth="1"/>
    <col min="33" max="33" width="35.25" style="11" customWidth="1"/>
    <col min="34" max="34" width="38.5" style="11" customWidth="1"/>
    <col min="35" max="35" width="39.25" style="11" customWidth="1"/>
    <col min="36" max="36" width="32.25" style="11" customWidth="1"/>
    <col min="37" max="38" width="54.75" style="11" customWidth="1"/>
    <col min="39" max="39" width="63.625" style="11" customWidth="1"/>
    <col min="40" max="40" width="26.625" style="11" customWidth="1"/>
    <col min="41" max="41" width="60.875" style="11" customWidth="1"/>
    <col min="42" max="42" width="44.875" style="11" customWidth="1"/>
    <col min="43" max="43" width="21.875" style="11" customWidth="1"/>
    <col min="44" max="44" width="39.25" style="11" customWidth="1"/>
    <col min="45" max="45" width="43.5" style="11" customWidth="1"/>
    <col min="46" max="46" width="23.75" style="11" customWidth="1"/>
    <col min="47" max="47" width="36.375" style="11" customWidth="1"/>
    <col min="48" max="48" width="35.75" style="11" customWidth="1"/>
    <col min="49" max="49" width="61.625" style="11" customWidth="1"/>
    <col min="50" max="50" width="61.25" style="11" customWidth="1"/>
    <col min="51" max="51" width="61.625" style="11" customWidth="1"/>
    <col min="52" max="52" width="60.5" style="11" customWidth="1"/>
    <col min="53" max="53" width="26.625" style="11" customWidth="1"/>
    <col min="54" max="54" width="44.875" style="11" customWidth="1"/>
    <col min="55" max="55" width="62.75" style="11" customWidth="1"/>
    <col min="56" max="56" width="28.25" style="11" customWidth="1"/>
    <col min="57" max="57" width="37.875" style="11" customWidth="1"/>
    <col min="58" max="58" width="61.25" style="11" customWidth="1"/>
    <col min="59" max="59" width="21.875" style="11" customWidth="1"/>
    <col min="60" max="60" width="39.25" style="11" customWidth="1"/>
    <col min="61" max="61" width="23.5" style="11" customWidth="1"/>
    <col min="62" max="63" width="26.625" style="11" customWidth="1"/>
    <col min="64" max="64" width="45.125" style="11" customWidth="1"/>
    <col min="65" max="65" width="48.375" style="11" customWidth="1"/>
    <col min="66" max="67" width="54.75" style="11" customWidth="1"/>
    <col min="68" max="68" width="46.125" style="11" customWidth="1"/>
    <col min="69" max="69" width="45.125" style="11" customWidth="1"/>
    <col min="70" max="70" width="48.5" style="11" customWidth="1"/>
    <col min="71" max="71" width="64.375" style="11" customWidth="1"/>
    <col min="72" max="72" width="21.875" style="11" customWidth="1"/>
    <col min="73" max="73" width="39.25" style="11" customWidth="1"/>
    <col min="74" max="74" width="29.25" style="11" customWidth="1"/>
    <col min="75" max="75" width="43.5" style="11" customWidth="1"/>
    <col min="76" max="76" width="49.375" style="11" customWidth="1"/>
    <col min="77" max="77" width="26" style="11" customWidth="1"/>
    <col min="78" max="78" width="26.25" style="11" customWidth="1"/>
    <col min="79" max="79" width="39.5" style="11" customWidth="1"/>
    <col min="80" max="80" width="26.625" style="11" customWidth="1"/>
    <col min="81" max="81" width="44.875" style="11" customWidth="1"/>
    <col min="82" max="82" width="21.875" style="11" customWidth="1"/>
    <col min="83" max="83" width="39.25" style="11" customWidth="1"/>
    <col min="84" max="84" width="41" style="11" customWidth="1"/>
    <col min="85" max="86" width="54.75" style="11" customWidth="1"/>
    <col min="87" max="87" width="26.625" style="11" customWidth="1"/>
    <col min="88" max="88" width="60.875" style="11" customWidth="1"/>
    <col min="89" max="89" width="44.875" style="11" customWidth="1"/>
    <col min="90" max="90" width="21.875" style="11" customWidth="1"/>
    <col min="91" max="91" width="39.25" style="11" customWidth="1"/>
    <col min="92" max="92" width="29.375" style="11" customWidth="1"/>
    <col min="93" max="93" width="26.625" style="11" customWidth="1"/>
    <col min="94" max="94" width="39.25" style="11" customWidth="1"/>
    <col min="95" max="95" width="42" style="11" customWidth="1"/>
    <col min="96" max="96" width="39.25" style="11" customWidth="1"/>
    <col min="97" max="98" width="61.625" style="11" customWidth="1"/>
    <col min="99" max="99" width="44.875" style="11" customWidth="1"/>
    <col min="100" max="100" width="39.25" style="11" customWidth="1"/>
    <col min="101" max="102" width="40.25" style="11" customWidth="1"/>
    <col min="103" max="104" width="67.5" style="11" customWidth="1"/>
    <col min="105" max="105" width="61.625" style="11" customWidth="1"/>
    <col min="106" max="106" width="19.25" style="11" customWidth="1"/>
    <col min="107" max="107" width="19.125" style="11" customWidth="1"/>
    <col min="108" max="108" width="22.25" style="11" customWidth="1"/>
    <col min="109" max="16384" width="9.125" style="11" customWidth="1"/>
  </cols>
  <sheetData>
    <row r="1" ht="12.75" customHeight="1" customFormat="1">
      <c r="A1" t="s">
        <v>149</v>
      </c>
      <c r="B1" t="s">
        <v>74</v>
      </c>
      <c r="C1" t="s">
        <v>51</v>
      </c>
      <c r="D1" t="s">
        <v>162</v>
      </c>
      <c r="E1" t="s">
        <v>150</v>
      </c>
      <c r="F1" t="s">
        <v>135</v>
      </c>
      <c r="G1" t="s">
        <v>61</v>
      </c>
      <c r="H1" t="s">
        <v>62</v>
      </c>
      <c r="I1" t="s">
        <v>2</v>
      </c>
      <c r="J1" t="s">
        <v>112</v>
      </c>
      <c r="K1" t="s">
        <v>163</v>
      </c>
      <c r="L1" t="s">
        <v>37</v>
      </c>
      <c r="M1" t="s">
        <v>138</v>
      </c>
      <c r="N1" t="s">
        <v>123</v>
      </c>
      <c r="O1" t="s">
        <v>164</v>
      </c>
      <c r="P1" t="s">
        <v>151</v>
      </c>
      <c r="Q1" t="s">
        <v>75</v>
      </c>
      <c r="R1" t="s">
        <v>113</v>
      </c>
      <c r="S1" t="s">
        <v>125</v>
      </c>
      <c r="T1" t="s">
        <v>12</v>
      </c>
      <c r="U1" t="s">
        <v>76</v>
      </c>
      <c r="V1" t="s">
        <v>114</v>
      </c>
      <c r="W1" t="s">
        <v>21</v>
      </c>
      <c r="X1" t="s">
        <v>63</v>
      </c>
      <c r="Y1" t="s">
        <v>152</v>
      </c>
      <c r="Z1" t="s">
        <v>153</v>
      </c>
      <c r="AA1" t="s">
        <v>82</v>
      </c>
      <c r="AB1" t="s">
        <v>5</v>
      </c>
      <c r="AC1" t="s">
        <v>22</v>
      </c>
      <c r="AD1" t="s">
        <v>30</v>
      </c>
      <c r="AE1" t="s">
        <v>65</v>
      </c>
      <c r="AF1" t="s">
        <v>23</v>
      </c>
      <c r="AG1" t="s">
        <v>83</v>
      </c>
      <c r="AH1" t="s">
        <v>41</v>
      </c>
      <c r="AI1" t="s">
        <v>42</v>
      </c>
      <c r="AJ1" t="s">
        <v>142</v>
      </c>
      <c r="AK1" t="s">
        <v>77</v>
      </c>
      <c r="AL1" t="s">
        <v>115</v>
      </c>
      <c r="AM1" t="s">
        <v>66</v>
      </c>
      <c r="AN1" t="s">
        <v>128</v>
      </c>
      <c r="AO1" t="s">
        <v>129</v>
      </c>
      <c r="AP1" t="s">
        <v>54</v>
      </c>
      <c r="AQ1" t="s">
        <v>24</v>
      </c>
      <c r="AR1" t="s">
        <v>102</v>
      </c>
      <c r="AS1" t="s">
        <v>103</v>
      </c>
      <c r="AT1" t="s">
        <v>116</v>
      </c>
      <c r="AU1" t="s">
        <v>143</v>
      </c>
      <c r="AV1" t="s">
        <v>144</v>
      </c>
      <c r="AW1" t="s">
        <v>85</v>
      </c>
      <c r="AX1" t="s">
        <v>104</v>
      </c>
      <c r="AY1" t="s">
        <v>25</v>
      </c>
      <c r="AZ1" t="s">
        <v>15</v>
      </c>
      <c r="BA1" t="s">
        <v>7</v>
      </c>
      <c r="BB1" t="s">
        <v>55</v>
      </c>
      <c r="BC1" t="s">
        <v>16</v>
      </c>
      <c r="BD1" t="s">
        <v>165</v>
      </c>
      <c r="BE1" t="s">
        <v>96</v>
      </c>
      <c r="BF1" t="s">
        <v>117</v>
      </c>
      <c r="BG1" t="s">
        <v>56</v>
      </c>
      <c r="BH1" t="s">
        <v>154</v>
      </c>
      <c r="BI1" t="s">
        <v>43</v>
      </c>
      <c r="BJ1" t="s">
        <v>44</v>
      </c>
      <c r="BK1" t="s">
        <v>86</v>
      </c>
      <c r="BL1" t="s">
        <v>118</v>
      </c>
      <c r="BM1" t="s">
        <v>106</v>
      </c>
      <c r="BN1" t="s">
        <v>79</v>
      </c>
      <c r="BO1" t="s">
        <v>119</v>
      </c>
      <c r="BP1" t="s">
        <v>80</v>
      </c>
      <c r="BQ1" t="s">
        <v>120</v>
      </c>
      <c r="BR1" t="s">
        <v>155</v>
      </c>
      <c r="BS1" t="s">
        <v>156</v>
      </c>
      <c r="BT1" t="s">
        <v>17</v>
      </c>
      <c r="BU1" t="s">
        <v>26</v>
      </c>
      <c r="BV1" t="s">
        <v>46</v>
      </c>
      <c r="BW1" t="s">
        <v>47</v>
      </c>
      <c r="BX1" t="s">
        <v>130</v>
      </c>
      <c r="BY1" t="s">
        <v>108</v>
      </c>
      <c r="BZ1" t="s">
        <v>48</v>
      </c>
      <c r="CA1" t="s">
        <v>9</v>
      </c>
      <c r="CB1" t="s">
        <v>131</v>
      </c>
      <c r="CC1" t="s">
        <v>132</v>
      </c>
      <c r="CD1" t="s">
        <v>58</v>
      </c>
      <c r="CE1" t="s">
        <v>69</v>
      </c>
      <c r="CF1" t="s">
        <v>34</v>
      </c>
      <c r="CG1" t="s">
        <v>18</v>
      </c>
      <c r="CH1" t="s">
        <v>59</v>
      </c>
      <c r="CI1" t="s">
        <v>10</v>
      </c>
      <c r="CJ1" t="s">
        <v>35</v>
      </c>
      <c r="CK1" t="s">
        <v>88</v>
      </c>
      <c r="CL1" t="s">
        <v>133</v>
      </c>
      <c r="CM1" t="s">
        <v>109</v>
      </c>
      <c r="CN1" t="s">
        <v>97</v>
      </c>
      <c r="CO1" t="s">
        <v>49</v>
      </c>
      <c r="CP1" t="s">
        <v>157</v>
      </c>
      <c r="CQ1" t="s">
        <v>98</v>
      </c>
      <c r="CR1" t="s">
        <v>28</v>
      </c>
      <c r="CS1" t="s">
        <v>145</v>
      </c>
      <c r="CT1" t="s">
        <v>71</v>
      </c>
      <c r="CU1" t="s">
        <v>29</v>
      </c>
      <c r="CV1" t="s">
        <v>81</v>
      </c>
      <c r="CW1" t="s">
        <v>89</v>
      </c>
      <c r="CX1" t="s">
        <v>146</v>
      </c>
      <c r="CY1" t="s">
        <v>20</v>
      </c>
      <c r="CZ1" t="s">
        <v>158</v>
      </c>
      <c r="DA1" t="s">
        <v>11</v>
      </c>
      <c r="DB1" t="s">
        <v>159</v>
      </c>
      <c r="DC1" t="s">
        <v>110</v>
      </c>
      <c r="DD1" t="s">
        <v>148</v>
      </c>
      <c r="DE1" t="s">
        <v>60</v>
      </c>
      <c r="DF1" t="s">
        <v>91</v>
      </c>
      <c r="DG1" t="s">
        <v>111</v>
      </c>
      <c r="DH1" t="s">
        <v>73</v>
      </c>
      <c r="DI1" t="s">
        <v>50</v>
      </c>
    </row>
    <row r="2">
      <c r="A2" s="1">
        <v>1</v>
      </c>
      <c r="B2" s="1"/>
      <c r="C2" s="5" t="s">
        <v>134</v>
      </c>
      <c r="D2" s="5" t="s">
        <v>36</v>
      </c>
      <c r="E2" s="5"/>
      <c r="F2" s="5"/>
      <c r="G2" s="5" t="s">
        <v>100</v>
      </c>
      <c r="H2" s="5" t="s">
        <v>1</v>
      </c>
      <c r="I2" s="1" t="s">
        <v>122</v>
      </c>
      <c r="J2" s="1" t="s">
        <v>122</v>
      </c>
      <c r="K2" s="1" t="s">
        <v>136</v>
      </c>
      <c r="L2" s="1" t="s">
        <v>137</v>
      </c>
      <c r="M2" s="3" t="s">
        <v>93</v>
      </c>
      <c r="N2" s="3" t="s">
        <v>3</v>
      </c>
      <c r="O2" s="3" t="s">
        <v>139</v>
      </c>
      <c r="P2" s="3" t="s">
        <v>38</v>
      </c>
      <c r="Q2" s="3" t="s">
        <v>124</v>
      </c>
      <c r="R2" s="3" t="s">
        <v>124</v>
      </c>
      <c r="S2" s="3" t="s">
        <v>53</v>
      </c>
      <c r="T2" s="3" t="s">
        <v>140</v>
      </c>
      <c r="U2" s="3" t="s">
        <v>126</v>
      </c>
      <c r="V2" s="3" t="s">
        <v>4</v>
      </c>
      <c r="W2" s="3" t="s">
        <v>13</v>
      </c>
      <c r="X2" s="3" t="s">
        <v>13</v>
      </c>
      <c r="Y2" s="3" t="s">
        <v>101</v>
      </c>
      <c r="Z2" s="3" t="s">
        <v>14</v>
      </c>
      <c r="AA2" s="1" t="s">
        <v>64</v>
      </c>
      <c r="AB2" s="6" t="s">
        <v>1</v>
      </c>
      <c r="AC2" s="2" t="str">
        <f>CONCATENATE("AB Triangular Sales created under the number ",AB2)</f>
        <v xml:space="preserve">AB Triangular Sales created under the number </v>
      </c>
      <c r="AD2" s="1" t="s">
        <v>31</v>
      </c>
      <c r="AE2" s="1" t="s">
        <v>40</v>
      </c>
      <c r="AF2" s="1" t="s">
        <v>6</v>
      </c>
      <c r="AG2" s="1" t="s">
        <v>94</v>
      </c>
      <c r="AH2" s="1" t="s">
        <v>141</v>
      </c>
      <c r="AI2" s="4" t="str">
        <f>AB2</f>
        <v/>
      </c>
      <c r="AJ2" s="4" t="str">
        <f>CONCATENATE("DN",AI2)</f>
        <v>DN</v>
      </c>
      <c r="AK2" s="4" t="str">
        <f t="shared" si="0" ref="AK2:AL2">S2</f>
        <v>7077817</v>
      </c>
      <c r="AL2" s="4" t="str">
        <f t="shared" si="0"/>
        <v>7077822</v>
      </c>
      <c r="AM2" s="2" t="s">
        <v>95</v>
      </c>
      <c r="AN2" s="1" t="s">
        <v>64</v>
      </c>
      <c r="AO2" s="6" t="s">
        <v>1</v>
      </c>
      <c r="AP2" s="2" t="str">
        <f>CONCATENATE("Article document ",AO2," posted")</f>
        <v>Article document  posted</v>
      </c>
      <c r="AQ2" s="1" t="s">
        <v>84</v>
      </c>
      <c r="AR2" s="1" t="s">
        <v>78</v>
      </c>
      <c r="AS2" s="1">
        <v>0</v>
      </c>
      <c r="AT2" s="1">
        <v>2</v>
      </c>
      <c r="AU2" s="4" t="str">
        <f>AO2</f>
        <v/>
      </c>
      <c r="AV2" s="7">
        <f ca="1">TODAY()</f>
        <v>45958</v>
      </c>
      <c r="AW2" s="2" t="str">
        <f>AU2</f>
        <v/>
      </c>
      <c r="AX2" s="2" t="str">
        <f>AJ2</f>
        <v>DN</v>
      </c>
      <c r="AY2" s="2" t="s">
        <v>105</v>
      </c>
      <c r="AZ2" s="2" t="str">
        <f>M2</f>
        <v>10001095</v>
      </c>
      <c r="BA2" s="1" t="s">
        <v>64</v>
      </c>
      <c r="BB2" s="2" t="s">
        <v>8</v>
      </c>
      <c r="BC2" s="2" t="s">
        <v>67</v>
      </c>
      <c r="BD2" s="1" t="s">
        <v>124</v>
      </c>
      <c r="BE2" s="1" t="s">
        <v>124</v>
      </c>
      <c r="BF2" s="6">
        <v>60010637</v>
      </c>
      <c r="BG2" s="1" t="s">
        <v>57</v>
      </c>
      <c r="BH2" s="1" t="s">
        <v>166</v>
      </c>
      <c r="BI2" s="10">
        <f>BF2</f>
        <v>60010637</v>
      </c>
      <c r="BJ2" s="1" t="s">
        <v>64</v>
      </c>
      <c r="BK2" s="1" t="s">
        <v>64</v>
      </c>
      <c r="BL2" s="2" t="str">
        <f>AX2</f>
        <v>DN</v>
      </c>
      <c r="BM2" s="2" t="str">
        <f>Z2</f>
        <v>G249</v>
      </c>
      <c r="BN2" s="2" t="str">
        <f t="shared" si="1" ref="BN2:BO2">AK2</f>
        <v>7077817</v>
      </c>
      <c r="BO2" s="2" t="str">
        <f t="shared" si="1"/>
        <v>7077822</v>
      </c>
      <c r="BP2" s="2" t="str">
        <f>AY2</f>
        <v>ZTRE</v>
      </c>
      <c r="BQ2" s="2" t="str">
        <f>BL2</f>
        <v>DN</v>
      </c>
      <c r="BR2" s="2" t="str">
        <f>CONCATENATE("00",AZ2)</f>
        <v>0010001095</v>
      </c>
      <c r="BS2" s="6" t="str">
        <f>"0080154215"</f>
        <v>0080154215</v>
      </c>
      <c r="BT2" s="1" t="s">
        <v>45</v>
      </c>
      <c r="BU2" s="1" t="s">
        <v>107</v>
      </c>
      <c r="BV2" s="1" t="s">
        <v>32</v>
      </c>
      <c r="BW2" s="1" t="s">
        <v>33</v>
      </c>
      <c r="BX2" s="1">
        <v>3</v>
      </c>
      <c r="BY2" s="4" t="str">
        <f>BS2</f>
        <v>0080154215</v>
      </c>
      <c r="BZ2" s="1" t="s">
        <v>124</v>
      </c>
      <c r="CA2" s="9">
        <f ca="1">TODAY()</f>
        <v>45958</v>
      </c>
      <c r="CB2" s="1" t="s">
        <v>64</v>
      </c>
      <c r="CC2" s="2" t="s">
        <v>27</v>
      </c>
      <c r="CD2" s="1" t="s">
        <v>87</v>
      </c>
      <c r="CE2" s="1" t="s">
        <v>167</v>
      </c>
      <c r="CF2" s="4" t="str">
        <f>BY2</f>
        <v>0080154215</v>
      </c>
      <c r="CG2" s="2" t="str">
        <f t="shared" si="2" ref="CG2:CH2">BN2</f>
        <v>7077817</v>
      </c>
      <c r="CH2" s="2" t="str">
        <f t="shared" si="2"/>
        <v>7077822</v>
      </c>
      <c r="CI2" s="1" t="s">
        <v>64</v>
      </c>
      <c r="CJ2" s="6">
        <v>9060006203</v>
      </c>
      <c r="CK2" s="2" t="str">
        <f>CONCATENATE("Document ",CJ2," has been saved")</f>
        <v>Document 9060006203 has been saved</v>
      </c>
      <c r="CL2" s="1" t="s">
        <v>57</v>
      </c>
      <c r="CM2" s="1" t="s">
        <v>166</v>
      </c>
      <c r="CN2" s="4">
        <f>BI2</f>
        <v>60010637</v>
      </c>
      <c r="CO2" s="1" t="s">
        <v>64</v>
      </c>
      <c r="CP2" s="1" t="s">
        <v>19</v>
      </c>
      <c r="CQ2" s="1" t="s">
        <v>70</v>
      </c>
      <c r="CR2" s="1" t="s">
        <v>99</v>
      </c>
      <c r="CS2" s="2" t="s">
        <v>121</v>
      </c>
      <c r="CT2" s="2" t="s">
        <v>168</v>
      </c>
      <c r="CU2" s="2" t="str">
        <f>BQ2</f>
        <v>DN</v>
      </c>
      <c r="CV2" s="1" t="s">
        <v>19</v>
      </c>
      <c r="CW2" s="1" t="s">
        <v>166</v>
      </c>
      <c r="CX2" s="1" t="s">
        <v>99</v>
      </c>
      <c r="CY2" s="2" t="s">
        <v>72</v>
      </c>
      <c r="CZ2" s="2" t="s">
        <v>90</v>
      </c>
      <c r="DA2" s="2" t="s">
        <v>147</v>
      </c>
      <c r="DB2" s="1" t="s">
        <v>68</v>
      </c>
      <c r="DC2" s="1" t="s">
        <v>32</v>
      </c>
      <c r="DD2" s="1" t="s">
        <v>160</v>
      </c>
      <c r="DE2" s="1"/>
      <c r="DF2" s="1"/>
      <c r="DG2" s="1"/>
      <c r="DH2" s="1"/>
      <c r="DI2" s="8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8"/>
    </row>
    <row r="4">
      <c r="A4" s="1">
        <v>3</v>
      </c>
      <c r="B4" s="1" t="s">
        <v>161</v>
      </c>
      <c r="C4" s="5" t="s">
        <v>134</v>
      </c>
      <c r="D4" s="5">
        <v>200</v>
      </c>
      <c r="E4" s="5" t="s">
        <v>52</v>
      </c>
      <c r="F4" s="5" t="s">
        <v>0</v>
      </c>
      <c r="G4" s="5" t="s">
        <v>100</v>
      </c>
      <c r="H4" s="5" t="s">
        <v>1</v>
      </c>
      <c r="I4" s="1" t="s">
        <v>122</v>
      </c>
      <c r="J4" s="1" t="s">
        <v>122</v>
      </c>
      <c r="K4" s="1" t="s">
        <v>136</v>
      </c>
      <c r="L4" s="1" t="s">
        <v>137</v>
      </c>
      <c r="M4" s="3" t="s">
        <v>93</v>
      </c>
      <c r="N4" s="3" t="s">
        <v>3</v>
      </c>
      <c r="O4" s="3" t="s">
        <v>139</v>
      </c>
      <c r="P4" s="3" t="s">
        <v>38</v>
      </c>
      <c r="Q4" s="3" t="s">
        <v>39</v>
      </c>
      <c r="R4" s="3" t="s">
        <v>39</v>
      </c>
      <c r="S4" s="3">
        <v>7077818</v>
      </c>
      <c r="T4" s="3" t="s">
        <v>140</v>
      </c>
      <c r="U4" s="3" t="s">
        <v>126</v>
      </c>
      <c r="V4" s="3" t="s">
        <v>4</v>
      </c>
      <c r="W4" s="3" t="s">
        <v>13</v>
      </c>
      <c r="X4" s="3" t="s">
        <v>13</v>
      </c>
      <c r="Y4" s="3" t="s">
        <v>101</v>
      </c>
      <c r="Z4" s="3" t="s">
        <v>127</v>
      </c>
      <c r="AA4" s="1" t="s">
        <v>64</v>
      </c>
      <c r="AB4" s="6" t="e">
        <f>[1]Output!C4</f>
        <v>#REF!</v>
      </c>
      <c r="AC4" s="2" t="e">
        <f>CONCATENATE("AB Triangular Sales created under the number ",AB4)</f>
        <v>#REF!</v>
      </c>
      <c r="AD4" s="1" t="s">
        <v>31</v>
      </c>
      <c r="AE4" s="1" t="s">
        <v>40</v>
      </c>
      <c r="AF4" s="1" t="s">
        <v>6</v>
      </c>
      <c r="AG4" s="1" t="s">
        <v>94</v>
      </c>
      <c r="AH4" s="1" t="s">
        <v>141</v>
      </c>
      <c r="AI4" s="4" t="e">
        <f>AB4</f>
        <v>#REF!</v>
      </c>
      <c r="AJ4" s="4" t="e">
        <f>CONCATENATE("DN",AI4)</f>
        <v>#REF!</v>
      </c>
      <c r="AK4" s="4">
        <f t="shared" si="3" ref="AK4:AL4">S4</f>
        <v>7077818</v>
      </c>
      <c r="AL4" s="4" t="str">
        <f t="shared" si="3"/>
        <v>7077822</v>
      </c>
      <c r="AM4" s="2" t="s">
        <v>95</v>
      </c>
      <c r="AN4" s="1" t="s">
        <v>64</v>
      </c>
      <c r="AO4" s="6" t="e">
        <f>[1]Output!D4</f>
        <v>#REF!</v>
      </c>
      <c r="AP4" s="2" t="e">
        <f>CONCATENATE("Article document ",AO4," posted")</f>
        <v>#REF!</v>
      </c>
      <c r="AQ4" s="1" t="s">
        <v>84</v>
      </c>
      <c r="AR4" s="1" t="s">
        <v>78</v>
      </c>
      <c r="AS4" s="1">
        <v>0</v>
      </c>
      <c r="AT4" s="1">
        <v>2</v>
      </c>
      <c r="AU4" s="4" t="e">
        <f>AO4</f>
        <v>#REF!</v>
      </c>
      <c r="AV4" s="7">
        <f ca="1">TODAY()</f>
        <v>45958</v>
      </c>
      <c r="AW4" s="2" t="e">
        <f>AU4</f>
        <v>#REF!</v>
      </c>
      <c r="AX4" s="2" t="e">
        <f>AJ4</f>
        <v>#REF!</v>
      </c>
      <c r="AY4" s="2" t="s">
        <v>105</v>
      </c>
      <c r="AZ4" s="2" t="str">
        <f>M4</f>
        <v>10001095</v>
      </c>
      <c r="BA4" s="1" t="s">
        <v>64</v>
      </c>
      <c r="BB4" s="2" t="s">
        <v>8</v>
      </c>
      <c r="BC4" s="2" t="s">
        <v>67</v>
      </c>
      <c r="BD4" s="1" t="s">
        <v>39</v>
      </c>
      <c r="BE4" s="1" t="s">
        <v>39</v>
      </c>
      <c r="BF4" s="6" t="e">
        <f>[1]Output!E4</f>
        <v>#REF!</v>
      </c>
      <c r="BG4" s="1" t="s">
        <v>57</v>
      </c>
      <c r="BH4" s="1" t="s">
        <v>166</v>
      </c>
      <c r="BI4" s="10" t="e">
        <f>BF4</f>
        <v>#REF!</v>
      </c>
      <c r="BJ4" s="1" t="s">
        <v>64</v>
      </c>
      <c r="BK4" s="1" t="s">
        <v>64</v>
      </c>
      <c r="BL4" s="2" t="e">
        <f>AX4</f>
        <v>#REF!</v>
      </c>
      <c r="BM4" s="2" t="str">
        <f>Z4</f>
        <v>G226</v>
      </c>
      <c r="BN4" s="2">
        <f t="shared" si="4" ref="BN4:BO4">AK4</f>
        <v>7077818</v>
      </c>
      <c r="BO4" s="2" t="str">
        <f t="shared" si="4"/>
        <v>7077822</v>
      </c>
      <c r="BP4" s="2" t="str">
        <f>AY4</f>
        <v>ZTRE</v>
      </c>
      <c r="BQ4" s="2" t="e">
        <f>BL4</f>
        <v>#REF!</v>
      </c>
      <c r="BR4" s="2" t="str">
        <f>CONCATENATE("00",AZ4)</f>
        <v>0010001095</v>
      </c>
      <c r="BS4" s="6" t="e">
        <f>[1]Output!F4</f>
        <v>#REF!</v>
      </c>
      <c r="BT4" s="1" t="s">
        <v>45</v>
      </c>
      <c r="BU4" s="1" t="s">
        <v>107</v>
      </c>
      <c r="BV4" s="1" t="s">
        <v>32</v>
      </c>
      <c r="BW4" s="1" t="s">
        <v>68</v>
      </c>
      <c r="BX4" s="1">
        <v>3</v>
      </c>
      <c r="BY4" s="4" t="e">
        <f>BS4</f>
        <v>#REF!</v>
      </c>
      <c r="BZ4" s="1" t="s">
        <v>39</v>
      </c>
      <c r="CA4" s="9">
        <f ca="1">TODAY()</f>
        <v>45958</v>
      </c>
      <c r="CB4" s="1" t="s">
        <v>64</v>
      </c>
      <c r="CC4" s="2" t="s">
        <v>27</v>
      </c>
      <c r="CD4" s="1" t="s">
        <v>87</v>
      </c>
      <c r="CE4" s="1" t="s">
        <v>167</v>
      </c>
      <c r="CF4" s="4" t="e">
        <f>BY4</f>
        <v>#REF!</v>
      </c>
      <c r="CG4" s="2">
        <f t="shared" si="5" ref="CG4:CH4">BN4</f>
        <v>7077818</v>
      </c>
      <c r="CH4" s="2" t="str">
        <f t="shared" si="5"/>
        <v>7077822</v>
      </c>
      <c r="CI4" s="1" t="s">
        <v>64</v>
      </c>
      <c r="CJ4" s="6" t="e">
        <f>[1]Output!G4</f>
        <v>#REF!</v>
      </c>
      <c r="CK4" s="2" t="e">
        <f>CONCATENATE("Document ",CJ4," has been saved")</f>
        <v>#REF!</v>
      </c>
      <c r="CL4" s="1" t="s">
        <v>57</v>
      </c>
      <c r="CM4" s="1" t="s">
        <v>166</v>
      </c>
      <c r="CN4" s="4" t="e">
        <f>BI4</f>
        <v>#REF!</v>
      </c>
      <c r="CO4" s="1" t="s">
        <v>64</v>
      </c>
      <c r="CP4" s="1" t="s">
        <v>19</v>
      </c>
      <c r="CQ4" s="1" t="s">
        <v>70</v>
      </c>
      <c r="CR4" s="1" t="s">
        <v>99</v>
      </c>
      <c r="CS4" s="2" t="s">
        <v>121</v>
      </c>
      <c r="CT4" s="2" t="s">
        <v>168</v>
      </c>
      <c r="CU4" s="2" t="e">
        <f>BQ4</f>
        <v>#REF!</v>
      </c>
      <c r="CV4" s="1" t="s">
        <v>19</v>
      </c>
      <c r="CW4" s="1" t="s">
        <v>166</v>
      </c>
      <c r="CX4" s="1" t="s">
        <v>99</v>
      </c>
      <c r="CY4" s="2">
        <v>11004643</v>
      </c>
      <c r="CZ4" s="2" t="s">
        <v>90</v>
      </c>
      <c r="DA4" s="2" t="s">
        <v>147</v>
      </c>
      <c r="DB4" s="1" t="s">
        <v>68</v>
      </c>
      <c r="DC4" s="1" t="s">
        <v>32</v>
      </c>
      <c r="DD4" s="1" t="s">
        <v>160</v>
      </c>
      <c r="DE4" s="1">
        <v>5102828676</v>
      </c>
      <c r="DF4" s="1">
        <v>5079046083</v>
      </c>
      <c r="DG4" s="1">
        <v>0</v>
      </c>
      <c r="DH4" s="1">
        <v>7000307003</v>
      </c>
      <c r="DI4" s="8">
        <v>9072369201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selection activeCell="A2" sqref="A2"/>
    </sheetView>
  </sheetViews>
  <sheetFormatPr defaultColWidth="9.125" defaultRowHeight="14.25"/>
  <cols>
    <col min="1" max="2" width="9.125" style="11" customWidth="1"/>
    <col min="3" max="3" width="10.875" style="11" bestFit="1" customWidth="1"/>
    <col min="4" max="16384" width="9.125" style="11" customWidth="1"/>
  </cols>
  <sheetData>
    <row r="1" ht="12.75" customHeight="1" customFormat="1">
      <c r="A1" t="s">
        <v>149</v>
      </c>
      <c r="B1" t="s">
        <v>74</v>
      </c>
      <c r="C1" t="s">
        <v>60</v>
      </c>
      <c r="D1" t="s">
        <v>91</v>
      </c>
      <c r="E1" t="s">
        <v>111</v>
      </c>
      <c r="F1" t="s">
        <v>73</v>
      </c>
      <c r="G1" t="s">
        <v>50</v>
      </c>
      <c r="H1" t="s">
        <v>92</v>
      </c>
    </row>
    <row r="2">
      <c r="A2" s="1">
        <v>1</v>
      </c>
      <c r="B2" s="1"/>
      <c r="C2" s="1"/>
      <c r="D2" s="1"/>
      <c r="E2" s="1"/>
      <c r="F2" s="1"/>
      <c r="G2" s="1"/>
      <c r="H2" s="8"/>
    </row>
    <row r="3">
      <c r="A3" s="1"/>
      <c r="B3" s="1"/>
      <c r="C3" s="1"/>
      <c r="D3" s="1"/>
      <c r="E3" s="1"/>
      <c r="F3" s="1"/>
      <c r="G3" s="1"/>
      <c r="H3" s="8"/>
    </row>
    <row r="4">
      <c r="A4" s="1">
        <v>3</v>
      </c>
      <c r="B4" s="1" t="s">
        <v>161</v>
      </c>
      <c r="C4" s="1">
        <v>5102828586</v>
      </c>
      <c r="D4" s="1">
        <v>5079046101</v>
      </c>
      <c r="E4" s="1">
        <v>5102828586</v>
      </c>
      <c r="F4" s="1">
        <v>7000307003</v>
      </c>
      <c r="G4" s="1">
        <v>9072369201</v>
      </c>
      <c r="H4" s="8">
        <v>1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