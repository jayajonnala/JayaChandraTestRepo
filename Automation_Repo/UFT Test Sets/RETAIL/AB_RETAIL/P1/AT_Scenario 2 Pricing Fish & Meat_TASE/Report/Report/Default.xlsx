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DT1_DataTransfer_OneValue" sheetId="6" r:id="rId6"/>
    <sheet name="DT2_DataTransfer_OneValue" sheetId="7" r:id="rId7"/>
    <sheet name="TC4_Test_01PRI00_003_Creation" sheetId="8" r:id="rId8"/>
    <sheet name="TC5_Test_01PRI00_004_Creation" sheetId="9" r:id="rId9"/>
    <sheet name="TC6_Test_01PRI00_022_Upload" sheetId="10" r:id="rId10"/>
    <sheet name="TC7_Test_01PRI00_008_Creation" sheetId="11" r:id="rId11"/>
    <sheet name="TC8_Test_01PRI00_008_Creation" sheetId="12" r:id="rId12"/>
    <sheet name="TC9_Test_01PRI00_017_Creation" sheetId="13" r:id="rId13"/>
    <sheet name="TC10_Test_01PRI00_019_Creation" sheetId="14" r:id="rId14"/>
    <sheet name="TC11_Test_01PRI00_012_AB_prices" sheetId="15" r:id="rId15"/>
    <sheet name="TC12_Test_01PRI00_013_ENA" sheetId="16" r:id="rId16"/>
    <sheet name="TC13_Test_01PRI00_026_Creation" sheetId="17" r:id="rId17"/>
    <sheet name="TC14_Test_01PRI00_027_Create" sheetId="18" r:id="rId18"/>
    <sheet name="TC15_Test_01PRI00_027_Create_P2" sheetId="19" r:id="rId19"/>
  </sheets>
  <externalReferences>
    <externalReference r:id="rId23"/>
  </externalReference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<sst xmlns="http://schemas.openxmlformats.org/spreadsheetml/2006/main" uniqueCount="37">
  <si>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</si>
  <si>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</si>
  <si>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DT_VKP7_0100_CHECK_GETCELLVALUE_OF_GRIDCELL_0_ENDPR</t>
  </si>
  <si>
    <t>Scenario 4 Bazaar</t>
  </si>
  <si>
    <t>Logon Information</t>
  </si>
  <si>
    <t>AUTOFAB</t>
  </si>
  <si>
    <t>Scenario</t>
  </si>
  <si>
    <t>Input Value</t>
  </si>
  <si>
    <t>Scenario 2 Pricing Fish and Meat</t>
  </si>
  <si>
    <t>Formulas</t>
  </si>
  <si>
    <t>Data from other test</t>
  </si>
  <si>
    <t>200</t>
  </si>
  <si>
    <t>C</t>
  </si>
  <si>
    <t>Scenario 3 Pricing Dry Grocery</t>
  </si>
  <si>
    <t>Scenario 3 Perishables</t>
  </si>
  <si>
    <t>DT_SAPSYSTEM</t>
  </si>
  <si>
    <t>init-123</t>
  </si>
  <si>
    <t>VKP7</t>
  </si>
  <si>
    <t>DT_VKP7_0100_CHECK_GETCELLVALUE_OF_GRIDCELL_0_BPSTA</t>
  </si>
  <si>
    <t>DT_SAPLANGUAGE</t>
  </si>
  <si>
    <t>DT_SAPOPTIONS</t>
  </si>
  <si>
    <t>Row</t>
  </si>
  <si>
    <t>Scenario 1 Pricing F&amp;V</t>
  </si>
  <si>
    <t>DT_VKP7_0100_CHECK_GETCELLVALUE_OF_GRIDCELL_0_MATNR_OUTPUT</t>
  </si>
  <si>
    <t>EN</t>
  </si>
  <si>
    <t>Scenario 3 General</t>
  </si>
  <si>
    <t>Fixed value</t>
  </si>
  <si>
    <t>DT_VKP7_0100_CHECK_GETCELLVALUE_OF_GRIDCELL_0_KBELN</t>
  </si>
  <si>
    <t>DT_VKP7_0100_CHECK_GETCELLVALUE_OF_GRIDCELL_0_MATNR</t>
  </si>
  <si>
    <t>A</t>
  </si>
  <si>
    <t>R1E - SAP RETAIL Pre-Production EUROPE</t>
  </si>
  <si>
    <t>DT_SAPPASSWORD</t>
  </si>
  <si>
    <t>DT_VKP7_1000_PRICING_DOCUMENT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</si>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</sst>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9"/>
      <name val="Tahoma"/>
      <charset val="1"/>
    </font>
    <font>
      <sz val="9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3" Type="http://schemas.openxmlformats.org/officeDocument/2006/relationships/externalLink" Target="externalLinks/externalLink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12</xdr:col>
      <xdr:colOff>3653153</xdr:colOff>
      <xdr:row>4</xdr:row>
      <xdr:rowOff>95064</xdr:rowOff>
    </xdr:from>
    <xdr:to>
      <xdr:col>13</xdr:col>
      <xdr:colOff>727689</xdr:colOff>
      <xdr:row>8</xdr:row>
      <xdr:rowOff>136748</xdr:rowOff>
    </xdr:to>
    <xdr:sp macro="" textlink="">
      <xdr:nvSpPr>
        <xdr:cNvPr id="3" name="Comment 1" hidden="1"/>
        <xdr:cNvSpPr txBox="1"/>
      </xdr:nvSpPr>
      <xdr:spPr>
        <a:xfrm>
          <a:off x="29065635" y="790389"/>
          <a:ext cx="1440598" cy="7528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/>
              </a:solidFill>
            </a:rPr>
            <a:t>Subhrajyoti  Sahoo  - external:</a:t>
          </a:r>
          <a:endParaRPr lang="en-US" sz="900" b="0">
            <a:solidFill>
              <a:sysClr val="windowText"/>
            </a:solidFill>
          </a:endParaRPr>
        </a:p>
        <a:p>
          <a:pPr algn="l"/>
          <a:endParaRPr lang="en-US" sz="1100" b="0">
            <a:solidFill>
              <a:srgbClr val="000000"/>
            </a:solidFill>
            <a:latin typeface="Mic Shell Dlg"/>
          </a:endParaRPr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7_Create_SPC_for_Article_included_in_promotion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"/>
  <cols>
    <col min="1" max="1" width="9.125" style="8" customWidth="1"/>
    <col min="2" max="2" width="28.125" style="8" customWidth="1"/>
    <col min="3" max="3" width="38.125" style="8" customWidth="1"/>
    <col min="4" max="4" width="15" style="8" customWidth="1"/>
    <col min="5" max="5" width="13.625" style="8" customWidth="1"/>
    <col min="6" max="6" width="27.375" style="8" customWidth="1"/>
    <col min="7" max="7" width="18.625" style="8" customWidth="1"/>
    <col min="8" max="8" width="16.75" style="8" customWidth="1"/>
    <col min="9" max="9" width="27.125" style="8" customWidth="1"/>
    <col min="10" max="10" width="34.625" style="8" customWidth="1"/>
    <col min="11" max="11" width="59.625" style="8" customWidth="1"/>
    <col min="12" max="12" width="60.375" style="8" customWidth="1"/>
    <col min="13" max="13" width="59.875" style="8" customWidth="1"/>
    <col min="14" max="14" width="60.25" style="8" customWidth="1"/>
    <col min="15" max="16384" width="9.125" style="8" customWidth="1"/>
  </cols>
  <sheetData>
    <row r="1" ht="12.75" customHeight="1" customFormat="1">
      <c r="A1" t="s">
        <v>21</v>
      </c>
      <c r="B1" t="s">
        <v>6</v>
      </c>
      <c r="C1" t="s">
        <v>15</v>
      </c>
      <c r="D1" t="s">
        <v>36</v>
      </c>
      <c r="E1" t="s">
        <v>35</v>
      </c>
      <c r="F1" t="s">
        <v>31</v>
      </c>
      <c r="G1" t="s">
        <v>19</v>
      </c>
      <c r="H1" t="s">
        <v>20</v>
      </c>
      <c r="I1" t="s">
        <v>1</v>
      </c>
      <c r="J1" t="s">
        <v>32</v>
      </c>
      <c r="K1" t="s">
        <v>27</v>
      </c>
      <c r="L1" t="s">
        <v>28</v>
      </c>
      <c r="M1" t="s">
        <v>18</v>
      </c>
      <c r="N1" t="s">
        <v>2</v>
      </c>
    </row>
    <row r="2">
      <c r="A2" s="2">
        <v>2</v>
      </c>
      <c r="B2" s="2" t="s">
        <v>22</v>
      </c>
      <c r="C2" s="3" t="s">
        <v>30</v>
      </c>
      <c r="D2" s="3" t="s">
        <v>11</v>
      </c>
      <c r="E2" s="9" t="s">
        <v>5</v>
      </c>
      <c r="F2" s="9" t="s">
        <v>16</v>
      </c>
      <c r="G2" s="3" t="s">
        <v>24</v>
      </c>
      <c r="H2" s="12" t="s">
        <v>0</v>
      </c>
      <c r="I2" s="7" t="s">
        <v>17</v>
      </c>
      <c r="J2" s="4">
        <v>24414929</v>
      </c>
      <c r="K2" s="5">
        <f t="shared" si="0" ref="K2:K7">J2</f>
        <v>24414929</v>
      </c>
      <c r="L2" s="10" t="e">
        <f>[1]Output!C2</f>
        <v>#REF!</v>
      </c>
      <c r="M2" s="5" t="s">
        <v>12</v>
      </c>
      <c r="N2" s="13" t="str">
        <f>"0,98"</f>
        <v>0,98</v>
      </c>
    </row>
    <row r="3">
      <c r="A3" s="2">
        <v>3</v>
      </c>
      <c r="B3" s="2" t="s">
        <v>8</v>
      </c>
      <c r="C3" s="3" t="s">
        <v>30</v>
      </c>
      <c r="D3" s="3" t="s">
        <v>11</v>
      </c>
      <c r="E3" s="9" t="s">
        <v>5</v>
      </c>
      <c r="F3" s="9" t="s">
        <v>16</v>
      </c>
      <c r="G3" s="3" t="s">
        <v>24</v>
      </c>
      <c r="H3" s="12" t="s">
        <v>0</v>
      </c>
      <c r="I3" s="7" t="s">
        <v>17</v>
      </c>
      <c r="J3" s="4">
        <v>24421026</v>
      </c>
      <c r="K3" s="5">
        <f t="shared" si="0"/>
        <v>24421026</v>
      </c>
      <c r="L3" s="10" t="e">
        <f>[1]Output!C3</f>
        <v>#REF!</v>
      </c>
      <c r="M3" s="5" t="s">
        <v>12</v>
      </c>
      <c r="N3" s="13" t="str">
        <f>"28,20"</f>
        <v>28,20</v>
      </c>
    </row>
    <row r="4">
      <c r="A4" s="2">
        <v>4</v>
      </c>
      <c r="B4" s="2" t="s">
        <v>13</v>
      </c>
      <c r="C4" s="3" t="s">
        <v>30</v>
      </c>
      <c r="D4" s="3" t="s">
        <v>11</v>
      </c>
      <c r="E4" s="9" t="s">
        <v>5</v>
      </c>
      <c r="F4" s="9" t="s">
        <v>16</v>
      </c>
      <c r="G4" s="3" t="s">
        <v>24</v>
      </c>
      <c r="H4" s="12" t="s">
        <v>0</v>
      </c>
      <c r="I4" s="7" t="s">
        <v>17</v>
      </c>
      <c r="J4" s="14">
        <v>24343486</v>
      </c>
      <c r="K4" s="5">
        <f t="shared" si="0"/>
        <v>24343486</v>
      </c>
      <c r="L4" s="10" t="e">
        <f>[1]Output!C4</f>
        <v>#REF!</v>
      </c>
      <c r="M4" s="5" t="s">
        <v>12</v>
      </c>
      <c r="N4" s="13" t="str">
        <f>"2,67"</f>
        <v>2,67</v>
      </c>
    </row>
    <row r="5">
      <c r="A5" s="2">
        <v>5</v>
      </c>
      <c r="B5" s="2" t="s">
        <v>3</v>
      </c>
      <c r="C5" s="3" t="s">
        <v>30</v>
      </c>
      <c r="D5" s="3" t="s">
        <v>11</v>
      </c>
      <c r="E5" s="9" t="s">
        <v>5</v>
      </c>
      <c r="F5" s="9" t="s">
        <v>16</v>
      </c>
      <c r="G5" s="3" t="s">
        <v>24</v>
      </c>
      <c r="H5" s="12" t="s">
        <v>0</v>
      </c>
      <c r="I5" s="7" t="s">
        <v>17</v>
      </c>
      <c r="J5" s="14">
        <v>24343456</v>
      </c>
      <c r="K5" s="5">
        <f t="shared" si="0"/>
        <v>24343456</v>
      </c>
      <c r="L5" s="10" t="e">
        <f>[1]Output!C5</f>
        <v>#REF!</v>
      </c>
      <c r="M5" s="5" t="s">
        <v>12</v>
      </c>
      <c r="N5" s="13" t="str">
        <f>"3,99"</f>
        <v>3,99</v>
      </c>
    </row>
    <row r="6">
      <c r="A6" s="2">
        <v>6</v>
      </c>
      <c r="B6" s="2" t="s">
        <v>14</v>
      </c>
      <c r="C6" s="3" t="s">
        <v>30</v>
      </c>
      <c r="D6" s="3" t="s">
        <v>11</v>
      </c>
      <c r="E6" s="9" t="s">
        <v>5</v>
      </c>
      <c r="F6" s="9" t="s">
        <v>16</v>
      </c>
      <c r="G6" s="3" t="s">
        <v>24</v>
      </c>
      <c r="H6" s="12" t="s">
        <v>0</v>
      </c>
      <c r="I6" s="7" t="s">
        <v>17</v>
      </c>
      <c r="J6" s="14">
        <v>24397882</v>
      </c>
      <c r="K6" s="5">
        <f t="shared" si="0"/>
        <v>24397882</v>
      </c>
      <c r="L6" s="10" t="e">
        <f>[1]Output!C6</f>
        <v>#REF!</v>
      </c>
      <c r="M6" s="5" t="s">
        <v>29</v>
      </c>
      <c r="N6" s="13" t="str">
        <f>"0,00"</f>
        <v>0,00</v>
      </c>
    </row>
    <row r="7">
      <c r="A7" s="2">
        <v>7</v>
      </c>
      <c r="B7" s="2" t="s">
        <v>25</v>
      </c>
      <c r="C7" s="3" t="s">
        <v>30</v>
      </c>
      <c r="D7" s="3" t="s">
        <v>11</v>
      </c>
      <c r="E7" s="9" t="s">
        <v>5</v>
      </c>
      <c r="F7" s="9" t="s">
        <v>16</v>
      </c>
      <c r="G7" s="3" t="s">
        <v>24</v>
      </c>
      <c r="H7" s="12" t="s">
        <v>0</v>
      </c>
      <c r="I7" s="7" t="s">
        <v>17</v>
      </c>
      <c r="J7" s="4">
        <v>24414968</v>
      </c>
      <c r="K7" s="5">
        <f t="shared" si="0"/>
        <v>24414968</v>
      </c>
      <c r="L7" s="10" t="e">
        <f>[1]Output!C7</f>
        <v>#REF!</v>
      </c>
      <c r="M7" s="5" t="s">
        <v>12</v>
      </c>
      <c r="N7" s="13" t="str">
        <f>"0,78"</f>
        <v>0,78</v>
      </c>
    </row>
    <row r="8">
      <c r="A8" s="2"/>
      <c r="B8" s="2"/>
      <c r="C8" s="2"/>
      <c r="D8" s="2"/>
      <c r="E8" s="2"/>
      <c r="F8" s="2"/>
      <c r="G8" s="2"/>
      <c r="H8" s="2"/>
      <c r="I8" s="2"/>
      <c r="J8" s="4">
        <v>3668064</v>
      </c>
      <c r="K8" s="2"/>
      <c r="L8" s="2"/>
      <c r="M8" s="2"/>
      <c r="N8" s="6"/>
    </row>
    <row r="9">
      <c r="A9" s="2"/>
      <c r="B9" s="2"/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6"/>
    </row>
    <row r="10">
      <c r="A10" s="2"/>
      <c r="B10" s="2"/>
      <c r="C10" s="11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</row>
    <row r="11">
      <c r="A11" s="2"/>
      <c r="B11" s="2"/>
      <c r="C11" s="5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</row>
    <row r="12">
      <c r="A12" s="2"/>
      <c r="B12" s="2"/>
      <c r="C12" s="15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</row>
    <row r="13">
      <c r="A13" s="2"/>
      <c r="B13" s="2"/>
      <c r="C13" s="10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</row>
    <row r="14">
      <c r="A14" s="2"/>
      <c r="B14" s="2"/>
      <c r="C14" s="7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6"/>
    </row>
    <row r="15">
      <c r="A15" s="2"/>
      <c r="B15" s="2"/>
      <c r="C15" s="4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6"/>
    </row>
  </sheetData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28.5" style="8" bestFit="1" customWidth="1"/>
    <col min="3" max="3" width="71.125" style="8" bestFit="1" customWidth="1"/>
    <col min="4" max="16384" width="9.125" style="8" customWidth="1"/>
  </cols>
  <sheetData>
    <row r="1" ht="12.75" customHeight="1" customFormat="1">
      <c r="A1" t="s">
        <v>21</v>
      </c>
      <c r="B1" t="s">
        <v>6</v>
      </c>
      <c r="C1" t="s">
        <v>23</v>
      </c>
    </row>
    <row r="2">
      <c r="A2" s="2">
        <v>2</v>
      </c>
      <c r="B2" s="2" t="s">
        <v>22</v>
      </c>
      <c r="C2" s="6">
        <v>7062943</v>
      </c>
    </row>
    <row r="3">
      <c r="A3" s="2">
        <v>3</v>
      </c>
      <c r="B3" s="2" t="s">
        <v>8</v>
      </c>
      <c r="C3" s="6">
        <v>7086000</v>
      </c>
    </row>
    <row r="4">
      <c r="A4" s="2">
        <v>4</v>
      </c>
      <c r="B4" s="2" t="s">
        <v>13</v>
      </c>
      <c r="C4" s="6">
        <v>7087649</v>
      </c>
    </row>
    <row r="5">
      <c r="A5" s="2">
        <v>5</v>
      </c>
      <c r="B5" s="2" t="s">
        <v>3</v>
      </c>
      <c r="C5" s="6">
        <v>7107836</v>
      </c>
    </row>
    <row r="6">
      <c r="A6" s="2">
        <v>6</v>
      </c>
      <c r="B6" s="2" t="s">
        <v>14</v>
      </c>
      <c r="C6" s="6">
        <v>7087697</v>
      </c>
    </row>
    <row r="7">
      <c r="A7" s="2">
        <v>7</v>
      </c>
      <c r="B7" s="2" t="s">
        <v>25</v>
      </c>
      <c r="C7" s="6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