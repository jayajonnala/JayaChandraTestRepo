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T1_DataTransfer_OneValue" sheetId="3" r:id="rId3"/>
    <sheet name="TC1_Test_01PRO01_001_Create" sheetId="4" r:id="rId4"/>
    <sheet name="TC2_Test_01PRO06_001_Creat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<sst xmlns="http://schemas.openxmlformats.org/spreadsheetml/2006/main" uniqueCount="56">
  <si>
    <t>08 - Create Promotion with Promotion Price (price change) and wrong Site Group via WAK1 (with ref.to Higher-Level) =&gt; get error message site xxxx from site group xx has different tariff-</t>
  </si>
  <si>
    <t>DT_SAPTRANSACTIONCODE</t>
  </si>
  <si>
    <t>GP01</t>
  </si>
  <si>
    <t>ENA_TARIFF_BASIC</t>
  </si>
  <si>
    <t>1,43</t>
  </si>
  <si>
    <t>AUTOFAB</t>
  </si>
  <si>
    <t>1,47</t>
  </si>
  <si>
    <t>DT_WAK1_8215_TABLECELL_SITE_GROUP_0</t>
  </si>
  <si>
    <t>DT_WAK1_0500_CHECK_TEXT_OF_SALES_ORD_FROM</t>
  </si>
  <si>
    <t>EL</t>
  </si>
  <si>
    <t>DT_WAK1_8231_SALES_ORGANIZATION</t>
  </si>
  <si>
    <t>AB_TARIFF_04</t>
  </si>
  <si>
    <t>DT_PROMOTION_NUMBER</t>
  </si>
  <si>
    <t>Scenario</t>
  </si>
  <si>
    <t>%blank%</t>
  </si>
  <si>
    <t>DT_WAK1_2000_SET_REFERENCE_PROMO_AS_HIGHERLEVEL_PROMO</t>
  </si>
  <si>
    <t>DT_WAK1_2600_ON_SALE_FROM</t>
  </si>
  <si>
    <t>DT_WAK1_0500_CHECK_TEXT_OF_TO</t>
  </si>
  <si>
    <t>DT_WAK1_8230_PURCHASING_ORG</t>
  </si>
  <si>
    <t>200</t>
  </si>
  <si>
    <t>ON</t>
  </si>
  <si>
    <t>DT_EXPECTEDVALUE</t>
  </si>
  <si>
    <t>DT_WAK1_8231_DISTRIBUTION_CHANNEL</t>
  </si>
  <si>
    <t>01</t>
  </si>
  <si>
    <t>DT_SAPSYSTEM</t>
  </si>
  <si>
    <t>init-123</t>
  </si>
  <si>
    <t>DT_SAPLANGUAGE</t>
  </si>
  <si>
    <t>DT_SAPOPTIONS</t>
  </si>
  <si>
    <t>S</t>
  </si>
  <si>
    <t>AB_TARIFF_12</t>
  </si>
  <si>
    <t>DT_WAK1_8231_CREATE_SALES_PRICE_COND</t>
  </si>
  <si>
    <t>DT_WAK1_8210_TABLECELL_ARTICLE_0</t>
  </si>
  <si>
    <t>DT_WAK1_1000_REF_PROMO</t>
  </si>
  <si>
    <t>AB</t>
  </si>
  <si>
    <t>Row_Number</t>
  </si>
  <si>
    <t>DT_WAK1_5500_TABLECELL_LANGUAGE_1</t>
  </si>
  <si>
    <t>PRO 03 - Create Promotion with Promotion Price and Wrong Site Group</t>
  </si>
  <si>
    <t>EN</t>
  </si>
  <si>
    <t>DT_WAK1_5500_TABLECELL_PROMOTION_DESCR_1</t>
  </si>
  <si>
    <t>DT_PROMOTION_NUMBER_OUTPUT</t>
  </si>
  <si>
    <t>DT_EXPECTEDTRANSACTIONCODE</t>
  </si>
  <si>
    <t>DT_NUM</t>
  </si>
  <si>
    <t>DT_WAK1_8210_GET_TEXT_OF_TABLECELL_SALES_PRICE_0</t>
  </si>
  <si>
    <t>DT_WAK1_1000_PROMOTION_TYPE</t>
  </si>
  <si>
    <t>ZSSP</t>
  </si>
  <si>
    <t>GS02</t>
  </si>
  <si>
    <t>R1E - SAP RETAIL Pre-Production EUROPE</t>
  </si>
  <si>
    <t>DT_SAPPASSWORD</t>
  </si>
  <si>
    <t>DT_WAK1_8210_TABLECELL_SALES_PRICE_0</t>
  </si>
  <si>
    <t>DT_SAPUSER</t>
  </si>
  <si>
    <t>WAK1</t>
  </si>
  <si>
    <t>DT_WAK1_2600_TO</t>
  </si>
  <si>
    <t>DT_SAPCLIENT</t>
  </si>
  <si>
    <t>DT_WAK1_0500_PROMOTION</t>
  </si>
  <si>
    <t>DT_WAK1_8231_PP_DETERM_SEQUENCE</t>
  </si>
  <si>
    <t>DT_WAK1_8210_GET_TABLECELL_SALES_PRICE_0_OUTPUT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</si>
</sst>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17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7" borderId="2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2" fontId="1" fillId="0" borderId="1" xfId="0" applyNumberFormat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2" fontId="1" fillId="4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O06_001_Create_Promotion_with_Promotion_Pric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0"/>
  <sheetViews>
    <sheetView topLeftCell="AB1" workbookViewId="0">
      <selection activeCell="AB2" sqref="AB2"/>
    </sheetView>
  </sheetViews>
  <sheetFormatPr defaultColWidth="9.125" defaultRowHeight="14.25"/>
  <cols>
    <col min="1" max="1" width="12.5" style="15" customWidth="1"/>
    <col min="2" max="2" width="153" style="15" customWidth="1"/>
    <col min="3" max="3" width="38.125" style="15" customWidth="1"/>
    <col min="4" max="4" width="15" style="15" customWidth="1"/>
    <col min="5" max="5" width="13.625" style="15" customWidth="1"/>
    <col min="6" max="6" width="47.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3.125" style="15" customWidth="1"/>
    <col min="12" max="12" width="27.375" style="15" customWidth="1"/>
    <col min="13" max="13" width="65.25" style="15" customWidth="1"/>
    <col min="14" max="14" width="30.625" style="15" customWidth="1"/>
    <col min="15" max="15" width="18.375" style="15" customWidth="1"/>
    <col min="16" max="16" width="20.75" style="15" customWidth="1"/>
    <col min="17" max="17" width="9.125" style="15" customWidth="1"/>
    <col min="18" max="18" width="36.375" style="15" customWidth="1"/>
    <col min="19" max="19" width="49.875" style="15" customWidth="1"/>
    <col min="20" max="20" width="35" style="15" customWidth="1"/>
    <col min="21" max="21" width="39.5" style="15" customWidth="1"/>
    <col min="22" max="22" width="48.125" style="15" customWidth="1"/>
    <col min="23" max="23" width="33.25" style="15" customWidth="1"/>
    <col min="24" max="24" width="43.375" style="15" customWidth="1"/>
    <col min="25" max="25" width="36.875" style="15" customWidth="1"/>
    <col min="26" max="26" width="39" style="15" customWidth="1"/>
    <col min="27" max="27" width="38.625" style="15" customWidth="1"/>
    <col min="28" max="28" width="37.125" style="15" customWidth="1"/>
    <col min="29" max="29" width="56.125" style="15" customWidth="1"/>
    <col min="30" max="30" width="41.875" style="15" customWidth="1"/>
    <col min="31" max="31" width="41.25" style="15" customWidth="1"/>
    <col min="32" max="32" width="25.125" style="15" customWidth="1"/>
    <col min="33" max="16384" width="9.125" style="15" customWidth="1"/>
  </cols>
  <sheetData>
    <row r="1" ht="12.75" customHeight="1" customFormat="1">
      <c r="A1" t="s">
        <v>34</v>
      </c>
      <c r="B1" t="s">
        <v>13</v>
      </c>
      <c r="C1" t="s">
        <v>24</v>
      </c>
      <c r="D1" t="s">
        <v>52</v>
      </c>
      <c r="E1" t="s">
        <v>49</v>
      </c>
      <c r="F1" t="s">
        <v>47</v>
      </c>
      <c r="G1" t="s">
        <v>26</v>
      </c>
      <c r="H1" t="s">
        <v>27</v>
      </c>
      <c r="I1" t="s">
        <v>1</v>
      </c>
      <c r="J1" t="s">
        <v>40</v>
      </c>
      <c r="K1" t="s">
        <v>43</v>
      </c>
      <c r="L1" t="s">
        <v>32</v>
      </c>
      <c r="M1" t="s">
        <v>15</v>
      </c>
      <c r="N1" t="s">
        <v>16</v>
      </c>
      <c r="O1" t="s">
        <v>51</v>
      </c>
      <c r="P1" t="s">
        <v>21</v>
      </c>
      <c r="Q1" t="s">
        <v>41</v>
      </c>
      <c r="R1" t="s">
        <v>53</v>
      </c>
      <c r="S1" t="s">
        <v>8</v>
      </c>
      <c r="T1" t="s">
        <v>17</v>
      </c>
      <c r="U1" t="s">
        <v>35</v>
      </c>
      <c r="V1" t="s">
        <v>38</v>
      </c>
      <c r="W1" t="s">
        <v>18</v>
      </c>
      <c r="X1" t="s">
        <v>30</v>
      </c>
      <c r="Y1" t="s">
        <v>10</v>
      </c>
      <c r="Z1" t="s">
        <v>22</v>
      </c>
      <c r="AA1" t="s">
        <v>54</v>
      </c>
      <c r="AB1" t="s">
        <v>31</v>
      </c>
      <c r="AC1" t="s">
        <v>42</v>
      </c>
      <c r="AD1" t="s">
        <v>48</v>
      </c>
      <c r="AE1" t="s">
        <v>7</v>
      </c>
      <c r="AF1" t="s">
        <v>12</v>
      </c>
    </row>
    <row r="2">
      <c r="A2" s="5">
        <v>2</v>
      </c>
      <c r="B2" s="5" t="s">
        <v>0</v>
      </c>
      <c r="C2" s="2" t="s">
        <v>46</v>
      </c>
      <c r="D2" s="2" t="s">
        <v>19</v>
      </c>
      <c r="E2" s="2" t="s">
        <v>5</v>
      </c>
      <c r="F2" s="2" t="s">
        <v>25</v>
      </c>
      <c r="G2" s="2" t="s">
        <v>37</v>
      </c>
      <c r="H2" s="1" t="s">
        <v>14</v>
      </c>
      <c r="I2" s="1" t="s">
        <v>50</v>
      </c>
      <c r="J2" s="1" t="s">
        <v>50</v>
      </c>
      <c r="K2" s="1" t="s">
        <v>44</v>
      </c>
      <c r="L2" s="12">
        <v>20000112</v>
      </c>
      <c r="M2" s="1" t="s">
        <v>20</v>
      </c>
      <c r="N2" s="4">
        <f ca="1">TODAY()+15</f>
        <v>45971</v>
      </c>
      <c r="O2" s="4">
        <f ca="1">N2+15</f>
        <v>45986</v>
      </c>
      <c r="P2" s="1" t="s">
        <v>28</v>
      </c>
      <c r="Q2" s="1">
        <v>23</v>
      </c>
      <c r="R2" s="6" t="str">
        <f>CONCATENATE("Test_TAO_Promo_with_Promo_Price_",Q2)</f>
        <v>Test_TAO_Promo_with_Promo_Price_23</v>
      </c>
      <c r="S2" s="4">
        <f ca="1" t="shared" si="0" ref="S2:T2">N2</f>
        <v>45971</v>
      </c>
      <c r="T2" s="4">
        <f ca="1" t="shared" si="0"/>
        <v>45986</v>
      </c>
      <c r="U2" s="3" t="s">
        <v>9</v>
      </c>
      <c r="V2" s="6" t="str">
        <f>R2</f>
        <v>Test_TAO_Promo_with_Promo_Price_23</v>
      </c>
      <c r="W2" s="3" t="s">
        <v>2</v>
      </c>
      <c r="X2" s="13" t="s">
        <v>20</v>
      </c>
      <c r="Y2" s="3" t="s">
        <v>45</v>
      </c>
      <c r="Z2" s="3" t="s">
        <v>23</v>
      </c>
      <c r="AA2" s="3" t="s">
        <v>33</v>
      </c>
      <c r="AB2" s="16">
        <v>7062864</v>
      </c>
      <c r="AC2" s="11" t="e">
        <f>[1]Output!C2</f>
        <v>#REF!</v>
      </c>
      <c r="AD2" s="19" t="e">
        <f>AC2-0.1</f>
        <v>#REF!</v>
      </c>
      <c r="AE2" s="9" t="s">
        <v>3</v>
      </c>
      <c r="AF2" s="14" t="e">
        <f>[1]Output!D2</f>
        <v>#REF!</v>
      </c>
    </row>
    <row r="3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0"/>
    </row>
    <row r="4">
      <c r="A4" s="5">
        <v>4</v>
      </c>
      <c r="B4" s="7" t="s">
        <v>36</v>
      </c>
      <c r="C4" s="2" t="s">
        <v>46</v>
      </c>
      <c r="D4" s="2" t="s">
        <v>19</v>
      </c>
      <c r="E4" s="2" t="s">
        <v>5</v>
      </c>
      <c r="F4" s="2" t="s">
        <v>25</v>
      </c>
      <c r="G4" s="2" t="s">
        <v>37</v>
      </c>
      <c r="H4" s="1" t="s">
        <v>14</v>
      </c>
      <c r="I4" s="1" t="s">
        <v>50</v>
      </c>
      <c r="J4" s="1" t="s">
        <v>50</v>
      </c>
      <c r="K4" s="1" t="s">
        <v>44</v>
      </c>
      <c r="L4" s="12">
        <v>20148170</v>
      </c>
      <c r="M4" s="1" t="s">
        <v>20</v>
      </c>
      <c r="N4" s="4">
        <f ca="1" t="shared" si="1" ref="N4:N5">TODAY()+15</f>
        <v>45971</v>
      </c>
      <c r="O4" s="4">
        <f ca="1" t="shared" si="2" ref="O4:O5">N4+15</f>
        <v>45986</v>
      </c>
      <c r="P4" s="1" t="s">
        <v>28</v>
      </c>
      <c r="Q4" s="1">
        <v>172</v>
      </c>
      <c r="R4" s="6" t="str">
        <f t="shared" si="3" ref="R4:R5">CONCATENATE("Test_TAO_Promo_with_Promo_Price_",Q4)</f>
        <v>Test_TAO_Promo_with_Promo_Price_172</v>
      </c>
      <c r="S4" s="4">
        <f ca="1" t="shared" si="4" ref="S4:T5">N4</f>
        <v>45971</v>
      </c>
      <c r="T4" s="4">
        <f ca="1" t="shared" si="4"/>
        <v>45986</v>
      </c>
      <c r="U4" s="3" t="s">
        <v>9</v>
      </c>
      <c r="V4" s="6" t="str">
        <f t="shared" si="5" ref="V4:V5">R4</f>
        <v>Test_TAO_Promo_with_Promo_Price_172</v>
      </c>
      <c r="W4" s="3" t="s">
        <v>2</v>
      </c>
      <c r="X4" s="13" t="s">
        <v>20</v>
      </c>
      <c r="Y4" s="3" t="s">
        <v>45</v>
      </c>
      <c r="Z4" s="3" t="s">
        <v>23</v>
      </c>
      <c r="AA4" s="3" t="s">
        <v>33</v>
      </c>
      <c r="AB4" s="16">
        <v>7223514</v>
      </c>
      <c r="AC4" s="11" t="e">
        <f>[1]Output!C4</f>
        <v>#REF!</v>
      </c>
      <c r="AD4" s="18" t="s">
        <v>6</v>
      </c>
      <c r="AE4" s="9" t="s">
        <v>11</v>
      </c>
      <c r="AF4" s="14" t="e">
        <f>[1]Output!D4</f>
        <v>#REF!</v>
      </c>
    </row>
    <row r="5">
      <c r="A5" s="7">
        <v>5</v>
      </c>
      <c r="B5" s="7" t="s">
        <v>36</v>
      </c>
      <c r="C5" s="2" t="s">
        <v>46</v>
      </c>
      <c r="D5" s="2" t="s">
        <v>19</v>
      </c>
      <c r="E5" s="2" t="s">
        <v>5</v>
      </c>
      <c r="F5" s="2" t="s">
        <v>25</v>
      </c>
      <c r="G5" s="2" t="s">
        <v>37</v>
      </c>
      <c r="H5" s="1" t="s">
        <v>14</v>
      </c>
      <c r="I5" s="1" t="s">
        <v>50</v>
      </c>
      <c r="J5" s="1" t="s">
        <v>50</v>
      </c>
      <c r="K5" s="1" t="s">
        <v>44</v>
      </c>
      <c r="L5" s="12">
        <v>20004611</v>
      </c>
      <c r="M5" s="1" t="s">
        <v>20</v>
      </c>
      <c r="N5" s="4">
        <f ca="1" t="shared" si="1"/>
        <v>45971</v>
      </c>
      <c r="O5" s="4">
        <f ca="1" t="shared" si="2"/>
        <v>45986</v>
      </c>
      <c r="P5" s="1" t="s">
        <v>28</v>
      </c>
      <c r="Q5" s="1">
        <v>35</v>
      </c>
      <c r="R5" s="6" t="str">
        <f t="shared" si="3"/>
        <v>Test_TAO_Promo_with_Promo_Price_35</v>
      </c>
      <c r="S5" s="4">
        <f ca="1" t="shared" si="4"/>
        <v>45971</v>
      </c>
      <c r="T5" s="4">
        <f ca="1" t="shared" si="4"/>
        <v>45986</v>
      </c>
      <c r="U5" s="3" t="s">
        <v>9</v>
      </c>
      <c r="V5" s="6" t="str">
        <f t="shared" si="5"/>
        <v>Test_TAO_Promo_with_Promo_Price_35</v>
      </c>
      <c r="W5" s="3" t="s">
        <v>2</v>
      </c>
      <c r="X5" s="13" t="s">
        <v>20</v>
      </c>
      <c r="Y5" s="3" t="s">
        <v>45</v>
      </c>
      <c r="Z5" s="3" t="s">
        <v>23</v>
      </c>
      <c r="AA5" s="3" t="s">
        <v>33</v>
      </c>
      <c r="AB5" s="16">
        <v>7103224</v>
      </c>
      <c r="AC5" s="11" t="e">
        <f>[1]Output!C5</f>
        <v>#REF!</v>
      </c>
      <c r="AD5" s="18">
        <v>15.109999999999999</v>
      </c>
      <c r="AE5" s="9" t="s">
        <v>29</v>
      </c>
      <c r="AF5" s="14" t="e">
        <f>[1]Output!D5</f>
        <v>#REF!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0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0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9" t="s">
        <v>3</v>
      </c>
      <c r="AF8" s="10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0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7" t="e">
        <f>AC2-0.1</f>
        <v>#REF!</v>
      </c>
      <c r="AE10" s="1"/>
      <c r="AF10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5"/>
  <sheetViews>
    <sheetView workbookViewId="0">
      <selection activeCell="A2" sqref="A2"/>
    </sheetView>
  </sheetViews>
  <sheetFormatPr defaultColWidth="9.125" defaultRowHeight="14.25"/>
  <cols>
    <col min="1" max="1" width="9.125" style="15" customWidth="1"/>
    <col min="2" max="2" width="157.375" style="15" bestFit="1" customWidth="1"/>
    <col min="3" max="3" width="56.5" style="15" bestFit="1" customWidth="1"/>
    <col min="4" max="16384" width="9.125" style="15" customWidth="1"/>
  </cols>
  <sheetData>
    <row r="1" ht="12.75" customHeight="1" customFormat="1">
      <c r="A1" t="s">
        <v>34</v>
      </c>
      <c r="B1" t="s">
        <v>13</v>
      </c>
      <c r="C1" t="s">
        <v>55</v>
      </c>
      <c r="D1" t="s">
        <v>39</v>
      </c>
    </row>
    <row r="2">
      <c r="A2" s="5">
        <v>2</v>
      </c>
      <c r="B2" s="5" t="s">
        <v>0</v>
      </c>
      <c r="C2" s="1"/>
      <c r="D2" s="10"/>
    </row>
    <row r="3">
      <c r="A3" s="1">
        <v>3</v>
      </c>
      <c r="B3" s="1"/>
      <c r="C3" s="1"/>
      <c r="D3" s="10"/>
    </row>
    <row r="4">
      <c r="A4" s="5">
        <v>4</v>
      </c>
      <c r="B4" s="7" t="s">
        <v>36</v>
      </c>
      <c r="C4" s="1" t="s">
        <v>4</v>
      </c>
      <c r="D4" s="10">
        <v>10750467</v>
      </c>
    </row>
    <row r="5">
      <c r="A5" s="7">
        <v>5</v>
      </c>
      <c r="B5" s="7" t="s">
        <v>36</v>
      </c>
      <c r="C5" s="1"/>
      <c r="D5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