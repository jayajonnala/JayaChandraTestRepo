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<sst xmlns="http://schemas.openxmlformats.org/spreadsheetml/2006/main" uniqueCount="154">
  <si>
    <t>DT_SAPTRANSACTIONCODE</t>
  </si>
  <si>
    <t>DT_ZMDPC_UPLOAD_COND_600_GRIDCELL_3_VARIANT_NAME</t>
  </si>
  <si>
    <t>COMPET:AB</t>
  </si>
  <si>
    <t>DT_DSD_SPC_MARGIN1</t>
  </si>
  <si>
    <t>DT_DSD_SPC_MARGIN11</t>
  </si>
  <si>
    <t>DT_ZMDPC_UPLOAD_COND_500_GETCELLVALUE_OF_GRIDCELL_2_KBETR_EDIT</t>
  </si>
  <si>
    <t>DT_ZMDPC_UPLOAD_COND_500_CHECK_GRIDCELL_3_LIGHT_OCC2</t>
  </si>
  <si>
    <t>35,000</t>
  </si>
  <si>
    <t>Scenario 4 Bazaar</t>
  </si>
  <si>
    <t>AUTOFAB</t>
  </si>
  <si>
    <t>DT_ZMDPC_UPLOAD_COND_1000_DISTRIBUTION_CHANNEL</t>
  </si>
  <si>
    <t>4,320</t>
  </si>
  <si>
    <t>AD</t>
  </si>
  <si>
    <t>AH</t>
  </si>
  <si>
    <t>AL</t>
  </si>
  <si>
    <t>Fix</t>
  </si>
  <si>
    <t>DT_ZMDPC_UPLOAD_COND_600_GRIDCELL_3_VARIANT_NAME_OCC2</t>
  </si>
  <si>
    <t>Competition_Upload_FruitsAndVegetables.xls</t>
  </si>
  <si>
    <t>@09@</t>
  </si>
  <si>
    <t>DT_ZMDPC_UPLOAD_COND_1000_MATERIAL_OCC2</t>
  </si>
  <si>
    <t>112,000</t>
  </si>
  <si>
    <t>3,000</t>
  </si>
  <si>
    <t>N</t>
  </si>
  <si>
    <t>R</t>
  </si>
  <si>
    <t>V</t>
  </si>
  <si>
    <t>AP</t>
  </si>
  <si>
    <t>AT</t>
  </si>
  <si>
    <t>Scenario</t>
  </si>
  <si>
    <t>Input Value</t>
  </si>
  <si>
    <t>Iovio002!</t>
  </si>
  <si>
    <t>%blank%</t>
  </si>
  <si>
    <t>Competition_Upload_FishAndMeat.xls</t>
  </si>
  <si>
    <t>Competition_Upload_FishAndMeatOther.xls</t>
  </si>
  <si>
    <t>DT_ZMDPC_UPLOAD_COND_500_CHECK_GETCELLVALUE_OF_GRIDCELL_1_LIGHT</t>
  </si>
  <si>
    <t>@0A@</t>
  </si>
  <si>
    <t>DT_ZMDPC_UPLOAD_COND_500_GETCELLVALUE_OF_GRIDCELL_0_KUNNR</t>
  </si>
  <si>
    <t>DT_ZMDPC_UPLOAD_COND_100_CONDITION_TYPE</t>
  </si>
  <si>
    <t>3</t>
  </si>
  <si>
    <t>DT_ZMDPC_UPLOAD_COND_500_GETCELLVALUE_OF_GRIDCELL_0_KUNNR_OUTPUT</t>
  </si>
  <si>
    <t>Z</t>
  </si>
  <si>
    <t>Formulas</t>
  </si>
  <si>
    <t>200</t>
  </si>
  <si>
    <t>DT_ZMDPC_UPLOAD_COND_500_GETCELLVALUE_OF_GRIDCELL_1_KBETR_EDIT</t>
  </si>
  <si>
    <t>DT_ZMDPC_UPLOAD_COND_500_CHECK_GRIDCELL_2_LIGHT_OCC2</t>
  </si>
  <si>
    <t>01</t>
  </si>
  <si>
    <t>DT_ZMDPC_UPLOAD_COND_500_GETCELLVALUE_OF_GRIDCELL_0_MATNR_OUTPUT</t>
  </si>
  <si>
    <t>DT_ZMDPC_UPLOAD_COND_500_GETCELLVALUE_OF_GRIDCELL_2_KUNNR_OUTPUT</t>
  </si>
  <si>
    <t>DT_ZMDPC_UPLOAD_COND_500_GET_GRIDCELL_0_PRICEEDIT_OUTPUT</t>
  </si>
  <si>
    <t>AA</t>
  </si>
  <si>
    <t>Scenario 3 Pricing Dry Grocery</t>
  </si>
  <si>
    <t>DT_SAPSYSTEM</t>
  </si>
  <si>
    <t>AUTOAB</t>
  </si>
  <si>
    <t>init-123</t>
  </si>
  <si>
    <t>DT_ZMDPC_UPLOAD_COND_1153_CHECK_TEXT_OF_TABLECELL_AMOUNT_0</t>
  </si>
  <si>
    <t>4,310</t>
  </si>
  <si>
    <t>K</t>
  </si>
  <si>
    <t>AE</t>
  </si>
  <si>
    <t>AI</t>
  </si>
  <si>
    <t>RGS - SAP RETAIL Staging GLOBAL</t>
  </si>
  <si>
    <t>DT_SAPLANGUAGE</t>
  </si>
  <si>
    <t>DT_SAPOPTIONS</t>
  </si>
  <si>
    <t>Competition_Upload_Perishables.xlsx</t>
  </si>
  <si>
    <t>DT_ZMDPC_UPLOAD_COND_500_CHECK_GETCELLVALUE_OF_GRIDCELL_3_LIGHT</t>
  </si>
  <si>
    <t>@08@</t>
  </si>
  <si>
    <t>DT_ZMDPC_UPLOAD_COND_3010_TABLECELL_SINGLE_VALUE_0</t>
  </si>
  <si>
    <t>9,130</t>
  </si>
  <si>
    <t>DT_GETCELLVALUE_OF_GRIDCELL_0_KBETR_EDIT_OUTPUT</t>
  </si>
  <si>
    <t>O</t>
  </si>
  <si>
    <t>S</t>
  </si>
  <si>
    <t>AM</t>
  </si>
  <si>
    <t>AQ</t>
  </si>
  <si>
    <t>AU</t>
  </si>
  <si>
    <t>Scenario 5 Perishables</t>
  </si>
  <si>
    <t>Pricing F&amp;V</t>
  </si>
  <si>
    <t>DT_ZMDPC_UPLOAD_COND_500_GETCELLVALUE_OF_GRIDCELL_0_MATNR</t>
  </si>
  <si>
    <t>DT_ZMDPC_UPLOAD_COND_500_GETCELLVALUE_OF_GRIDCELL_2_KUNNR</t>
  </si>
  <si>
    <t>DT_ZMDPC_UPLOAD_COND_500_CGETCELLVALUE_OF_GRIDCELL_0_KBETR_EDIT</t>
  </si>
  <si>
    <t>DT_ZMDPC_UPLOAD_COND_500_CHECK_GRIDCELL_1_LIGHT_OCC2</t>
  </si>
  <si>
    <t>DT_ZMDPC_UPLOAD_COND_1000_SALES_ORGANIZATION_OCC2</t>
  </si>
  <si>
    <t>231,000</t>
  </si>
  <si>
    <t>188,000</t>
  </si>
  <si>
    <t>22,000</t>
  </si>
  <si>
    <t>W</t>
  </si>
  <si>
    <t>RSB</t>
  </si>
  <si>
    <t>ZMDPC_UPLOAD_COND</t>
  </si>
  <si>
    <t>DT_ZMDPC_UPLOAD_COND_1000_FILE_NAME_OCC2</t>
  </si>
  <si>
    <t>433,000</t>
  </si>
  <si>
    <t>187,000</t>
  </si>
  <si>
    <t>AB</t>
  </si>
  <si>
    <t>Row_Number</t>
  </si>
  <si>
    <t>Scenario 1 Pricing F&amp;V</t>
  </si>
  <si>
    <t>Competition_Upload_Bazaar.xlsx</t>
  </si>
  <si>
    <t>DT_ZMDPC_UPLOAD_COND_500_CHECK_GETCELLVALUE_OF_GRIDCELL_0_LIGHT</t>
  </si>
  <si>
    <t>DT_ZMDPC_UPLOAD_COND_1153_CHECK_TEXT_OF_TABLECELL_AMOUNT_1</t>
  </si>
  <si>
    <t>DT_GETCELLVALUE_OF_GRIDCELL_1_KBETR_EDIT_OUTPUT</t>
  </si>
  <si>
    <t>L</t>
  </si>
  <si>
    <t>AF</t>
  </si>
  <si>
    <t>AJ</t>
  </si>
  <si>
    <t>EN</t>
  </si>
  <si>
    <t>Competition_Upload_Perishables.xls</t>
  </si>
  <si>
    <t>DT_EXPECTEDTRANSACTIONCODE_OCC2</t>
  </si>
  <si>
    <t>186,000</t>
  </si>
  <si>
    <t>9,120</t>
  </si>
  <si>
    <t>P</t>
  </si>
  <si>
    <t>T</t>
  </si>
  <si>
    <t>AN</t>
  </si>
  <si>
    <t>AR</t>
  </si>
  <si>
    <t>Scenario 2 Pricing Fish &amp; Meat</t>
  </si>
  <si>
    <t>DT_EXPECTEDTRANSACTIONCODE</t>
  </si>
  <si>
    <t>UoM not defined</t>
  </si>
  <si>
    <t>DT_ZMDPC_UPLOAD_COND_500_CHECK_GRIDCELL_0_LIGHT_OCC2</t>
  </si>
  <si>
    <t>VK13</t>
  </si>
  <si>
    <t>DT_ZMDPC_UPLOAD_COND_0100_SALES_ORGDISTRIBUTION_CHANNELSITESALES_UNITCUSTOMER_OCC2</t>
  </si>
  <si>
    <t>DT_ZMDPC_UPLOAD_COND_3010_TABLECELL_SINGLE_VALUE_1</t>
  </si>
  <si>
    <t>DT_ZMDPC_UPLOAD_COND_500_GETCELLVALUE_OF_GRIDCELL_1_KUNNR_OUTPUT</t>
  </si>
  <si>
    <t>DT_GETCELLVALUE_OF_GRIDCELL_2_KBETR_EDIT_OUTPUT</t>
  </si>
  <si>
    <t>X</t>
  </si>
  <si>
    <t>AV</t>
  </si>
  <si>
    <t>DSM RSB</t>
  </si>
  <si>
    <t>DT_ZMDPC_UPLOAD_COND_500_CHECK_GETCELLVALUE_OF_GRIDCELL_3_MSGTX</t>
  </si>
  <si>
    <t>DT_ZMDPC_UPLOAD_COND_500_GRIDCELL_0_PRICEEDIT</t>
  </si>
  <si>
    <t>DT_ZMDPC_UPLOAD_COND_500_OKCD</t>
  </si>
  <si>
    <t>GS02</t>
  </si>
  <si>
    <t>AC</t>
  </si>
  <si>
    <t>Scenario 2 Pricing Fish &amp; Meat (Other)</t>
  </si>
  <si>
    <t>R1E - SAP RETAIL Pre-Production EUROPE</t>
  </si>
  <si>
    <t>BUYCATMGR</t>
  </si>
  <si>
    <t>DT_SAPPASSWORD</t>
  </si>
  <si>
    <t>Competition_Upload_DryGroceries.xlsx</t>
  </si>
  <si>
    <t>DT_ZMDPC_UPLOAD_COND_500_CHECK_GETCELLVALUE_OF_GRIDCELL_2_LIGHT</t>
  </si>
  <si>
    <t>DT_ZMDPC_UPLOAD_COND_500_GETCELLVALUE_OF_GRIDCELL_1_KUNNR</t>
  </si>
  <si>
    <t>DT_ZMDPC_UPLOAD_COND_1153_CHECK_TEXT_OF_TABLECELL_AMOUNT_2</t>
  </si>
  <si>
    <t>4,330</t>
  </si>
  <si>
    <t>M</t>
  </si>
  <si>
    <t>AG</t>
  </si>
  <si>
    <t>AK</t>
  </si>
  <si>
    <t>Scenario 6 General</t>
  </si>
  <si>
    <t>Checks</t>
  </si>
  <si>
    <t>Output Value</t>
  </si>
  <si>
    <t>DT_SAPUSER</t>
  </si>
  <si>
    <t>5357ad1a0c47930650cdbcc05eca08602f3a08dbd65a</t>
  </si>
  <si>
    <t>Competition_Upload_FruitsAndVegetables.xlsx</t>
  </si>
  <si>
    <t>DT_ZMDPC_UPLOAD_COND_500_GET_GRIDCELL_0_PRICEEDIT</t>
  </si>
  <si>
    <t>9,110</t>
  </si>
  <si>
    <t>Q</t>
  </si>
  <si>
    <t>U</t>
  </si>
  <si>
    <t>AO</t>
  </si>
  <si>
    <t>AS</t>
  </si>
  <si>
    <t>DT_SAPCLIENT</t>
  </si>
  <si>
    <t>VKPM</t>
  </si>
  <si>
    <t>DT_ZMDPC_UPLOAD_COND_3010_TABLECELL_SINGLE_VALUE_2</t>
  </si>
  <si>
    <t>DT_VARIANT_CREATED_BY</t>
  </si>
  <si>
    <t>Y</t>
  </si>
  <si>
    <t>AW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</si>
</sst>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6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3" fontId="1" fillId="0" borderId="1" xfId="0" applyNumberFormat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4" fontId="1" fillId="6" borderId="1" xfId="0" applyNumberForma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0" fillId="0" borderId="0" xfId="0" applyBorder="1" applyProtection="1">
      <protection locked="0"/>
    </xf>
    <xf numFmtId="11" fontId="1" fillId="4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2" fontId="2" fillId="2" borderId="1" xfId="0" applyNumberFormat="1" applyFont="1" applyFill="1" applyBorder="1" applyProtection="1">
      <protection locked="0"/>
    </xf>
    <xf numFmtId="0" fontId="1" fillId="9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2_Upload_Competitor_prices_via_xl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24"/>
  <sheetViews>
    <sheetView zoomScale="70"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12.5" style="12" customWidth="1"/>
    <col min="2" max="2" width="32.75" style="12" customWidth="1"/>
    <col min="3" max="3" width="38.125" style="12" customWidth="1"/>
    <col min="4" max="4" width="15" style="12" customWidth="1"/>
    <col min="5" max="5" width="13.625" style="12" customWidth="1"/>
    <col min="6" max="6" width="44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57.875" style="12" customWidth="1"/>
    <col min="12" max="12" width="63.75" style="12" customWidth="1"/>
    <col min="13" max="13" width="48.25" style="12" customWidth="1"/>
    <col min="14" max="17" width="75" style="12" customWidth="1"/>
    <col min="18" max="18" width="76" style="12" customWidth="1"/>
    <col min="19" max="19" width="69" style="12" customWidth="1"/>
    <col min="20" max="20" width="22.75" style="12" customWidth="1"/>
    <col min="21" max="21" width="23.75" style="12" customWidth="1"/>
    <col min="22" max="24" width="68.875" style="12" customWidth="1"/>
    <col min="25" max="25" width="58.125" style="12" customWidth="1"/>
    <col min="26" max="26" width="53.25" style="12" customWidth="1"/>
    <col min="27" max="27" width="75.125" style="12" customWidth="1"/>
    <col min="28" max="29" width="73.875" style="12" customWidth="1"/>
    <col min="30" max="33" width="80.875" style="12" customWidth="1"/>
    <col min="34" max="34" width="36.25" style="12" customWidth="1"/>
    <col min="35" max="35" width="39.25" style="12" customWidth="1"/>
    <col min="36" max="36" width="47.5" style="12" customWidth="1"/>
    <col min="37" max="37" width="98.75" style="12" customWidth="1"/>
    <col min="38" max="38" width="59.125" style="12" customWidth="1"/>
    <col min="39" max="39" width="55.375" style="12" customWidth="1"/>
    <col min="40" max="40" width="47.375" style="12" customWidth="1"/>
    <col min="41" max="43" width="59.5" style="12" customWidth="1"/>
    <col min="44" max="46" width="70.375" style="12" customWidth="1"/>
    <col min="47" max="47" width="26.375" style="12" customWidth="1"/>
    <col min="48" max="16384" width="9.125" style="12" customWidth="1"/>
  </cols>
  <sheetData>
    <row r="1" ht="12.75" customHeight="1" customFormat="1">
      <c r="A1" t="s">
        <v>89</v>
      </c>
      <c r="B1" t="s">
        <v>27</v>
      </c>
      <c r="C1" t="s">
        <v>50</v>
      </c>
      <c r="D1" t="s">
        <v>148</v>
      </c>
      <c r="E1" t="s">
        <v>139</v>
      </c>
      <c r="F1" t="s">
        <v>127</v>
      </c>
      <c r="G1" t="s">
        <v>59</v>
      </c>
      <c r="H1" t="s">
        <v>60</v>
      </c>
      <c r="I1" t="s">
        <v>0</v>
      </c>
      <c r="J1" t="s">
        <v>108</v>
      </c>
      <c r="K1" t="s">
        <v>1</v>
      </c>
      <c r="L1" t="s">
        <v>16</v>
      </c>
      <c r="M1" t="s">
        <v>85</v>
      </c>
      <c r="N1" t="s">
        <v>92</v>
      </c>
      <c r="O1" t="s">
        <v>33</v>
      </c>
      <c r="P1" t="s">
        <v>129</v>
      </c>
      <c r="Q1" t="s">
        <v>62</v>
      </c>
      <c r="R1" t="s">
        <v>119</v>
      </c>
      <c r="S1" t="s">
        <v>74</v>
      </c>
      <c r="T1" t="s">
        <v>3</v>
      </c>
      <c r="U1" t="s">
        <v>4</v>
      </c>
      <c r="V1" t="s">
        <v>35</v>
      </c>
      <c r="W1" t="s">
        <v>130</v>
      </c>
      <c r="X1" t="s">
        <v>75</v>
      </c>
      <c r="Y1" t="s">
        <v>142</v>
      </c>
      <c r="Z1" t="s">
        <v>120</v>
      </c>
      <c r="AA1" t="s">
        <v>76</v>
      </c>
      <c r="AB1" t="s">
        <v>42</v>
      </c>
      <c r="AC1" t="s">
        <v>5</v>
      </c>
      <c r="AD1" t="s">
        <v>110</v>
      </c>
      <c r="AE1" t="s">
        <v>77</v>
      </c>
      <c r="AF1" t="s">
        <v>43</v>
      </c>
      <c r="AG1" t="s">
        <v>6</v>
      </c>
      <c r="AH1" t="s">
        <v>121</v>
      </c>
      <c r="AI1" t="s">
        <v>100</v>
      </c>
      <c r="AJ1" t="s">
        <v>36</v>
      </c>
      <c r="AK1" t="s">
        <v>112</v>
      </c>
      <c r="AL1" t="s">
        <v>78</v>
      </c>
      <c r="AM1" t="s">
        <v>10</v>
      </c>
      <c r="AN1" t="s">
        <v>19</v>
      </c>
      <c r="AO1" t="s">
        <v>64</v>
      </c>
      <c r="AP1" t="s">
        <v>113</v>
      </c>
      <c r="AQ1" t="s">
        <v>150</v>
      </c>
      <c r="AR1" t="s">
        <v>53</v>
      </c>
      <c r="AS1" t="s">
        <v>93</v>
      </c>
      <c r="AT1" t="s">
        <v>131</v>
      </c>
      <c r="AU1" t="s">
        <v>151</v>
      </c>
    </row>
    <row r="2">
      <c r="A2" s="6">
        <v>2</v>
      </c>
      <c r="B2" s="6" t="s">
        <v>90</v>
      </c>
      <c r="C2" s="5" t="s">
        <v>125</v>
      </c>
      <c r="D2" s="5" t="s">
        <v>41</v>
      </c>
      <c r="E2" s="5" t="s">
        <v>51</v>
      </c>
      <c r="F2" s="5" t="s">
        <v>29</v>
      </c>
      <c r="G2" s="5" t="s">
        <v>98</v>
      </c>
      <c r="H2" s="1" t="s">
        <v>30</v>
      </c>
      <c r="I2" s="1" t="s">
        <v>84</v>
      </c>
      <c r="J2" s="1" t="s">
        <v>84</v>
      </c>
      <c r="K2" s="1" t="s">
        <v>2</v>
      </c>
      <c r="L2" s="1">
        <v>11</v>
      </c>
      <c r="M2" s="9" t="s">
        <v>141</v>
      </c>
      <c r="N2" s="3" t="s">
        <v>18</v>
      </c>
      <c r="O2" s="3" t="s">
        <v>18</v>
      </c>
      <c r="P2" s="3" t="s">
        <v>18</v>
      </c>
      <c r="Q2" s="3" t="s">
        <v>34</v>
      </c>
      <c r="R2" s="3" t="s">
        <v>109</v>
      </c>
      <c r="S2" s="4" t="e">
        <f>[1]Output!C2</f>
        <v>#REF!</v>
      </c>
      <c r="T2" s="14">
        <v>7062870</v>
      </c>
      <c r="U2" s="14">
        <v>7062899</v>
      </c>
      <c r="V2" s="4" t="e">
        <f>[1]Output!D2</f>
        <v>#REF!</v>
      </c>
      <c r="W2" s="4" t="e">
        <f>[1]Output!E2</f>
        <v>#REF!</v>
      </c>
      <c r="X2" s="4" t="e">
        <f>[1]Output!F2</f>
        <v>#REF!</v>
      </c>
      <c r="Y2" s="4" t="e">
        <f>[1]Output!G2</f>
        <v>#REF!</v>
      </c>
      <c r="Z2" s="15" t="e">
        <f t="shared" si="0" ref="Z2:Z8">Y2+0.03</f>
        <v>#REF!</v>
      </c>
      <c r="AA2" s="4" t="e">
        <f>[1]Output!H2</f>
        <v>#REF!</v>
      </c>
      <c r="AB2" s="4" t="e">
        <f>[1]Output!I2</f>
        <v>#REF!</v>
      </c>
      <c r="AC2" s="4" t="e">
        <f>[1]Output!J2</f>
        <v>#REF!</v>
      </c>
      <c r="AD2" s="3" t="s">
        <v>63</v>
      </c>
      <c r="AE2" s="3" t="s">
        <v>63</v>
      </c>
      <c r="AF2" s="3" t="s">
        <v>63</v>
      </c>
      <c r="AG2" s="3" t="s">
        <v>34</v>
      </c>
      <c r="AH2" s="1" t="s">
        <v>111</v>
      </c>
      <c r="AI2" s="1" t="s">
        <v>111</v>
      </c>
      <c r="AJ2" s="1" t="s">
        <v>149</v>
      </c>
      <c r="AK2" s="1" t="s">
        <v>37</v>
      </c>
      <c r="AL2" s="1" t="s">
        <v>122</v>
      </c>
      <c r="AM2" s="1" t="s">
        <v>44</v>
      </c>
      <c r="AN2" s="10" t="e">
        <f t="shared" si="1" ref="AN2:AN8">S2</f>
        <v>#REF!</v>
      </c>
      <c r="AO2" s="7" t="e">
        <f t="shared" si="2" ref="AO2:AQ8">V2</f>
        <v>#REF!</v>
      </c>
      <c r="AP2" s="7" t="e">
        <f t="shared" si="2"/>
        <v>#REF!</v>
      </c>
      <c r="AQ2" s="7" t="e">
        <f t="shared" si="2"/>
        <v>#REF!</v>
      </c>
      <c r="AR2" s="3" t="e">
        <f t="shared" si="3" ref="AR2:AT8">CONCATENATE(LEFT(AA2,4),"%space%")</f>
        <v>#REF!</v>
      </c>
      <c r="AS2" s="3" t="e">
        <f t="shared" si="3"/>
        <v>#REF!</v>
      </c>
      <c r="AT2" s="3" t="e">
        <f t="shared" si="3"/>
        <v>#REF!</v>
      </c>
      <c r="AU2" s="11" t="s">
        <v>30</v>
      </c>
    </row>
    <row r="3">
      <c r="A3" s="6">
        <v>3</v>
      </c>
      <c r="B3" s="6" t="s">
        <v>107</v>
      </c>
      <c r="C3" s="5" t="s">
        <v>125</v>
      </c>
      <c r="D3" s="5" t="s">
        <v>41</v>
      </c>
      <c r="E3" s="5" t="s">
        <v>51</v>
      </c>
      <c r="F3" s="5" t="s">
        <v>29</v>
      </c>
      <c r="G3" s="5" t="s">
        <v>98</v>
      </c>
      <c r="H3" s="1" t="s">
        <v>30</v>
      </c>
      <c r="I3" s="1" t="s">
        <v>84</v>
      </c>
      <c r="J3" s="1" t="s">
        <v>84</v>
      </c>
      <c r="K3" s="1" t="s">
        <v>2</v>
      </c>
      <c r="L3" s="1">
        <v>11</v>
      </c>
      <c r="M3" s="9" t="s">
        <v>31</v>
      </c>
      <c r="N3" s="3" t="s">
        <v>18</v>
      </c>
      <c r="O3" s="3" t="s">
        <v>18</v>
      </c>
      <c r="P3" s="3" t="s">
        <v>34</v>
      </c>
      <c r="Q3" s="3" t="s">
        <v>34</v>
      </c>
      <c r="R3" s="3" t="s">
        <v>109</v>
      </c>
      <c r="S3" s="4" t="e">
        <f>[1]Output!C3</f>
        <v>#REF!</v>
      </c>
      <c r="T3" s="4"/>
      <c r="U3" s="4"/>
      <c r="V3" s="4" t="e">
        <f>[1]Output!D3</f>
        <v>#REF!</v>
      </c>
      <c r="W3" s="4" t="e">
        <f>[1]Output!E3</f>
        <v>#REF!</v>
      </c>
      <c r="X3" s="4" t="e">
        <f>[1]Output!F3</f>
        <v>#REF!</v>
      </c>
      <c r="Y3" s="4" t="e">
        <f>[1]Output!G3</f>
        <v>#REF!</v>
      </c>
      <c r="Z3" s="15" t="e">
        <f t="shared" si="0"/>
        <v>#REF!</v>
      </c>
      <c r="AA3" s="4" t="str">
        <f>"4,360"</f>
        <v>4,360</v>
      </c>
      <c r="AB3" s="4" t="str">
        <f>"3,500"</f>
        <v>3,500</v>
      </c>
      <c r="AC3" s="4" t="str">
        <f>"4,330"</f>
        <v>4,330</v>
      </c>
      <c r="AD3" s="3" t="s">
        <v>63</v>
      </c>
      <c r="AE3" s="3" t="s">
        <v>63</v>
      </c>
      <c r="AF3" s="3" t="s">
        <v>34</v>
      </c>
      <c r="AG3" s="3" t="s">
        <v>34</v>
      </c>
      <c r="AH3" s="1" t="s">
        <v>111</v>
      </c>
      <c r="AI3" s="1" t="s">
        <v>111</v>
      </c>
      <c r="AJ3" s="1" t="s">
        <v>149</v>
      </c>
      <c r="AK3" s="1" t="s">
        <v>37</v>
      </c>
      <c r="AL3" s="1" t="s">
        <v>122</v>
      </c>
      <c r="AM3" s="1" t="s">
        <v>44</v>
      </c>
      <c r="AN3" s="10" t="e">
        <f t="shared" si="1"/>
        <v>#REF!</v>
      </c>
      <c r="AO3" s="7" t="e">
        <f t="shared" si="2"/>
        <v>#REF!</v>
      </c>
      <c r="AP3" s="7" t="e">
        <f t="shared" si="2"/>
        <v>#REF!</v>
      </c>
      <c r="AQ3" s="7" t="e">
        <f t="shared" si="2"/>
        <v>#REF!</v>
      </c>
      <c r="AR3" s="3" t="str">
        <f t="shared" si="3"/>
        <v>4,36%space%</v>
      </c>
      <c r="AS3" s="3" t="str">
        <f t="shared" si="3"/>
        <v>3,50%space%</v>
      </c>
      <c r="AT3" s="3" t="str">
        <f t="shared" si="3"/>
        <v>4,33%space%</v>
      </c>
      <c r="AU3" s="11" t="s">
        <v>30</v>
      </c>
    </row>
    <row r="4">
      <c r="A4" s="6">
        <v>4</v>
      </c>
      <c r="B4" s="6" t="s">
        <v>49</v>
      </c>
      <c r="C4" s="5" t="s">
        <v>125</v>
      </c>
      <c r="D4" s="5" t="s">
        <v>41</v>
      </c>
      <c r="E4" s="5" t="s">
        <v>51</v>
      </c>
      <c r="F4" s="5" t="s">
        <v>29</v>
      </c>
      <c r="G4" s="5" t="s">
        <v>98</v>
      </c>
      <c r="H4" s="1" t="s">
        <v>30</v>
      </c>
      <c r="I4" s="1" t="s">
        <v>84</v>
      </c>
      <c r="J4" s="1" t="s">
        <v>84</v>
      </c>
      <c r="K4" s="1" t="s">
        <v>2</v>
      </c>
      <c r="L4" s="1">
        <v>11</v>
      </c>
      <c r="M4" s="9" t="s">
        <v>128</v>
      </c>
      <c r="N4" s="3" t="s">
        <v>18</v>
      </c>
      <c r="O4" s="3" t="s">
        <v>18</v>
      </c>
      <c r="P4" s="3" t="s">
        <v>34</v>
      </c>
      <c r="Q4" s="3" t="s">
        <v>34</v>
      </c>
      <c r="R4" s="3" t="s">
        <v>109</v>
      </c>
      <c r="S4" s="4" t="e">
        <f>[1]Output!C4</f>
        <v>#REF!</v>
      </c>
      <c r="T4" s="4"/>
      <c r="U4" s="4"/>
      <c r="V4" s="4" t="e">
        <f>[1]Output!D4</f>
        <v>#REF!</v>
      </c>
      <c r="W4" s="4" t="e">
        <f>[1]Output!E4</f>
        <v>#REF!</v>
      </c>
      <c r="X4" s="4" t="e">
        <f>[1]Output!F4</f>
        <v>#REF!</v>
      </c>
      <c r="Y4" s="4" t="e">
        <f>[1]Output!G4</f>
        <v>#REF!</v>
      </c>
      <c r="Z4" s="15" t="e">
        <f t="shared" si="0"/>
        <v>#REF!</v>
      </c>
      <c r="AA4" s="4" t="str">
        <f>"1,900"</f>
        <v>1,900</v>
      </c>
      <c r="AB4" s="4" t="str">
        <f>"1,860"</f>
        <v>1,860</v>
      </c>
      <c r="AC4" s="4" t="str">
        <f>"1,870"</f>
        <v>1,870</v>
      </c>
      <c r="AD4" s="3" t="s">
        <v>63</v>
      </c>
      <c r="AE4" s="3" t="s">
        <v>63</v>
      </c>
      <c r="AF4" s="3" t="s">
        <v>34</v>
      </c>
      <c r="AG4" s="3" t="s">
        <v>34</v>
      </c>
      <c r="AH4" s="1" t="s">
        <v>111</v>
      </c>
      <c r="AI4" s="1" t="s">
        <v>111</v>
      </c>
      <c r="AJ4" s="1" t="s">
        <v>149</v>
      </c>
      <c r="AK4" s="1" t="s">
        <v>37</v>
      </c>
      <c r="AL4" s="1" t="s">
        <v>122</v>
      </c>
      <c r="AM4" s="1" t="s">
        <v>44</v>
      </c>
      <c r="AN4" s="10" t="e">
        <f t="shared" si="1"/>
        <v>#REF!</v>
      </c>
      <c r="AO4" s="7" t="e">
        <f t="shared" si="2"/>
        <v>#REF!</v>
      </c>
      <c r="AP4" s="7" t="e">
        <f t="shared" si="2"/>
        <v>#REF!</v>
      </c>
      <c r="AQ4" s="7" t="e">
        <f t="shared" si="2"/>
        <v>#REF!</v>
      </c>
      <c r="AR4" s="20" t="str">
        <f t="shared" si="3"/>
        <v>1,90%space%</v>
      </c>
      <c r="AS4" s="3" t="str">
        <f t="shared" si="3"/>
        <v>1,86%space%</v>
      </c>
      <c r="AT4" s="3" t="str">
        <f t="shared" si="3"/>
        <v>1,87%space%</v>
      </c>
      <c r="AU4" s="11" t="s">
        <v>30</v>
      </c>
    </row>
    <row r="5">
      <c r="A5" s="6">
        <v>5</v>
      </c>
      <c r="B5" s="6" t="s">
        <v>8</v>
      </c>
      <c r="C5" s="5" t="s">
        <v>125</v>
      </c>
      <c r="D5" s="5" t="s">
        <v>41</v>
      </c>
      <c r="E5" s="5" t="s">
        <v>51</v>
      </c>
      <c r="F5" s="5" t="s">
        <v>29</v>
      </c>
      <c r="G5" s="5" t="s">
        <v>98</v>
      </c>
      <c r="H5" s="1" t="s">
        <v>30</v>
      </c>
      <c r="I5" s="1" t="s">
        <v>84</v>
      </c>
      <c r="J5" s="1" t="s">
        <v>84</v>
      </c>
      <c r="K5" s="1" t="s">
        <v>2</v>
      </c>
      <c r="L5" s="1">
        <v>11</v>
      </c>
      <c r="M5" s="9" t="s">
        <v>91</v>
      </c>
      <c r="N5" s="3" t="s">
        <v>18</v>
      </c>
      <c r="O5" s="3" t="s">
        <v>18</v>
      </c>
      <c r="P5" s="3" t="s">
        <v>34</v>
      </c>
      <c r="Q5" s="3" t="s">
        <v>34</v>
      </c>
      <c r="R5" s="3" t="s">
        <v>109</v>
      </c>
      <c r="S5" s="4" t="e">
        <f>[1]Output!C5</f>
        <v>#REF!</v>
      </c>
      <c r="T5" s="4"/>
      <c r="U5" s="4"/>
      <c r="V5" s="4" t="e">
        <f>[1]Output!D5</f>
        <v>#REF!</v>
      </c>
      <c r="W5" s="4" t="e">
        <f>[1]Output!E5</f>
        <v>#REF!</v>
      </c>
      <c r="X5" s="4" t="e">
        <f>[1]Output!F5</f>
        <v>#REF!</v>
      </c>
      <c r="Y5" s="4" t="e">
        <f>[1]Output!G5</f>
        <v>#REF!</v>
      </c>
      <c r="Z5" s="15" t="e">
        <f t="shared" si="0"/>
        <v>#REF!</v>
      </c>
      <c r="AA5" s="4" t="str">
        <f>"4,360"</f>
        <v>4,360</v>
      </c>
      <c r="AB5" s="4" t="str">
        <f>"4,320"</f>
        <v>4,320</v>
      </c>
      <c r="AC5" s="4" t="str">
        <f>"4,330"</f>
        <v>4,330</v>
      </c>
      <c r="AD5" s="3" t="s">
        <v>63</v>
      </c>
      <c r="AE5" s="3" t="s">
        <v>63</v>
      </c>
      <c r="AF5" s="3" t="s">
        <v>34</v>
      </c>
      <c r="AG5" s="3" t="s">
        <v>34</v>
      </c>
      <c r="AH5" s="1" t="s">
        <v>111</v>
      </c>
      <c r="AI5" s="1" t="s">
        <v>111</v>
      </c>
      <c r="AJ5" s="1" t="s">
        <v>149</v>
      </c>
      <c r="AK5" s="1" t="s">
        <v>37</v>
      </c>
      <c r="AL5" s="1" t="s">
        <v>122</v>
      </c>
      <c r="AM5" s="1" t="s">
        <v>44</v>
      </c>
      <c r="AN5" s="10" t="e">
        <f t="shared" si="1"/>
        <v>#REF!</v>
      </c>
      <c r="AO5" s="7" t="e">
        <f t="shared" si="2"/>
        <v>#REF!</v>
      </c>
      <c r="AP5" s="7" t="e">
        <f t="shared" si="2"/>
        <v>#REF!</v>
      </c>
      <c r="AQ5" s="7" t="e">
        <f t="shared" si="2"/>
        <v>#REF!</v>
      </c>
      <c r="AR5" s="20" t="str">
        <f t="shared" si="3"/>
        <v>4,36%space%</v>
      </c>
      <c r="AS5" s="3" t="str">
        <f t="shared" si="3"/>
        <v>4,32%space%</v>
      </c>
      <c r="AT5" s="3" t="str">
        <f t="shared" si="3"/>
        <v>4,33%space%</v>
      </c>
      <c r="AU5" s="11" t="s">
        <v>30</v>
      </c>
    </row>
    <row r="6">
      <c r="A6" s="6">
        <v>6</v>
      </c>
      <c r="B6" s="6" t="s">
        <v>72</v>
      </c>
      <c r="C6" s="5" t="s">
        <v>125</v>
      </c>
      <c r="D6" s="5" t="s">
        <v>41</v>
      </c>
      <c r="E6" s="5" t="s">
        <v>51</v>
      </c>
      <c r="F6" s="5" t="s">
        <v>29</v>
      </c>
      <c r="G6" s="5" t="s">
        <v>98</v>
      </c>
      <c r="H6" s="1" t="s">
        <v>30</v>
      </c>
      <c r="I6" s="1" t="s">
        <v>84</v>
      </c>
      <c r="J6" s="1" t="s">
        <v>84</v>
      </c>
      <c r="K6" s="1" t="s">
        <v>2</v>
      </c>
      <c r="L6" s="1">
        <v>11</v>
      </c>
      <c r="M6" s="9" t="s">
        <v>61</v>
      </c>
      <c r="N6" s="3" t="s">
        <v>18</v>
      </c>
      <c r="O6" s="3" t="s">
        <v>18</v>
      </c>
      <c r="P6" s="3" t="s">
        <v>34</v>
      </c>
      <c r="Q6" s="3" t="s">
        <v>34</v>
      </c>
      <c r="R6" s="3" t="s">
        <v>109</v>
      </c>
      <c r="S6" s="4" t="e">
        <f>[1]Output!C6</f>
        <v>#REF!</v>
      </c>
      <c r="T6" s="4"/>
      <c r="U6" s="4"/>
      <c r="V6" s="4" t="e">
        <f>[1]Output!D6</f>
        <v>#REF!</v>
      </c>
      <c r="W6" s="4" t="e">
        <f>[1]Output!E6</f>
        <v>#REF!</v>
      </c>
      <c r="X6" s="4" t="e">
        <f>[1]Output!F6</f>
        <v>#REF!</v>
      </c>
      <c r="Y6" s="4" t="e">
        <f>[1]Output!G6</f>
        <v>#REF!</v>
      </c>
      <c r="Z6" s="15" t="e">
        <f t="shared" si="0"/>
        <v>#REF!</v>
      </c>
      <c r="AA6" s="4" t="str">
        <f t="shared" si="4" ref="AA6:AA7">"9,160"</f>
        <v>9,160</v>
      </c>
      <c r="AB6" s="4" t="str">
        <f t="shared" si="5" ref="AB6:AB7">"9,120"</f>
        <v>9,120</v>
      </c>
      <c r="AC6" s="4" t="str">
        <f t="shared" si="6" ref="AC6:AC7">"9,130"</f>
        <v>9,130</v>
      </c>
      <c r="AD6" s="3" t="s">
        <v>63</v>
      </c>
      <c r="AE6" s="3" t="s">
        <v>63</v>
      </c>
      <c r="AF6" s="3" t="s">
        <v>34</v>
      </c>
      <c r="AG6" s="3" t="s">
        <v>34</v>
      </c>
      <c r="AH6" s="1" t="s">
        <v>111</v>
      </c>
      <c r="AI6" s="1" t="s">
        <v>111</v>
      </c>
      <c r="AJ6" s="1" t="s">
        <v>149</v>
      </c>
      <c r="AK6" s="1" t="s">
        <v>37</v>
      </c>
      <c r="AL6" s="1" t="s">
        <v>122</v>
      </c>
      <c r="AM6" s="1" t="s">
        <v>44</v>
      </c>
      <c r="AN6" s="10" t="e">
        <f t="shared" si="1"/>
        <v>#REF!</v>
      </c>
      <c r="AO6" s="7" t="e">
        <f t="shared" si="2"/>
        <v>#REF!</v>
      </c>
      <c r="AP6" s="7" t="e">
        <f t="shared" si="2"/>
        <v>#REF!</v>
      </c>
      <c r="AQ6" s="7" t="e">
        <f t="shared" si="2"/>
        <v>#REF!</v>
      </c>
      <c r="AR6" s="3" t="str">
        <f t="shared" si="3"/>
        <v>9,16%space%</v>
      </c>
      <c r="AS6" s="3" t="str">
        <f t="shared" si="3"/>
        <v>9,12%space%</v>
      </c>
      <c r="AT6" s="3" t="str">
        <f t="shared" si="3"/>
        <v>9,13%space%</v>
      </c>
      <c r="AU6" s="11" t="s">
        <v>30</v>
      </c>
    </row>
    <row r="7">
      <c r="A7" s="6">
        <v>7</v>
      </c>
      <c r="B7" s="6" t="s">
        <v>136</v>
      </c>
      <c r="C7" s="5" t="s">
        <v>125</v>
      </c>
      <c r="D7" s="5" t="s">
        <v>41</v>
      </c>
      <c r="E7" s="5" t="s">
        <v>51</v>
      </c>
      <c r="F7" s="5" t="s">
        <v>29</v>
      </c>
      <c r="G7" s="5" t="s">
        <v>98</v>
      </c>
      <c r="H7" s="1" t="s">
        <v>30</v>
      </c>
      <c r="I7" s="1" t="s">
        <v>84</v>
      </c>
      <c r="J7" s="1" t="s">
        <v>84</v>
      </c>
      <c r="K7" s="1" t="s">
        <v>2</v>
      </c>
      <c r="L7" s="1">
        <v>11</v>
      </c>
      <c r="M7" s="9" t="s">
        <v>61</v>
      </c>
      <c r="N7" s="3" t="s">
        <v>18</v>
      </c>
      <c r="O7" s="3" t="s">
        <v>18</v>
      </c>
      <c r="P7" s="3" t="s">
        <v>34</v>
      </c>
      <c r="Q7" s="3" t="s">
        <v>34</v>
      </c>
      <c r="R7" s="3" t="s">
        <v>109</v>
      </c>
      <c r="S7" s="4" t="e">
        <f>[1]Output!C7</f>
        <v>#REF!</v>
      </c>
      <c r="T7" s="4"/>
      <c r="U7" s="4"/>
      <c r="V7" s="4" t="e">
        <f>[1]Output!D7</f>
        <v>#REF!</v>
      </c>
      <c r="W7" s="4" t="e">
        <f>[1]Output!E7</f>
        <v>#REF!</v>
      </c>
      <c r="X7" s="4" t="e">
        <f>[1]Output!F7</f>
        <v>#REF!</v>
      </c>
      <c r="Y7" s="4" t="e">
        <f>[1]Output!G7</f>
        <v>#REF!</v>
      </c>
      <c r="Z7" s="15" t="e">
        <f t="shared" si="0"/>
        <v>#REF!</v>
      </c>
      <c r="AA7" s="4" t="str">
        <f t="shared" si="4"/>
        <v>9,160</v>
      </c>
      <c r="AB7" s="4" t="str">
        <f t="shared" si="5"/>
        <v>9,120</v>
      </c>
      <c r="AC7" s="4" t="str">
        <f t="shared" si="6"/>
        <v>9,130</v>
      </c>
      <c r="AD7" s="13" t="s">
        <v>63</v>
      </c>
      <c r="AE7" s="13" t="s">
        <v>63</v>
      </c>
      <c r="AF7" s="3" t="s">
        <v>34</v>
      </c>
      <c r="AG7" s="3" t="s">
        <v>34</v>
      </c>
      <c r="AH7" s="1" t="s">
        <v>111</v>
      </c>
      <c r="AI7" s="1" t="s">
        <v>111</v>
      </c>
      <c r="AJ7" s="1" t="s">
        <v>149</v>
      </c>
      <c r="AK7" s="1" t="s">
        <v>37</v>
      </c>
      <c r="AL7" s="1" t="s">
        <v>122</v>
      </c>
      <c r="AM7" s="1" t="s">
        <v>44</v>
      </c>
      <c r="AN7" s="10" t="e">
        <f t="shared" si="1"/>
        <v>#REF!</v>
      </c>
      <c r="AO7" s="7" t="e">
        <f t="shared" si="2"/>
        <v>#REF!</v>
      </c>
      <c r="AP7" s="7" t="e">
        <f t="shared" si="2"/>
        <v>#REF!</v>
      </c>
      <c r="AQ7" s="7" t="e">
        <f t="shared" si="2"/>
        <v>#REF!</v>
      </c>
      <c r="AR7" s="3" t="str">
        <f t="shared" si="3"/>
        <v>9,16%space%</v>
      </c>
      <c r="AS7" s="3" t="str">
        <f t="shared" si="3"/>
        <v>9,12%space%</v>
      </c>
      <c r="AT7" s="3" t="str">
        <f t="shared" si="3"/>
        <v>9,13%space%</v>
      </c>
      <c r="AU7" s="11" t="s">
        <v>30</v>
      </c>
    </row>
    <row r="8">
      <c r="A8" s="6">
        <v>8</v>
      </c>
      <c r="B8" s="6" t="s">
        <v>124</v>
      </c>
      <c r="C8" s="5" t="s">
        <v>125</v>
      </c>
      <c r="D8" s="5" t="s">
        <v>41</v>
      </c>
      <c r="E8" s="5" t="s">
        <v>51</v>
      </c>
      <c r="F8" s="5" t="s">
        <v>29</v>
      </c>
      <c r="G8" s="5" t="s">
        <v>98</v>
      </c>
      <c r="H8" s="1" t="s">
        <v>30</v>
      </c>
      <c r="I8" s="1" t="s">
        <v>84</v>
      </c>
      <c r="J8" s="1" t="s">
        <v>84</v>
      </c>
      <c r="K8" s="1" t="s">
        <v>2</v>
      </c>
      <c r="L8" s="1">
        <v>11</v>
      </c>
      <c r="M8" s="9" t="s">
        <v>32</v>
      </c>
      <c r="N8" s="3" t="s">
        <v>18</v>
      </c>
      <c r="O8" s="3" t="s">
        <v>18</v>
      </c>
      <c r="P8" s="3" t="s">
        <v>18</v>
      </c>
      <c r="Q8" s="3" t="s">
        <v>34</v>
      </c>
      <c r="R8" s="3" t="s">
        <v>109</v>
      </c>
      <c r="S8" s="4" t="e">
        <f>[1]Output!C8</f>
        <v>#REF!</v>
      </c>
      <c r="T8" s="4"/>
      <c r="U8" s="4"/>
      <c r="V8" s="4">
        <v>20090035</v>
      </c>
      <c r="W8" s="4">
        <v>20090036</v>
      </c>
      <c r="X8" s="4">
        <v>20090037</v>
      </c>
      <c r="Y8" s="4" t="str">
        <f>"5,330"</f>
        <v>5,330</v>
      </c>
      <c r="Z8" s="15">
        <f t="shared" si="0"/>
        <v>5330.0299999999997</v>
      </c>
      <c r="AA8" s="4" t="str">
        <f>"5,360"</f>
        <v>5,360</v>
      </c>
      <c r="AB8" s="4" t="str">
        <f>"5,420"</f>
        <v>5,420</v>
      </c>
      <c r="AC8" s="4" t="str">
        <f>"5,330"</f>
        <v>5,330</v>
      </c>
      <c r="AD8" s="3" t="s">
        <v>63</v>
      </c>
      <c r="AE8" s="3" t="s">
        <v>63</v>
      </c>
      <c r="AF8" s="3" t="s">
        <v>63</v>
      </c>
      <c r="AG8" s="3" t="s">
        <v>34</v>
      </c>
      <c r="AH8" s="1" t="s">
        <v>111</v>
      </c>
      <c r="AI8" s="1" t="s">
        <v>111</v>
      </c>
      <c r="AJ8" s="1" t="s">
        <v>149</v>
      </c>
      <c r="AK8" s="1" t="s">
        <v>37</v>
      </c>
      <c r="AL8" s="1" t="s">
        <v>122</v>
      </c>
      <c r="AM8" s="1" t="s">
        <v>44</v>
      </c>
      <c r="AN8" s="10" t="e">
        <f t="shared" si="1"/>
        <v>#REF!</v>
      </c>
      <c r="AO8" s="7">
        <f t="shared" si="2"/>
        <v>20090035</v>
      </c>
      <c r="AP8" s="7">
        <f t="shared" si="2"/>
        <v>20090036</v>
      </c>
      <c r="AQ8" s="7">
        <f t="shared" si="2"/>
        <v>20090037</v>
      </c>
      <c r="AR8" s="3" t="str">
        <f t="shared" si="3"/>
        <v>5,36%space%</v>
      </c>
      <c r="AS8" s="3" t="str">
        <f t="shared" si="3"/>
        <v>5,42%space%</v>
      </c>
      <c r="AT8" s="3" t="str">
        <f t="shared" si="3"/>
        <v>5,33%space%</v>
      </c>
      <c r="AU8" s="11" t="s">
        <v>30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1"/>
    </row>
    <row r="16">
      <c r="A16" s="6">
        <v>16</v>
      </c>
      <c r="B16" s="16" t="s">
        <v>73</v>
      </c>
      <c r="C16" s="5" t="s">
        <v>58</v>
      </c>
      <c r="D16" s="5" t="s">
        <v>41</v>
      </c>
      <c r="E16" s="5" t="s">
        <v>126</v>
      </c>
      <c r="F16" s="18" t="s">
        <v>140</v>
      </c>
      <c r="G16" s="5" t="s">
        <v>98</v>
      </c>
      <c r="H16" s="1" t="s">
        <v>30</v>
      </c>
      <c r="I16" s="1" t="s">
        <v>84</v>
      </c>
      <c r="J16" s="1" t="s">
        <v>84</v>
      </c>
      <c r="K16" s="1" t="s">
        <v>2</v>
      </c>
      <c r="L16" s="1">
        <v>1</v>
      </c>
      <c r="M16" s="9" t="s">
        <v>17</v>
      </c>
      <c r="N16" s="3" t="s">
        <v>18</v>
      </c>
      <c r="O16" s="3" t="s">
        <v>18</v>
      </c>
      <c r="P16" s="3" t="s">
        <v>18</v>
      </c>
      <c r="Q16" s="3" t="s">
        <v>34</v>
      </c>
      <c r="R16" s="3" t="s">
        <v>109</v>
      </c>
      <c r="S16" s="4" t="e">
        <f>[1]Output!C16</f>
        <v>#REF!</v>
      </c>
      <c r="T16" s="4"/>
      <c r="U16" s="4"/>
      <c r="V16" s="4">
        <v>20090000</v>
      </c>
      <c r="W16" s="4">
        <v>20090010</v>
      </c>
      <c r="X16" s="4">
        <v>20090016</v>
      </c>
      <c r="Y16" s="4">
        <v>1.4399999999999999</v>
      </c>
      <c r="Z16" s="15">
        <f t="shared" si="7" ref="Z16:Z17">Y16+0.03</f>
        <v>1.47</v>
      </c>
      <c r="AA16" s="4">
        <v>1.47</v>
      </c>
      <c r="AB16" s="4">
        <v>1.45</v>
      </c>
      <c r="AC16" s="4">
        <v>1.4399999999999999</v>
      </c>
      <c r="AD16" s="3" t="s">
        <v>63</v>
      </c>
      <c r="AE16" s="3" t="s">
        <v>63</v>
      </c>
      <c r="AF16" s="3" t="s">
        <v>63</v>
      </c>
      <c r="AG16" s="3" t="s">
        <v>34</v>
      </c>
      <c r="AH16" s="1" t="s">
        <v>111</v>
      </c>
      <c r="AI16" s="1" t="s">
        <v>111</v>
      </c>
      <c r="AJ16" s="1" t="s">
        <v>149</v>
      </c>
      <c r="AK16" s="1" t="s">
        <v>37</v>
      </c>
      <c r="AL16" s="1" t="s">
        <v>122</v>
      </c>
      <c r="AM16" s="1" t="s">
        <v>44</v>
      </c>
      <c r="AN16" s="10" t="e">
        <f t="shared" si="8" ref="AN16:AN17">S16</f>
        <v>#REF!</v>
      </c>
      <c r="AO16" s="7">
        <f t="shared" si="9" ref="AO16:AQ17">V16</f>
        <v>20090000</v>
      </c>
      <c r="AP16" s="7">
        <f t="shared" si="9"/>
        <v>20090010</v>
      </c>
      <c r="AQ16" s="7">
        <f t="shared" si="9"/>
        <v>20090016</v>
      </c>
      <c r="AR16" s="3" t="str">
        <f t="shared" si="10" ref="AR16:AT17">CONCATENATE(AA16,"%space%")</f>
        <v>1.47%space%</v>
      </c>
      <c r="AS16" s="3" t="str">
        <f t="shared" si="10"/>
        <v>1.45%space%</v>
      </c>
      <c r="AT16" s="3" t="str">
        <f t="shared" si="10"/>
        <v>1.44%space%</v>
      </c>
      <c r="AU16" s="11" t="s">
        <v>30</v>
      </c>
    </row>
    <row r="17">
      <c r="A17" s="6">
        <v>17</v>
      </c>
      <c r="B17" s="6" t="s">
        <v>118</v>
      </c>
      <c r="C17" s="5" t="s">
        <v>83</v>
      </c>
      <c r="D17" s="5" t="s">
        <v>41</v>
      </c>
      <c r="E17" s="5" t="s">
        <v>9</v>
      </c>
      <c r="F17" s="5" t="s">
        <v>52</v>
      </c>
      <c r="G17" s="5" t="s">
        <v>98</v>
      </c>
      <c r="H17" s="1" t="s">
        <v>30</v>
      </c>
      <c r="I17" s="1" t="s">
        <v>84</v>
      </c>
      <c r="J17" s="1" t="s">
        <v>84</v>
      </c>
      <c r="K17" s="1" t="s">
        <v>2</v>
      </c>
      <c r="L17" s="1">
        <v>1</v>
      </c>
      <c r="M17" s="9" t="s">
        <v>99</v>
      </c>
      <c r="N17" s="3" t="s">
        <v>18</v>
      </c>
      <c r="O17" s="3" t="s">
        <v>18</v>
      </c>
      <c r="P17" s="3" t="s">
        <v>18</v>
      </c>
      <c r="Q17" s="3" t="s">
        <v>34</v>
      </c>
      <c r="R17" s="3" t="s">
        <v>109</v>
      </c>
      <c r="S17" s="4" t="e">
        <f>[1]Output!C17</f>
        <v>#REF!</v>
      </c>
      <c r="T17" s="4"/>
      <c r="U17" s="4"/>
      <c r="V17" s="4">
        <v>20090000</v>
      </c>
      <c r="W17" s="4">
        <v>20090010</v>
      </c>
      <c r="X17" s="4">
        <v>20090016</v>
      </c>
      <c r="Y17" s="4">
        <v>9.1300000000000008</v>
      </c>
      <c r="Z17" s="15">
        <f t="shared" si="7"/>
        <v>9.1600000000000001</v>
      </c>
      <c r="AA17" s="4">
        <v>9.1600000000000001</v>
      </c>
      <c r="AB17" s="4">
        <v>9.1199999999999992</v>
      </c>
      <c r="AC17" s="4">
        <v>9.1300000000000008</v>
      </c>
      <c r="AD17" s="3" t="s">
        <v>63</v>
      </c>
      <c r="AE17" s="3" t="s">
        <v>63</v>
      </c>
      <c r="AF17" s="3" t="s">
        <v>63</v>
      </c>
      <c r="AG17" s="3" t="s">
        <v>34</v>
      </c>
      <c r="AH17" s="1" t="s">
        <v>111</v>
      </c>
      <c r="AI17" s="1" t="s">
        <v>111</v>
      </c>
      <c r="AJ17" s="1" t="s">
        <v>149</v>
      </c>
      <c r="AK17" s="1" t="s">
        <v>37</v>
      </c>
      <c r="AL17" s="1" t="s">
        <v>122</v>
      </c>
      <c r="AM17" s="1" t="s">
        <v>44</v>
      </c>
      <c r="AN17" s="10" t="e">
        <f t="shared" si="8"/>
        <v>#REF!</v>
      </c>
      <c r="AO17" s="7">
        <f t="shared" si="9"/>
        <v>20090000</v>
      </c>
      <c r="AP17" s="7">
        <f t="shared" si="9"/>
        <v>20090010</v>
      </c>
      <c r="AQ17" s="7">
        <f t="shared" si="9"/>
        <v>20090016</v>
      </c>
      <c r="AR17" s="3" t="str">
        <f t="shared" si="10"/>
        <v>9.16%space%</v>
      </c>
      <c r="AS17" s="3" t="str">
        <f t="shared" si="10"/>
        <v>9.12%space%</v>
      </c>
      <c r="AT17" s="3" t="str">
        <f t="shared" si="10"/>
        <v>9.13%space%</v>
      </c>
      <c r="AU17" s="11" t="s">
        <v>30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1"/>
    </row>
    <row r="20">
      <c r="A20" s="1"/>
      <c r="B20" s="10" t="s">
        <v>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1"/>
    </row>
    <row r="21">
      <c r="A21" s="1"/>
      <c r="B21" s="3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1"/>
    </row>
    <row r="22">
      <c r="A22" s="1"/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1"/>
    </row>
    <row r="23">
      <c r="A23" s="1"/>
      <c r="B23" s="21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1"/>
    </row>
    <row r="24">
      <c r="A24" s="1"/>
      <c r="B24" s="9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W8"/>
  <sheetViews>
    <sheetView workbookViewId="0">
      <selection activeCell="A2" sqref="A2"/>
    </sheetView>
  </sheetViews>
  <sheetFormatPr defaultColWidth="9.125" defaultRowHeight="14.25"/>
  <cols>
    <col min="1" max="1" width="12.375" style="12" customWidth="1"/>
    <col min="2" max="2" width="33.625" style="12" bestFit="1" customWidth="1"/>
    <col min="3" max="3" width="80.125" style="12" bestFit="1" customWidth="1"/>
    <col min="4" max="4" width="71.25" style="12" bestFit="1" customWidth="1"/>
    <col min="5" max="6" width="80.25" style="12" bestFit="1" customWidth="1"/>
    <col min="7" max="7" width="68.75" style="12" bestFit="1" customWidth="1"/>
    <col min="8" max="10" width="57.125" style="12" bestFit="1" customWidth="1"/>
    <col min="11" max="12" width="86.375" style="12" bestFit="1" customWidth="1"/>
    <col min="13" max="16384" width="9.125" style="12" customWidth="1"/>
  </cols>
  <sheetData>
    <row r="1" ht="12.75" customHeight="1" customFormat="1">
      <c r="A1" t="s">
        <v>89</v>
      </c>
      <c r="B1" t="s">
        <v>27</v>
      </c>
      <c r="C1" t="s">
        <v>45</v>
      </c>
      <c r="D1" t="s">
        <v>38</v>
      </c>
      <c r="E1" t="s">
        <v>114</v>
      </c>
      <c r="F1" t="s">
        <v>46</v>
      </c>
      <c r="G1" t="s">
        <v>47</v>
      </c>
      <c r="H1" t="s">
        <v>66</v>
      </c>
      <c r="I1" t="s">
        <v>94</v>
      </c>
      <c r="J1" t="s">
        <v>115</v>
      </c>
      <c r="K1" t="s">
        <v>55</v>
      </c>
      <c r="L1" t="s">
        <v>95</v>
      </c>
      <c r="M1" t="s">
        <v>133</v>
      </c>
      <c r="N1" t="s">
        <v>22</v>
      </c>
      <c r="O1" t="s">
        <v>67</v>
      </c>
      <c r="P1" t="s">
        <v>103</v>
      </c>
      <c r="Q1" t="s">
        <v>144</v>
      </c>
      <c r="R1" t="s">
        <v>23</v>
      </c>
      <c r="S1" t="s">
        <v>68</v>
      </c>
      <c r="T1" t="s">
        <v>104</v>
      </c>
      <c r="U1" t="s">
        <v>145</v>
      </c>
      <c r="V1" t="s">
        <v>24</v>
      </c>
      <c r="W1" t="s">
        <v>82</v>
      </c>
      <c r="X1" t="s">
        <v>116</v>
      </c>
      <c r="Y1" t="s">
        <v>152</v>
      </c>
      <c r="Z1" t="s">
        <v>39</v>
      </c>
      <c r="AA1" t="s">
        <v>48</v>
      </c>
      <c r="AB1" t="s">
        <v>88</v>
      </c>
      <c r="AC1" t="s">
        <v>123</v>
      </c>
      <c r="AD1" t="s">
        <v>12</v>
      </c>
      <c r="AE1" t="s">
        <v>56</v>
      </c>
      <c r="AF1" t="s">
        <v>96</v>
      </c>
      <c r="AG1" t="s">
        <v>134</v>
      </c>
      <c r="AH1" t="s">
        <v>13</v>
      </c>
      <c r="AI1" t="s">
        <v>57</v>
      </c>
      <c r="AJ1" t="s">
        <v>97</v>
      </c>
      <c r="AK1" t="s">
        <v>135</v>
      </c>
      <c r="AL1" t="s">
        <v>14</v>
      </c>
      <c r="AM1" t="s">
        <v>69</v>
      </c>
      <c r="AN1" t="s">
        <v>105</v>
      </c>
      <c r="AO1" t="s">
        <v>146</v>
      </c>
      <c r="AP1" t="s">
        <v>25</v>
      </c>
      <c r="AQ1" t="s">
        <v>70</v>
      </c>
      <c r="AR1" t="s">
        <v>106</v>
      </c>
      <c r="AS1" t="s">
        <v>147</v>
      </c>
      <c r="AT1" t="s">
        <v>26</v>
      </c>
      <c r="AU1" t="s">
        <v>71</v>
      </c>
      <c r="AV1" t="s">
        <v>117</v>
      </c>
      <c r="AW1" t="s">
        <v>153</v>
      </c>
    </row>
    <row r="2">
      <c r="A2" s="6">
        <v>2</v>
      </c>
      <c r="B2" s="6" t="s">
        <v>90</v>
      </c>
      <c r="C2" s="1">
        <v>7062899</v>
      </c>
      <c r="D2" s="1">
        <v>20090000</v>
      </c>
      <c r="E2" s="1">
        <v>20090039</v>
      </c>
      <c r="F2" s="1">
        <v>20090075</v>
      </c>
      <c r="G2" s="2" t="s">
        <v>20</v>
      </c>
      <c r="H2" s="2" t="s">
        <v>21</v>
      </c>
      <c r="I2" s="2" t="s">
        <v>81</v>
      </c>
      <c r="J2" s="2" t="s">
        <v>20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9"/>
    </row>
    <row r="3">
      <c r="A3" s="6">
        <v>3</v>
      </c>
      <c r="B3" s="6" t="s">
        <v>107</v>
      </c>
      <c r="C3" s="1">
        <v>7075928</v>
      </c>
      <c r="D3" s="1">
        <v>20090010</v>
      </c>
      <c r="E3" s="1">
        <v>20090075</v>
      </c>
      <c r="F3" s="1">
        <v>20090010</v>
      </c>
      <c r="G3" s="2" t="s">
        <v>86</v>
      </c>
      <c r="H3" s="2" t="s">
        <v>79</v>
      </c>
      <c r="I3" s="2" t="s">
        <v>7</v>
      </c>
      <c r="J3" s="2" t="s">
        <v>86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9"/>
    </row>
    <row r="4">
      <c r="A4" s="6">
        <v>4</v>
      </c>
      <c r="B4" s="6" t="s">
        <v>49</v>
      </c>
      <c r="C4" s="1">
        <v>7127432</v>
      </c>
      <c r="D4" s="1">
        <v>20090010</v>
      </c>
      <c r="E4" s="1">
        <v>20090075</v>
      </c>
      <c r="F4" s="1">
        <v>20090010</v>
      </c>
      <c r="G4" s="2" t="s">
        <v>87</v>
      </c>
      <c r="H4" s="2" t="s">
        <v>80</v>
      </c>
      <c r="I4" s="2" t="s">
        <v>101</v>
      </c>
      <c r="J4" s="2" t="s">
        <v>87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19"/>
    </row>
    <row r="5">
      <c r="A5" s="6">
        <v>5</v>
      </c>
      <c r="B5" s="6" t="s">
        <v>8</v>
      </c>
      <c r="C5" s="1">
        <v>7125735</v>
      </c>
      <c r="D5" s="1">
        <v>20090010</v>
      </c>
      <c r="E5" s="1">
        <v>20090075</v>
      </c>
      <c r="F5" s="1">
        <v>20090010</v>
      </c>
      <c r="G5" s="2" t="s">
        <v>132</v>
      </c>
      <c r="H5" s="2" t="s">
        <v>54</v>
      </c>
      <c r="I5" s="2" t="s">
        <v>11</v>
      </c>
      <c r="J5" s="2" t="s">
        <v>132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19"/>
    </row>
    <row r="6">
      <c r="A6" s="6">
        <v>6</v>
      </c>
      <c r="B6" s="6" t="s">
        <v>72</v>
      </c>
      <c r="C6" s="1">
        <v>7069000</v>
      </c>
      <c r="D6" s="1">
        <v>20090010</v>
      </c>
      <c r="E6" s="1">
        <v>20090075</v>
      </c>
      <c r="F6" s="1">
        <v>20090010</v>
      </c>
      <c r="G6" s="2" t="s">
        <v>65</v>
      </c>
      <c r="H6" s="2" t="s">
        <v>143</v>
      </c>
      <c r="I6" s="2" t="s">
        <v>102</v>
      </c>
      <c r="J6" s="2" t="s">
        <v>65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19"/>
    </row>
    <row r="7">
      <c r="A7" s="6">
        <v>7</v>
      </c>
      <c r="B7" s="6" t="s">
        <v>136</v>
      </c>
      <c r="C7" s="1">
        <v>7069000</v>
      </c>
      <c r="D7" s="1">
        <v>20090010</v>
      </c>
      <c r="E7" s="1">
        <v>20090075</v>
      </c>
      <c r="F7" s="1">
        <v>20090010</v>
      </c>
      <c r="G7" s="2" t="s">
        <v>65</v>
      </c>
      <c r="H7" s="2" t="s">
        <v>143</v>
      </c>
      <c r="I7" s="2" t="s">
        <v>102</v>
      </c>
      <c r="J7" s="2" t="s">
        <v>65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19"/>
    </row>
    <row r="8">
      <c r="A8" s="6">
        <v>8</v>
      </c>
      <c r="B8" s="6" t="s">
        <v>124</v>
      </c>
      <c r="C8" s="1">
        <v>7074504</v>
      </c>
      <c r="D8" s="1">
        <v>20090035</v>
      </c>
      <c r="E8" s="1">
        <v>20090036</v>
      </c>
      <c r="F8" s="1">
        <v>20090037</v>
      </c>
      <c r="G8" s="8">
        <v>5330</v>
      </c>
      <c r="H8" s="8">
        <v>5360</v>
      </c>
      <c r="I8" s="8">
        <v>5420</v>
      </c>
      <c r="J8" s="8">
        <v>5330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1"/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7" customWidth="1"/>
  </cols>
  <sheetData>
    <row r="1" ht="15.1" customFormat="1"/>
  </sheetData>
  <pageMargins left="0.7" right="0.7" top="0.75" bottom="0.75" header="0.3" footer="0.3"/>
</worksheet>
</file>