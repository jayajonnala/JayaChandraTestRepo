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Wait_1" sheetId="5" r:id="rId5"/>
    <sheet name="Data Transfer 4" sheetId="6" r:id="rId6"/>
    <sheet name="Data Transfer 3" sheetId="7" r:id="rId7"/>
    <sheet name="TC1_Test_IntraComReplenshSW43p1" sheetId="8" r:id="rId8"/>
    <sheet name="TC2_Test_IntraComReplenshSW43p2" sheetId="9" r:id="rId9"/>
  </sheets>
  <externalReferences>
    <externalReference r:id="rId13"/>
  </externalReferences>
  <calcPr calcId="40001"/>
</workbook>
</file>

<file path=xl/sharedStrings.xml><?xml version="1.0" encoding="utf-8"?>
<sst xmlns="http://schemas.openxmlformats.org/spreadsheetml/2006/main" uniqueCount="74">
  <si>
    <t>AUTODS</t>
  </si>
  <si>
    <t/>
  </si>
  <si>
    <t>DT_SAPTRANSACTIONCODE</t>
  </si>
  <si>
    <t>15</t>
  </si>
  <si>
    <t>DT_ME21N_0014_CHECK_MESSAGEPARAMETER_OF_STATUSBAR</t>
  </si>
  <si>
    <t>ZSTR</t>
  </si>
  <si>
    <t>S001</t>
  </si>
  <si>
    <t>DT_ME21N_0100_OKCD</t>
  </si>
  <si>
    <t>Data Coming from another test</t>
  </si>
  <si>
    <t>SP01</t>
  </si>
  <si>
    <t>DT_ME21N_1211_TABLECELL_SITE_0</t>
  </si>
  <si>
    <t>DT_ME21N_0014_CHECK_TEXT_OF_STATUSBAR</t>
  </si>
  <si>
    <t>Output Data</t>
  </si>
  <si>
    <t>S96</t>
  </si>
  <si>
    <t>5502003792</t>
  </si>
  <si>
    <t>DT_ME21N_0014_OKCD</t>
  </si>
  <si>
    <t>DT_ME21N_0003_PUR_ORDER</t>
  </si>
  <si>
    <t>DT_VL10G_1020_SALES_DOCUMENT</t>
  </si>
  <si>
    <t>DT_VL10G_1030_PURCHASING_DOCUMENT</t>
  </si>
  <si>
    <t>Formulas</t>
  </si>
  <si>
    <t>200</t>
  </si>
  <si>
    <t>ZSTO</t>
  </si>
  <si>
    <t>SW43</t>
  </si>
  <si>
    <t>ME23N</t>
  </si>
  <si>
    <t>XYZ</t>
  </si>
  <si>
    <t>DT_EXPECTEDVALUE</t>
  </si>
  <si>
    <t>DT_SAPSYSTEM</t>
  </si>
  <si>
    <t>5503882918</t>
  </si>
  <si>
    <t>Input Data</t>
  </si>
  <si>
    <t>5fa25a0597c8e7b484566a80ecfbd128b55089cc179ee1eef13b</t>
  </si>
  <si>
    <t>DT_SAPLANGUAGE</t>
  </si>
  <si>
    <t>DT_SAPOPTIONS</t>
  </si>
  <si>
    <t>S</t>
  </si>
  <si>
    <t>SCENARIO</t>
  </si>
  <si>
    <t>DT_ME21N_1211_TABLECELL_PO_QUANTITY_0</t>
  </si>
  <si>
    <t>Intracompany store (DS) replenishment from DC - SW31 (Dry Goods) - Rprod_p1</t>
  </si>
  <si>
    <t>Verifications</t>
  </si>
  <si>
    <t>Execution Control Data</t>
  </si>
  <si>
    <t>DT_ME21N_1105_SUPPLYING_SITE</t>
  </si>
  <si>
    <t>SW59</t>
  </si>
  <si>
    <t>/nME23N</t>
  </si>
  <si>
    <t>VL10G</t>
  </si>
  <si>
    <t>DT_VL10G_1000_DELIV_CREATION_DATE</t>
  </si>
  <si>
    <t>DT_VL10G_1000_SALES_ORDERS</t>
  </si>
  <si>
    <t>EN</t>
  </si>
  <si>
    <t>1</t>
  </si>
  <si>
    <t>DT_OUTPUT_TYPE_0</t>
  </si>
  <si>
    <t>DT_VL10G_1000_SHIPPING_POINTRECEIVING_PT</t>
  </si>
  <si>
    <t>DT_VL10G_1000_TO</t>
  </si>
  <si>
    <t>DT_VL10G_0500_OUTBOUND_DELIVERY_OUTPUT</t>
  </si>
  <si>
    <t>ME21N</t>
  </si>
  <si>
    <t>DT_ME21N_1221_PURCH_ORG</t>
  </si>
  <si>
    <t>RS01</t>
  </si>
  <si>
    <t>DT_ME21N_1211_TABLECELL_ARTICLE_0</t>
  </si>
  <si>
    <t>10</t>
  </si>
  <si>
    <t>DT_ME21N_0100_CHECK_TEXT_OF_TABLECELL_OUTPUT_TYPE_0</t>
  </si>
  <si>
    <t>/nEX</t>
  </si>
  <si>
    <t>DT_VL10G_0500_OUTBOUND_DELIVERY</t>
  </si>
  <si>
    <t>DT_STO_NUMBER_OUTPUT</t>
  </si>
  <si>
    <t>ROW_NUMBER</t>
  </si>
  <si>
    <t>R1E - SAP RETAIL Pre-Production EUROPE</t>
  </si>
  <si>
    <t>Fixed Data</t>
  </si>
  <si>
    <t>DT_SAPPASSWORD</t>
  </si>
  <si>
    <t>DT_VL10G_0500_OKCD</t>
  </si>
  <si>
    <t>Login Information</t>
  </si>
  <si>
    <t>DT_SAPUSER</t>
  </si>
  <si>
    <t>DT_ME21N_1221_COMPANY_CODE</t>
  </si>
  <si>
    <t>2</t>
  </si>
  <si>
    <t>DT_SAPCLIENT</t>
  </si>
  <si>
    <t>DT_ME21N_1105_MEPO_TOPLINEBSART</t>
  </si>
  <si>
    <t>DT_ME21N_1221_PURCH_GROUP</t>
  </si>
  <si>
    <t>DT_Delivery_Date</t>
  </si>
  <si>
    <t>DT_VL10G_1000_PURCHASE_ORDERS</t>
  </si>
  <si>
    <t>DT_RowNumber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</si>
</sst>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b/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14" fontId="1" fillId="5" borderId="1" xfId="0" applyNumberForma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2" fillId="6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7" borderId="2" xfId="0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2" fillId="6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2" borderId="1" xfId="0" applyNumberFormat="1" applyFont="1" applyFill="1" applyBorder="1" applyAlignment="1" applyProtection="1">
      <alignment wrapText="1"/>
      <protection locked="0"/>
    </xf>
    <xf numFmtId="0" fontId="1" fillId="2" borderId="1" xfId="0" applyFont="1" applyFill="1" applyBorder="1" applyProtection="1">
      <protection locked="0"/>
    </xf>
    <xf numFmtId="164" fontId="1" fillId="2" borderId="1" xfId="0" applyNumberForma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10" borderId="1" xfId="0" applyFont="1" applyFill="1" applyBorder="1" applyProtection="1">
      <protection locked="0"/>
    </xf>
    <xf numFmtId="0" fontId="1" fillId="11" borderId="1" xfId="0" applyFill="1" applyBorder="1" applyProtection="1">
      <protection locked="0"/>
    </xf>
    <xf numFmtId="0" fontId="4" fillId="10" borderId="1" xfId="0" applyNumberFormat="1" applyFont="1" applyFill="1" applyBorder="1" applyProtection="1">
      <protection locked="0"/>
    </xf>
    <xf numFmtId="0" fontId="2" fillId="6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3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Intracompany%20store%20(DS)%20replenishment%20from%20DC%20-%20SW43_p1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7"/>
  <sheetViews>
    <sheetView topLeftCell="X1" workbookViewId="0">
      <selection activeCell="X2" sqref="X2"/>
    </sheetView>
  </sheetViews>
  <sheetFormatPr defaultColWidth="9.125" defaultRowHeight="14.25"/>
  <cols>
    <col min="1" max="1" width="14.625" style="8" customWidth="1"/>
    <col min="2" max="2" width="72.875" style="8" customWidth="1"/>
    <col min="3" max="3" width="38.125" style="8" customWidth="1"/>
    <col min="4" max="4" width="15" style="8" customWidth="1"/>
    <col min="5" max="5" width="13.625" style="8" customWidth="1"/>
    <col min="6" max="6" width="24.75" style="8" customWidth="1"/>
    <col min="7" max="7" width="18.625" style="8" customWidth="1"/>
    <col min="8" max="8" width="16.75" style="8" customWidth="1"/>
    <col min="9" max="9" width="27.125" style="8" customWidth="1"/>
    <col min="10" max="10" width="37.5" style="8" customWidth="1"/>
    <col min="11" max="11" width="32.625" style="8" customWidth="1"/>
    <col min="12" max="12" width="28.5" style="8" customWidth="1"/>
    <col min="13" max="13" width="31.125" style="8" customWidth="1"/>
    <col min="14" max="14" width="32.25" style="8" customWidth="1"/>
    <col min="15" max="15" width="38.125" style="8" customWidth="1"/>
    <col min="16" max="17" width="43.5" style="8" customWidth="1"/>
    <col min="18" max="18" width="34.5" style="8" customWidth="1"/>
    <col min="19" max="19" width="60.875" style="8" customWidth="1"/>
    <col min="20" max="20" width="45.25" style="8" customWidth="1"/>
    <col min="21" max="21" width="21.875" style="8" customWidth="1"/>
    <col min="22" max="22" width="28.5" style="8" customWidth="1"/>
    <col min="23" max="23" width="60.75" style="8" customWidth="1"/>
    <col min="24" max="24" width="21.875" style="8" customWidth="1"/>
    <col min="25" max="31" width="9.125" style="8" customWidth="1"/>
    <col min="32" max="32" width="10.875" style="8" bestFit="1" customWidth="1"/>
    <col min="33" max="16384" width="9.125" style="8" customWidth="1"/>
  </cols>
  <sheetData>
    <row r="1" ht="12.75" customHeight="1" customFormat="1">
      <c r="A1" t="s">
        <v>59</v>
      </c>
      <c r="B1" t="s">
        <v>33</v>
      </c>
      <c r="C1" t="s">
        <v>26</v>
      </c>
      <c r="D1" t="s">
        <v>68</v>
      </c>
      <c r="E1" t="s">
        <v>65</v>
      </c>
      <c r="F1" t="s">
        <v>62</v>
      </c>
      <c r="G1" t="s">
        <v>30</v>
      </c>
      <c r="H1" t="s">
        <v>31</v>
      </c>
      <c r="I1" t="s">
        <v>2</v>
      </c>
      <c r="J1" t="s">
        <v>69</v>
      </c>
      <c r="K1" t="s">
        <v>38</v>
      </c>
      <c r="L1" t="s">
        <v>51</v>
      </c>
      <c r="M1" t="s">
        <v>70</v>
      </c>
      <c r="N1" t="s">
        <v>66</v>
      </c>
      <c r="O1" t="s">
        <v>53</v>
      </c>
      <c r="P1" t="s">
        <v>34</v>
      </c>
      <c r="Q1" t="s">
        <v>71</v>
      </c>
      <c r="R1" t="s">
        <v>10</v>
      </c>
      <c r="S1" t="s">
        <v>4</v>
      </c>
      <c r="T1" t="s">
        <v>11</v>
      </c>
      <c r="U1" t="s">
        <v>15</v>
      </c>
      <c r="V1" t="s">
        <v>16</v>
      </c>
      <c r="W1" t="s">
        <v>55</v>
      </c>
      <c r="X1" t="s">
        <v>7</v>
      </c>
      <c r="Y1" t="s">
        <v>63</v>
      </c>
      <c r="Z1" t="s">
        <v>47</v>
      </c>
      <c r="AA1" t="s">
        <v>42</v>
      </c>
      <c r="AB1" t="s">
        <v>48</v>
      </c>
      <c r="AC1" t="s">
        <v>43</v>
      </c>
      <c r="AD1" t="s">
        <v>17</v>
      </c>
      <c r="AE1" t="s">
        <v>72</v>
      </c>
      <c r="AF1" t="s">
        <v>18</v>
      </c>
      <c r="AG1" t="s">
        <v>25</v>
      </c>
      <c r="AH1" t="s">
        <v>57</v>
      </c>
    </row>
    <row r="2">
      <c r="A2" s="9">
        <v>1</v>
      </c>
      <c r="B2" s="9" t="s">
        <v>35</v>
      </c>
      <c r="C2" s="4" t="s">
        <v>60</v>
      </c>
      <c r="D2" s="4" t="s">
        <v>20</v>
      </c>
      <c r="E2" s="4" t="s">
        <v>0</v>
      </c>
      <c r="F2" s="11" t="s">
        <v>29</v>
      </c>
      <c r="G2" s="4" t="s">
        <v>44</v>
      </c>
      <c r="H2" s="5" t="s">
        <v>1</v>
      </c>
      <c r="I2" s="2" t="s">
        <v>50</v>
      </c>
      <c r="J2" s="2" t="s">
        <v>21</v>
      </c>
      <c r="K2" s="2" t="s">
        <v>22</v>
      </c>
      <c r="L2" s="2" t="s">
        <v>9</v>
      </c>
      <c r="M2" s="2" t="s">
        <v>13</v>
      </c>
      <c r="N2" s="2" t="s">
        <v>52</v>
      </c>
      <c r="O2" s="7">
        <v>7181341</v>
      </c>
      <c r="P2" s="2" t="s">
        <v>54</v>
      </c>
      <c r="Q2" s="22">
        <f ca="1" t="shared" si="0" ref="Q2:Q6">TODAY()+1</f>
        <v>46014</v>
      </c>
      <c r="R2" s="2" t="s">
        <v>6</v>
      </c>
      <c r="S2" s="25" t="e">
        <f>[1]Output!A2</f>
        <v>#REF!</v>
      </c>
      <c r="T2" s="17" t="e">
        <f t="shared" si="1" ref="T2:T6">CONCATENATE("STO Retail created under the number ",S2)</f>
        <v>#REF!</v>
      </c>
      <c r="U2" s="2" t="s">
        <v>23</v>
      </c>
      <c r="V2" s="16" t="e">
        <f>S2</f>
        <v>#REF!</v>
      </c>
      <c r="W2" s="13" t="s">
        <v>5</v>
      </c>
      <c r="X2" s="2" t="s">
        <v>56</v>
      </c>
      <c r="Y2" s="2" t="s">
        <v>41</v>
      </c>
      <c r="Z2" s="2" t="s">
        <v>22</v>
      </c>
      <c r="AA2" s="10">
        <f ca="1">TODAY()</f>
        <v>46013</v>
      </c>
      <c r="AB2" s="10">
        <f ca="1">TODAY()+2</f>
        <v>46015</v>
      </c>
      <c r="AC2" s="5" t="s">
        <v>45</v>
      </c>
      <c r="AD2" s="2" t="s">
        <v>24</v>
      </c>
      <c r="AE2" s="5" t="s">
        <v>67</v>
      </c>
      <c r="AF2" s="1" t="e">
        <f>S2</f>
        <v>#REF!</v>
      </c>
      <c r="AG2" s="5" t="s">
        <v>32</v>
      </c>
      <c r="AH2" s="15" t="e">
        <f>[1]Output!C2</f>
        <v>#REF!</v>
      </c>
    </row>
    <row r="3">
      <c r="A3" s="9">
        <v>2</v>
      </c>
      <c r="B3" s="9" t="s">
        <v>35</v>
      </c>
      <c r="C3" s="4" t="s">
        <v>60</v>
      </c>
      <c r="D3" s="4" t="s">
        <v>20</v>
      </c>
      <c r="E3" s="4" t="s">
        <v>0</v>
      </c>
      <c r="F3" s="11" t="s">
        <v>29</v>
      </c>
      <c r="G3" s="4" t="s">
        <v>44</v>
      </c>
      <c r="H3" s="5" t="s">
        <v>1</v>
      </c>
      <c r="I3" s="2" t="s">
        <v>50</v>
      </c>
      <c r="J3" s="2" t="s">
        <v>21</v>
      </c>
      <c r="K3" s="2" t="s">
        <v>39</v>
      </c>
      <c r="L3" s="2" t="s">
        <v>9</v>
      </c>
      <c r="M3" s="2" t="s">
        <v>13</v>
      </c>
      <c r="N3" s="2" t="s">
        <v>52</v>
      </c>
      <c r="O3" s="7">
        <v>7179940</v>
      </c>
      <c r="P3" s="2" t="s">
        <v>3</v>
      </c>
      <c r="Q3" s="22">
        <f ca="1" t="shared" si="0"/>
        <v>46014</v>
      </c>
      <c r="R3" s="2" t="s">
        <v>6</v>
      </c>
      <c r="S3" s="25" t="e">
        <f>[1]Output!A3</f>
        <v>#REF!</v>
      </c>
      <c r="T3" s="17" t="e">
        <f t="shared" si="1"/>
        <v>#REF!</v>
      </c>
      <c r="U3" s="2" t="s">
        <v>23</v>
      </c>
      <c r="V3" s="16" t="e">
        <f t="shared" si="2" ref="V3:V6">(S3)</f>
        <v>#REF!</v>
      </c>
      <c r="W3" s="13" t="s">
        <v>5</v>
      </c>
      <c r="X3" s="2" t="s">
        <v>56</v>
      </c>
      <c r="Y3" s="1"/>
      <c r="Z3" s="1"/>
      <c r="AA3" s="1"/>
      <c r="AB3" s="1"/>
      <c r="AC3" s="1"/>
      <c r="AD3" s="1"/>
      <c r="AE3" s="1"/>
      <c r="AF3" s="1"/>
      <c r="AG3" s="1"/>
      <c r="AH3" s="6"/>
    </row>
    <row r="4" ht="14.25" customHeight="1">
      <c r="A4" s="9">
        <v>3</v>
      </c>
      <c r="B4" s="9" t="s">
        <v>35</v>
      </c>
      <c r="C4" s="4" t="s">
        <v>60</v>
      </c>
      <c r="D4" s="4" t="s">
        <v>20</v>
      </c>
      <c r="E4" s="4" t="s">
        <v>0</v>
      </c>
      <c r="F4" s="11" t="s">
        <v>29</v>
      </c>
      <c r="G4" s="4" t="s">
        <v>44</v>
      </c>
      <c r="H4" s="5" t="s">
        <v>1</v>
      </c>
      <c r="I4" s="2" t="s">
        <v>50</v>
      </c>
      <c r="J4" s="2" t="s">
        <v>21</v>
      </c>
      <c r="K4" s="2" t="s">
        <v>39</v>
      </c>
      <c r="L4" s="2" t="s">
        <v>9</v>
      </c>
      <c r="M4" s="2" t="s">
        <v>13</v>
      </c>
      <c r="N4" s="2" t="s">
        <v>52</v>
      </c>
      <c r="O4" s="20">
        <v>7179941</v>
      </c>
      <c r="P4" s="2" t="s">
        <v>3</v>
      </c>
      <c r="Q4" s="22">
        <f ca="1" t="shared" si="0"/>
        <v>46014</v>
      </c>
      <c r="R4" s="2" t="s">
        <v>6</v>
      </c>
      <c r="S4" s="25" t="e">
        <f>[1]Output!A4</f>
        <v>#REF!</v>
      </c>
      <c r="T4" s="17" t="e">
        <f t="shared" si="1"/>
        <v>#REF!</v>
      </c>
      <c r="U4" s="2" t="s">
        <v>23</v>
      </c>
      <c r="V4" s="16" t="e">
        <f t="shared" si="2"/>
        <v>#REF!</v>
      </c>
      <c r="W4" s="13" t="s">
        <v>5</v>
      </c>
      <c r="X4" s="2" t="s">
        <v>56</v>
      </c>
      <c r="Y4" s="1"/>
      <c r="Z4" s="1"/>
      <c r="AA4" s="1"/>
      <c r="AB4" s="1"/>
      <c r="AC4" s="1"/>
      <c r="AD4" s="1"/>
      <c r="AE4" s="1"/>
      <c r="AF4" s="1"/>
      <c r="AG4" s="1"/>
      <c r="AH4" s="6"/>
    </row>
    <row r="5">
      <c r="A5" s="9">
        <v>4</v>
      </c>
      <c r="B5" s="9" t="s">
        <v>35</v>
      </c>
      <c r="C5" s="4" t="s">
        <v>60</v>
      </c>
      <c r="D5" s="4" t="s">
        <v>20</v>
      </c>
      <c r="E5" s="4" t="s">
        <v>0</v>
      </c>
      <c r="F5" s="11" t="s">
        <v>29</v>
      </c>
      <c r="G5" s="4" t="s">
        <v>44</v>
      </c>
      <c r="H5" s="5" t="s">
        <v>1</v>
      </c>
      <c r="I5" s="2" t="s">
        <v>50</v>
      </c>
      <c r="J5" s="2" t="s">
        <v>21</v>
      </c>
      <c r="K5" s="2" t="s">
        <v>39</v>
      </c>
      <c r="L5" s="2" t="s">
        <v>9</v>
      </c>
      <c r="M5" s="2" t="s">
        <v>13</v>
      </c>
      <c r="N5" s="2" t="s">
        <v>52</v>
      </c>
      <c r="O5" s="7">
        <v>7179931</v>
      </c>
      <c r="P5" s="2" t="s">
        <v>3</v>
      </c>
      <c r="Q5" s="22">
        <f ca="1" t="shared" si="0"/>
        <v>46014</v>
      </c>
      <c r="R5" s="2" t="s">
        <v>6</v>
      </c>
      <c r="S5" s="25" t="s">
        <v>27</v>
      </c>
      <c r="T5" s="17" t="str">
        <f t="shared" si="1"/>
        <v>STO Retail created under the number 5503882918</v>
      </c>
      <c r="U5" s="2" t="s">
        <v>40</v>
      </c>
      <c r="V5" s="16" t="str">
        <f t="shared" si="2"/>
        <v>5503882918</v>
      </c>
      <c r="W5" s="13" t="s">
        <v>5</v>
      </c>
      <c r="X5" s="2" t="s">
        <v>56</v>
      </c>
      <c r="Y5" s="1"/>
      <c r="Z5" s="1"/>
      <c r="AA5" s="1"/>
      <c r="AB5" s="1"/>
      <c r="AC5" s="1"/>
      <c r="AD5" s="1"/>
      <c r="AE5" s="1"/>
      <c r="AF5" s="1"/>
      <c r="AG5" s="1"/>
      <c r="AH5" s="6"/>
    </row>
    <row r="6">
      <c r="A6" s="9">
        <v>5</v>
      </c>
      <c r="B6" s="9" t="s">
        <v>35</v>
      </c>
      <c r="C6" s="4" t="s">
        <v>60</v>
      </c>
      <c r="D6" s="4" t="s">
        <v>20</v>
      </c>
      <c r="E6" s="4" t="s">
        <v>0</v>
      </c>
      <c r="F6" s="11" t="s">
        <v>29</v>
      </c>
      <c r="G6" s="4" t="s">
        <v>44</v>
      </c>
      <c r="H6" s="5" t="s">
        <v>1</v>
      </c>
      <c r="I6" s="2" t="s">
        <v>50</v>
      </c>
      <c r="J6" s="2" t="s">
        <v>21</v>
      </c>
      <c r="K6" s="2" t="s">
        <v>39</v>
      </c>
      <c r="L6" s="2" t="s">
        <v>9</v>
      </c>
      <c r="M6" s="2" t="s">
        <v>13</v>
      </c>
      <c r="N6" s="2" t="s">
        <v>52</v>
      </c>
      <c r="O6" s="7">
        <v>7179942</v>
      </c>
      <c r="P6" s="2" t="s">
        <v>3</v>
      </c>
      <c r="Q6" s="22">
        <f ca="1" t="shared" si="0"/>
        <v>46014</v>
      </c>
      <c r="R6" s="2" t="s">
        <v>6</v>
      </c>
      <c r="S6" s="25" t="s">
        <v>14</v>
      </c>
      <c r="T6" s="17" t="str">
        <f t="shared" si="1"/>
        <v>STO Retail created under the number 5502003792</v>
      </c>
      <c r="U6" s="2" t="s">
        <v>40</v>
      </c>
      <c r="V6" s="16" t="str">
        <f t="shared" si="2"/>
        <v>5502003792</v>
      </c>
      <c r="W6" s="13" t="s">
        <v>5</v>
      </c>
      <c r="X6" s="2" t="s">
        <v>56</v>
      </c>
      <c r="Y6" s="1"/>
      <c r="Z6" s="1"/>
      <c r="AA6" s="1"/>
      <c r="AB6" s="1"/>
      <c r="AC6" s="1"/>
      <c r="AD6" s="1"/>
      <c r="AE6" s="1"/>
      <c r="AF6" s="1"/>
      <c r="AG6" s="1"/>
      <c r="AH6" s="6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6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6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6"/>
    </row>
    <row r="10">
      <c r="A10" s="1"/>
      <c r="B10" s="1"/>
      <c r="C10" s="18" t="s">
        <v>64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6"/>
    </row>
    <row r="11">
      <c r="A11" s="1"/>
      <c r="B11" s="1"/>
      <c r="C11" s="21" t="s">
        <v>28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6"/>
    </row>
    <row r="12">
      <c r="A12" s="1"/>
      <c r="B12" s="1"/>
      <c r="C12" s="24" t="s">
        <v>61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6"/>
    </row>
    <row r="13">
      <c r="A13" s="1"/>
      <c r="B13" s="1"/>
      <c r="C13" s="23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6"/>
    </row>
    <row r="14">
      <c r="A14" s="1"/>
      <c r="B14" s="1"/>
      <c r="C14" s="19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/>
    </row>
    <row r="15">
      <c r="A15" s="1"/>
      <c r="B15" s="1"/>
      <c r="C15" s="27" t="s">
        <v>36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6"/>
    </row>
    <row r="16">
      <c r="A16" s="1"/>
      <c r="B16" s="1"/>
      <c r="C16" s="14" t="s">
        <v>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/>
    </row>
    <row r="17">
      <c r="A17" s="1"/>
      <c r="B17" s="1"/>
      <c r="C17" s="12" t="s">
        <v>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>
      <selection activeCell="A2" sqref="A2"/>
    </sheetView>
  </sheetViews>
  <sheetFormatPr defaultColWidth="9.125" defaultRowHeight="14.25"/>
  <cols>
    <col min="1" max="1" width="10.875" style="8" bestFit="1" customWidth="1"/>
    <col min="2" max="16384" width="9.125" style="8" customWidth="1"/>
  </cols>
  <sheetData>
    <row r="1" ht="12.75" customHeight="1" customFormat="1">
      <c r="A1" t="s">
        <v>58</v>
      </c>
      <c r="B1" t="s">
        <v>46</v>
      </c>
      <c r="C1" t="s">
        <v>49</v>
      </c>
      <c r="D1" t="s">
        <v>73</v>
      </c>
      <c r="E1" t="s">
        <v>57</v>
      </c>
    </row>
    <row r="2">
      <c r="A2" s="1">
        <v>5567889471</v>
      </c>
      <c r="B2" s="1"/>
      <c r="C2" s="1">
        <v>9223312892</v>
      </c>
      <c r="D2" s="1">
        <v>1</v>
      </c>
      <c r="E2" s="6">
        <v>9223312892</v>
      </c>
    </row>
    <row r="3">
      <c r="A3" s="1">
        <v>5567862559</v>
      </c>
      <c r="B3" s="1"/>
      <c r="C3" s="1"/>
      <c r="D3" s="1"/>
      <c r="E3" s="6"/>
    </row>
    <row r="4">
      <c r="A4" s="1">
        <v>5567862560</v>
      </c>
      <c r="B4" s="1"/>
      <c r="C4" s="1"/>
      <c r="D4" s="1"/>
      <c r="E4" s="6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3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