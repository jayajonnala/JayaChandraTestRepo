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" sheetId="3" r:id="rId3"/>
    <sheet name="TC1_RegulrPurSW81-externalWH_p1" sheetId="4" r:id="rId4"/>
    <sheet name="TC2_RegulrPurSW81-externalWH_p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<sst xmlns="http://schemas.openxmlformats.org/spreadsheetml/2006/main" uniqueCount="54">
  <si>
    <t>AUTODS</t>
  </si>
  <si>
    <t/>
  </si>
  <si>
    <t>DT_SAPTRANSACTIONCODE</t>
  </si>
  <si>
    <t>Display Document: Data Entry View</t>
  </si>
  <si>
    <t>DT_SCENARIO</t>
  </si>
  <si>
    <t>AUTODS-555</t>
  </si>
  <si>
    <t>DT_MIGO_0010_GODYNPROACTION</t>
  </si>
  <si>
    <t>DT_MIGO_2010_GODYNPROMAT_DOC</t>
  </si>
  <si>
    <t>200</t>
  </si>
  <si>
    <t>MIGO</t>
  </si>
  <si>
    <t>DT_MIGO_0100_DOC_INFO</t>
  </si>
  <si>
    <t>DT_MIGO_0010_GODYNPROACTION_OCC1</t>
  </si>
  <si>
    <t>DT_MIGO_0390_GOITEMUMNAME1</t>
  </si>
  <si>
    <t>ON</t>
  </si>
  <si>
    <t>DT_MIGO_0001_CHECK_TEXT_OF_STATUSBAR</t>
  </si>
  <si>
    <t>DT_SAPSYSTEM</t>
  </si>
  <si>
    <t>4909977236</t>
  </si>
  <si>
    <t>DT_MIGO_0200_CHECK_SELECTED_OF_TABLECELL_OK_0</t>
  </si>
  <si>
    <t>5fa25a0597c8e7b484566a80ecfbd128b55089cc179ee1eef13b</t>
  </si>
  <si>
    <t>DT_SAPLANGUAGE</t>
  </si>
  <si>
    <t>DT_SAPOPTIONS</t>
  </si>
  <si>
    <t>DT_MIGO_0390_ARTICLE</t>
  </si>
  <si>
    <t>DT_MIGO_0100_DOC_INFO_OCC1</t>
  </si>
  <si>
    <t>DT_MIGO_0750_CHECK_TEXT_OF_TITL_OCC1</t>
  </si>
  <si>
    <t>=YEAR(TODAY())</t>
  </si>
  <si>
    <t>DT_MIGO_0390_STOR_LOC</t>
  </si>
  <si>
    <t>DT_GETDOC</t>
  </si>
  <si>
    <t>DT_MIGO_0010_GODYNPROACTION_OCC2</t>
  </si>
  <si>
    <t>4909977240</t>
  </si>
  <si>
    <t>0001</t>
  </si>
  <si>
    <t>EN</t>
  </si>
  <si>
    <t>DT_ROW</t>
  </si>
  <si>
    <t>DT_MIGO_0390_QTY_IN_UNE</t>
  </si>
  <si>
    <t>DT_MIGO_0010_GODEFAULT_TVBWART</t>
  </si>
  <si>
    <t>DT_MIGO_0001_CHECK_TEXT_OF_STATUSBAR_OCC1</t>
  </si>
  <si>
    <t>DT_MIGO_0390_SITE</t>
  </si>
  <si>
    <t>SW81</t>
  </si>
  <si>
    <t>true</t>
  </si>
  <si>
    <t>P2</t>
  </si>
  <si>
    <t>R1E - SAP RETAIL Pre-Production EUROPE</t>
  </si>
  <si>
    <t>DT_SAPPASSWORD</t>
  </si>
  <si>
    <t>A04</t>
  </si>
  <si>
    <t>4909977234</t>
  </si>
  <si>
    <t>DT_MIGO_0750_CHECK_TEXT_OF_TITL</t>
  </si>
  <si>
    <t>A08</t>
  </si>
  <si>
    <t>DT_MIGO_2010_GODYNPROMAT_DOC_OCC1</t>
  </si>
  <si>
    <t>DT_SAPUSER</t>
  </si>
  <si>
    <t>4909977238</t>
  </si>
  <si>
    <t>DT_MIGO_DOC_DATE</t>
  </si>
  <si>
    <t>2</t>
  </si>
  <si>
    <t>DT_MIGO_0390_GOITEMUMLGOBE</t>
  </si>
  <si>
    <t>DT_SAPCLIENT</t>
  </si>
  <si>
    <t>SW31</t>
  </si>
  <si>
    <t>DT_ARTICLE_DOC_NO_OUTPUT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</si>
</sst>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-0.24996948242187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2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2" fillId="5" borderId="2" xfId="0" applyNumberFormat="1" applyFont="1" applyFill="1" applyBorder="1" applyProtection="1">
      <protection locked="0"/>
    </xf>
    <xf numFmtId="49" fontId="4" fillId="2" borderId="1" xfId="0" applyNumberFormat="1" applyFont="1" applyFill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1" fillId="8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Regular%20purchasing%20in%20SW81%20-%20external%20WH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0"/>
  <sheetViews>
    <sheetView topLeftCell="G1" zoomScale="80" workbookViewId="0">
      <selection activeCell="G2" sqref="G2"/>
    </sheetView>
  </sheetViews>
  <sheetFormatPr defaultColWidth="9.125" defaultRowHeight="14.25"/>
  <cols>
    <col min="1" max="1" width="9.125" style="5" customWidth="1"/>
    <col min="2" max="2" width="14.25" style="5" customWidth="1"/>
    <col min="3" max="3" width="38.125" style="5" customWidth="1"/>
    <col min="4" max="4" width="15" style="5" customWidth="1"/>
    <col min="5" max="5" width="13.625" style="5" customWidth="1"/>
    <col min="6" max="6" width="25" style="5" customWidth="1"/>
    <col min="7" max="7" width="18.625" style="5" customWidth="1"/>
    <col min="8" max="8" width="16.75" style="5" customWidth="1"/>
    <col min="9" max="9" width="27.125" style="5" customWidth="1"/>
    <col min="10" max="10" width="33.125" style="5" customWidth="1"/>
    <col min="11" max="12" width="35.125" style="5" customWidth="1"/>
    <col min="13" max="13" width="24.75" style="5" customWidth="1"/>
    <col min="14" max="14" width="36" style="5" customWidth="1"/>
    <col min="15" max="15" width="39" style="5" customWidth="1"/>
    <col min="16" max="16" width="23.25" style="5" customWidth="1"/>
    <col min="17" max="17" width="19.625" style="5" customWidth="1"/>
    <col min="18" max="18" width="25.25" style="5" customWidth="1"/>
    <col min="19" max="19" width="31.875" style="5" customWidth="1"/>
    <col min="20" max="20" width="31.75" style="5" customWidth="1"/>
    <col min="21" max="21" width="27.125" style="5" customWidth="1"/>
    <col min="22" max="22" width="37.125" style="5" customWidth="1"/>
    <col min="23" max="23" width="53" style="5" customWidth="1"/>
    <col min="24" max="24" width="43.5" style="5" customWidth="1"/>
    <col min="25" max="25" width="12.5" style="5" customWidth="1"/>
    <col min="26" max="26" width="49.375" style="5" customWidth="1"/>
    <col min="27" max="27" width="39" style="5" customWidth="1"/>
    <col min="28" max="28" width="41" style="5" customWidth="1"/>
    <col min="29" max="29" width="30.625" style="5" customWidth="1"/>
    <col min="30" max="30" width="41.875" style="5" customWidth="1"/>
    <col min="31" max="16384" width="9.125" style="5" customWidth="1"/>
  </cols>
  <sheetData>
    <row r="1" ht="12.75" customHeight="1" customFormat="1">
      <c r="A1" t="s">
        <v>31</v>
      </c>
      <c r="B1" t="s">
        <v>4</v>
      </c>
      <c r="C1" t="s">
        <v>15</v>
      </c>
      <c r="D1" t="s">
        <v>51</v>
      </c>
      <c r="E1" t="s">
        <v>46</v>
      </c>
      <c r="F1" t="s">
        <v>40</v>
      </c>
      <c r="G1" t="s">
        <v>19</v>
      </c>
      <c r="H1" t="s">
        <v>20</v>
      </c>
      <c r="I1" t="s">
        <v>2</v>
      </c>
      <c r="J1" t="s">
        <v>6</v>
      </c>
      <c r="K1" t="s">
        <v>7</v>
      </c>
      <c r="L1" t="s">
        <v>48</v>
      </c>
      <c r="M1" t="s">
        <v>10</v>
      </c>
      <c r="N1" t="s">
        <v>43</v>
      </c>
      <c r="O1" t="s">
        <v>11</v>
      </c>
      <c r="P1" t="s">
        <v>21</v>
      </c>
      <c r="Q1" t="s">
        <v>35</v>
      </c>
      <c r="R1" t="s">
        <v>25</v>
      </c>
      <c r="S1" t="s">
        <v>12</v>
      </c>
      <c r="T1" t="s">
        <v>50</v>
      </c>
      <c r="U1" t="s">
        <v>32</v>
      </c>
      <c r="V1" t="s">
        <v>33</v>
      </c>
      <c r="W1" t="s">
        <v>17</v>
      </c>
      <c r="X1" t="s">
        <v>14</v>
      </c>
      <c r="Y1" t="s">
        <v>26</v>
      </c>
      <c r="Z1" t="s">
        <v>34</v>
      </c>
      <c r="AA1" t="s">
        <v>27</v>
      </c>
      <c r="AB1" t="s">
        <v>45</v>
      </c>
      <c r="AC1" t="s">
        <v>22</v>
      </c>
      <c r="AD1" t="s">
        <v>23</v>
      </c>
    </row>
    <row r="2">
      <c r="A2" s="9">
        <v>1</v>
      </c>
      <c r="B2" s="9" t="s">
        <v>38</v>
      </c>
      <c r="C2" s="3" t="s">
        <v>39</v>
      </c>
      <c r="D2" s="3" t="s">
        <v>8</v>
      </c>
      <c r="E2" s="3" t="s">
        <v>0</v>
      </c>
      <c r="F2" s="3" t="s">
        <v>18</v>
      </c>
      <c r="G2" s="3" t="s">
        <v>30</v>
      </c>
      <c r="H2" s="3" t="s">
        <v>1</v>
      </c>
      <c r="I2" s="16" t="s">
        <v>9</v>
      </c>
      <c r="J2" s="2" t="s">
        <v>41</v>
      </c>
      <c r="K2" s="15">
        <v>3903757295</v>
      </c>
      <c r="L2" s="13" t="s">
        <v>24</v>
      </c>
      <c r="M2" s="2" t="s">
        <v>49</v>
      </c>
      <c r="N2" s="8" t="s">
        <v>3</v>
      </c>
      <c r="O2" s="2" t="s">
        <v>44</v>
      </c>
      <c r="P2" s="6">
        <v>7201103</v>
      </c>
      <c r="Q2" s="2" t="s">
        <v>36</v>
      </c>
      <c r="R2" s="2" t="s">
        <v>29</v>
      </c>
      <c r="S2" s="2" t="s">
        <v>52</v>
      </c>
      <c r="T2" s="2" t="s">
        <v>29</v>
      </c>
      <c r="U2" s="2" t="s">
        <v>49</v>
      </c>
      <c r="V2" s="6">
        <v>301</v>
      </c>
      <c r="W2" s="8" t="s">
        <v>13</v>
      </c>
      <c r="X2" s="18" t="e">
        <f>"Article document "&amp;([1]Output!A2)&amp;" posted"</f>
        <v>#REF!</v>
      </c>
      <c r="Y2" s="14" t="e">
        <f t="shared" si="0" ref="Y2:Y5">MID(X2,18,10)</f>
        <v>#REF!</v>
      </c>
      <c r="Z2" s="17" t="e">
        <f t="shared" si="1" ref="Z2:Z5">"Article document "&amp;Y2&amp;" posted"</f>
        <v>#REF!</v>
      </c>
      <c r="AA2" s="2" t="s">
        <v>41</v>
      </c>
      <c r="AB2" s="11" t="e">
        <f t="shared" si="2" ref="AB2:AB5">Y2</f>
        <v>#REF!</v>
      </c>
      <c r="AC2" s="2" t="s">
        <v>49</v>
      </c>
      <c r="AD2" s="12" t="s">
        <v>3</v>
      </c>
    </row>
    <row r="3">
      <c r="A3" s="9">
        <v>2</v>
      </c>
      <c r="B3" s="9" t="s">
        <v>38</v>
      </c>
      <c r="C3" s="3" t="s">
        <v>39</v>
      </c>
      <c r="D3" s="3" t="s">
        <v>8</v>
      </c>
      <c r="E3" s="3" t="s">
        <v>0</v>
      </c>
      <c r="F3" s="3" t="s">
        <v>5</v>
      </c>
      <c r="G3" s="3" t="s">
        <v>30</v>
      </c>
      <c r="H3" s="3" t="s">
        <v>1</v>
      </c>
      <c r="I3" s="16" t="s">
        <v>9</v>
      </c>
      <c r="J3" s="2" t="s">
        <v>41</v>
      </c>
      <c r="K3" s="15">
        <v>3903381890</v>
      </c>
      <c r="L3" s="13" t="s">
        <v>24</v>
      </c>
      <c r="M3" s="2" t="s">
        <v>49</v>
      </c>
      <c r="N3" s="8" t="s">
        <v>3</v>
      </c>
      <c r="O3" s="2" t="s">
        <v>44</v>
      </c>
      <c r="P3" s="6">
        <v>7201103</v>
      </c>
      <c r="Q3" s="2" t="s">
        <v>36</v>
      </c>
      <c r="R3" s="2" t="s">
        <v>29</v>
      </c>
      <c r="S3" s="2" t="s">
        <v>52</v>
      </c>
      <c r="T3" s="2" t="s">
        <v>29</v>
      </c>
      <c r="U3" s="2" t="s">
        <v>49</v>
      </c>
      <c r="V3" s="6">
        <v>301</v>
      </c>
      <c r="W3" s="8" t="s">
        <v>37</v>
      </c>
      <c r="X3" s="18" t="e">
        <f>"Article document "&amp;([1]Output!A3)&amp;" posted"</f>
        <v>#REF!</v>
      </c>
      <c r="Y3" s="14" t="e">
        <f t="shared" si="0"/>
        <v>#REF!</v>
      </c>
      <c r="Z3" s="17" t="e">
        <f t="shared" si="1"/>
        <v>#REF!</v>
      </c>
      <c r="AA3" s="2" t="s">
        <v>41</v>
      </c>
      <c r="AB3" s="11" t="e">
        <f t="shared" si="2"/>
        <v>#REF!</v>
      </c>
      <c r="AC3" s="2" t="s">
        <v>49</v>
      </c>
      <c r="AD3" s="12" t="s">
        <v>3</v>
      </c>
    </row>
    <row r="4">
      <c r="A4" s="9">
        <v>3</v>
      </c>
      <c r="B4" s="9" t="s">
        <v>38</v>
      </c>
      <c r="C4" s="3" t="s">
        <v>39</v>
      </c>
      <c r="D4" s="3" t="s">
        <v>8</v>
      </c>
      <c r="E4" s="3" t="s">
        <v>0</v>
      </c>
      <c r="F4" s="3" t="s">
        <v>5</v>
      </c>
      <c r="G4" s="3" t="s">
        <v>30</v>
      </c>
      <c r="H4" s="3" t="s">
        <v>1</v>
      </c>
      <c r="I4" s="16" t="s">
        <v>9</v>
      </c>
      <c r="J4" s="2" t="s">
        <v>41</v>
      </c>
      <c r="K4" s="15">
        <v>3917319000</v>
      </c>
      <c r="L4" s="13" t="s">
        <v>24</v>
      </c>
      <c r="M4" s="2" t="s">
        <v>49</v>
      </c>
      <c r="N4" s="8" t="s">
        <v>3</v>
      </c>
      <c r="O4" s="2" t="s">
        <v>44</v>
      </c>
      <c r="P4" s="6">
        <v>7208553</v>
      </c>
      <c r="Q4" s="2" t="s">
        <v>36</v>
      </c>
      <c r="R4" s="2" t="s">
        <v>29</v>
      </c>
      <c r="S4" s="2" t="s">
        <v>52</v>
      </c>
      <c r="T4" s="2" t="s">
        <v>29</v>
      </c>
      <c r="U4" s="2" t="s">
        <v>49</v>
      </c>
      <c r="V4" s="6">
        <v>301</v>
      </c>
      <c r="W4" s="8" t="s">
        <v>37</v>
      </c>
      <c r="X4" s="18" t="e">
        <f>"Article document "&amp;([1]Output!A4)&amp;" posted"</f>
        <v>#REF!</v>
      </c>
      <c r="Y4" s="14" t="e">
        <f t="shared" si="0"/>
        <v>#REF!</v>
      </c>
      <c r="Z4" s="17" t="e">
        <f t="shared" si="1"/>
        <v>#REF!</v>
      </c>
      <c r="AA4" s="2" t="s">
        <v>41</v>
      </c>
      <c r="AB4" s="11" t="e">
        <f t="shared" si="2"/>
        <v>#REF!</v>
      </c>
      <c r="AC4" s="2" t="s">
        <v>49</v>
      </c>
      <c r="AD4" s="12" t="s">
        <v>3</v>
      </c>
    </row>
    <row r="5">
      <c r="A5" s="9">
        <v>4</v>
      </c>
      <c r="B5" s="9" t="s">
        <v>38</v>
      </c>
      <c r="C5" s="3" t="s">
        <v>39</v>
      </c>
      <c r="D5" s="3" t="s">
        <v>8</v>
      </c>
      <c r="E5" s="3" t="s">
        <v>0</v>
      </c>
      <c r="F5" s="3" t="s">
        <v>5</v>
      </c>
      <c r="G5" s="3" t="s">
        <v>30</v>
      </c>
      <c r="H5" s="3" t="s">
        <v>1</v>
      </c>
      <c r="I5" s="16" t="s">
        <v>9</v>
      </c>
      <c r="J5" s="2" t="s">
        <v>41</v>
      </c>
      <c r="K5" s="15">
        <v>3917318326</v>
      </c>
      <c r="L5" s="13" t="s">
        <v>24</v>
      </c>
      <c r="M5" s="2" t="s">
        <v>49</v>
      </c>
      <c r="N5" s="8" t="s">
        <v>3</v>
      </c>
      <c r="O5" s="2" t="s">
        <v>44</v>
      </c>
      <c r="P5" s="6">
        <v>7190490</v>
      </c>
      <c r="Q5" s="2" t="s">
        <v>36</v>
      </c>
      <c r="R5" s="2" t="s">
        <v>29</v>
      </c>
      <c r="S5" s="2" t="s">
        <v>52</v>
      </c>
      <c r="T5" s="2" t="s">
        <v>29</v>
      </c>
      <c r="U5" s="2" t="s">
        <v>49</v>
      </c>
      <c r="V5" s="6">
        <v>301</v>
      </c>
      <c r="W5" s="8" t="s">
        <v>37</v>
      </c>
      <c r="X5" s="18" t="e">
        <f>"Article document "&amp;([1]Output!A5)&amp;" posted"</f>
        <v>#REF!</v>
      </c>
      <c r="Y5" s="14" t="e">
        <f t="shared" si="0"/>
        <v>#REF!</v>
      </c>
      <c r="Z5" s="17" t="e">
        <f t="shared" si="1"/>
        <v>#REF!</v>
      </c>
      <c r="AA5" s="2" t="s">
        <v>41</v>
      </c>
      <c r="AB5" s="11" t="e">
        <f t="shared" si="2"/>
        <v>#REF!</v>
      </c>
      <c r="AC5" s="2" t="s">
        <v>49</v>
      </c>
      <c r="AD5" s="12" t="s">
        <v>3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>
        <v>7190490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7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0" t="s">
        <v>42</v>
      </c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7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0" t="s">
        <v>16</v>
      </c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7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0" t="s">
        <v>47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7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0" t="s">
        <v>28</v>
      </c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7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3"/>
  <sheetViews>
    <sheetView workbookViewId="0">
      <selection activeCell="A2" sqref="A2"/>
    </sheetView>
  </sheetViews>
  <sheetFormatPr defaultColWidth="9.125" defaultRowHeight="14.25"/>
  <cols>
    <col min="1" max="1" width="10.875" style="5" bestFit="1" customWidth="1"/>
    <col min="2" max="16384" width="9.125" style="5" customWidth="1"/>
  </cols>
  <sheetData>
    <row r="1" ht="12.75" customHeight="1" customFormat="1">
      <c r="A1" t="s">
        <v>53</v>
      </c>
    </row>
    <row r="2">
      <c r="A2" s="7">
        <v>3903444689</v>
      </c>
    </row>
    <row r="3">
      <c r="A3" s="7">
        <v>3903381891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