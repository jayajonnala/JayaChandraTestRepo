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TC1_Test_IntraComReplenshSW41p1" sheetId="8" r:id="rId8"/>
    <sheet name="TC2_Test_IntraComReplenshSW41p2" sheetId="9" r:id="rId9"/>
    <sheet name="TC3_Test_IntraComReplenshSW41p3" sheetId="10" r:id="rId10"/>
    <sheet name="Data Transfer 5" sheetId="11" r:id="rId11"/>
    <sheet name="Data Transfer 6" sheetId="12" r:id="rId12"/>
    <sheet name="Data Transfer 7" sheetId="13" r:id="rId13"/>
    <sheet name="Data Transfer 8" sheetId="14" r:id="rId14"/>
    <sheet name="TC9_DistrbutionSW41Freshmeat-P6" sheetId="15" r:id="rId15"/>
    <sheet name="TC8_DistrbutionSW41Freshmeat-P5" sheetId="16" r:id="rId16"/>
    <sheet name="TC7_DistrbutionSW41Freshmeat-P4" sheetId="17" r:id="rId17"/>
    <sheet name="TC6_DistrbutionSW41Freshmeat-P3" sheetId="18" r:id="rId18"/>
    <sheet name="TC5_DistrbutionSW41Freshmeat-P2" sheetId="19" r:id="rId19"/>
    <sheet name="TC4_DistrbutionSW41Freshmeat-P1" sheetId="20" r:id="rId20"/>
    <sheet name="AT {{1}RunTimeResultFolderC..00" sheetId="21" r:id="rId21"/>
  </sheets>
  <externalReferences>
    <externalReference r:id="rId25"/>
  </externalReferences>
  <calcPr calcId="40001"/>
</workbook>
</file>

<file path=xl/sharedStrings.xml><?xml version="1.0" encoding="utf-8"?>
<sst xmlns="http://schemas.openxmlformats.org/spreadsheetml/2006/main" uniqueCount="75">
  <si>
    <t>AUTODS</t>
  </si>
  <si>
    <t/>
  </si>
  <si>
    <t>DT_SAPTRANSACTIONCODE</t>
  </si>
  <si>
    <t>DT_MIGO_0200_CHECK_TEXT_OF_TABLECELL_DIRECTION_2</t>
  </si>
  <si>
    <t>DT_MIGO_0200_CHECK_TEXT_OF_TABLECELL_DIRECTION_6</t>
  </si>
  <si>
    <t>DT_MIGO_0200_CHECK_TEXT_OF_TABLECELL_MOVEMENT_TYPE_15</t>
  </si>
  <si>
    <t>B</t>
  </si>
  <si>
    <t>DT_MIGO_2010_YEAR</t>
  </si>
  <si>
    <t>Data Coming from another test</t>
  </si>
  <si>
    <t>DT_MIGO_0010_GODYNPROACTION</t>
  </si>
  <si>
    <t>DT_MIGO_0200_CHECK_TEXT_OF_TABLECELL_MOVEMENT_TYPE_0</t>
  </si>
  <si>
    <t>+</t>
  </si>
  <si>
    <t>DT_MIGO_0200_CHECK_TEXT_OF_TABLECELL_DIRECTION_12</t>
  </si>
  <si>
    <t>Output Data</t>
  </si>
  <si>
    <t>DT_MIGO_2010_GODYNPROMAT_DOC</t>
  </si>
  <si>
    <t>DT_MIGO_0200_CHECK_TEXT_OF_TABLECELL_MOVEMENT_TYPE_4</t>
  </si>
  <si>
    <t>DT_MIGO_0200_CHECK_TEXT_OF_TABLECELL_MOVEMENT_TYPE_8</t>
  </si>
  <si>
    <t>DT_MIGO_0200_CHECK_TEXT_OF_TABLECELL_MOVEMENT_TYPE_12</t>
  </si>
  <si>
    <t>DT_MIGO_0200_SAPLMIGOTV_GOITEM</t>
  </si>
  <si>
    <t>Formulas</t>
  </si>
  <si>
    <t>200</t>
  </si>
  <si>
    <t>MIGO</t>
  </si>
  <si>
    <t>DT_MIGO_0100_DOC_INFO</t>
  </si>
  <si>
    <t>DT_MIGO_0200_CHECK_TEXT_OF_TABLECELL_DIRECTION_3</t>
  </si>
  <si>
    <t>DT_MIGO_0200_CHECK_TEXT_OF_TABLECELL_DIRECTION_7</t>
  </si>
  <si>
    <t>/nex</t>
  </si>
  <si>
    <t>DT_SAPSYSTEM</t>
  </si>
  <si>
    <t>Input Data</t>
  </si>
  <si>
    <t>5fa25a0597c8e7b484566a80ecfbd128b55089cc179ee1eef13b</t>
  </si>
  <si>
    <t>DT_SAPLANGUAGE</t>
  </si>
  <si>
    <t>DT_SAPOPTIONS</t>
  </si>
  <si>
    <t>DT_MIGO_0200_CHECK_TEXT_OF_TABLECELL_MOVEMENT_TYPE_1</t>
  </si>
  <si>
    <t>DT_MIGO_0200_CHECK_TEXT_OF_TABLECELL_DIRECTION_13</t>
  </si>
  <si>
    <t>DT_MIGO_0200_CHECK_TEXT_OF_TABLECELL_DIRECTION_15_OCC1</t>
  </si>
  <si>
    <t>DT_ACCT_DOCUMENTNO</t>
  </si>
  <si>
    <t>SCENARIO</t>
  </si>
  <si>
    <t>DT_MIGO_0200_CHECK_TEXT_OF_TABLECELL_MOVEMENT_TYPE_5</t>
  </si>
  <si>
    <t>DT_MIGO_0200_CHECK_TEXT_OF_TABLECELL_MOVEMENT_TYPE_9</t>
  </si>
  <si>
    <t>DT_MIGO_0200_CHECK_TEXT_OF_TABLECELL_MOVEMENT_TYPE_13</t>
  </si>
  <si>
    <t>DT_MIGO_0200_CHECK_TEXT_OF_TABLECELL_MOVEMENT_TYPE_15_OCC1</t>
  </si>
  <si>
    <t>Verifications</t>
  </si>
  <si>
    <t>DT_MIGO_0200_CHECK_TEXT_OF_TABLECELL_DIRECTION_0</t>
  </si>
  <si>
    <t>DT_MIGO_0200_CHECK_TEXT_OF_TABLECELL_DIRECTION_4</t>
  </si>
  <si>
    <t>DT_MIGO_0200_CHECK_TEXT_OF_TABLECELL_DIRECTION_8</t>
  </si>
  <si>
    <t>DT_MIGO_0200_CHECK_TEXT_OF_TABLECELL_DIRECTION_14_OCC1</t>
  </si>
  <si>
    <t>DT_MIGO_0200_CHECK_GETCELLVALUE_OF_GRIDCELL_0_DOCNR</t>
  </si>
  <si>
    <t>EN</t>
  </si>
  <si>
    <t>-</t>
  </si>
  <si>
    <t>DT_MIGO_0200_CHECK_TEXT_OF_TABLECELL_MOVEMENT_TYPE_2</t>
  </si>
  <si>
    <t>DT_MIGO_0200_CHECK_TEXT_OF_TABLECELL_DIRECTION_10</t>
  </si>
  <si>
    <t>DT_MIGO_0200_CHECK_TEXT_OF_TABLECELL_DIRECTION_14</t>
  </si>
  <si>
    <t>DT_MIGO_0200_CHECK_TEXT_OF_TABLECELL_MOVEMENT_TYPE_14_OCC1</t>
  </si>
  <si>
    <t>DT_MIGO_0200_CHECK_TEXT_OF_TABLECELL_MOVEMENT_TYPE_6</t>
  </si>
  <si>
    <t>DT_MIGO_0200_CHECK_TEXT_OF_TABLECELL_MOVEMENT_TYPE_10</t>
  </si>
  <si>
    <t>DT_MIGO_0200_SAPLMIGOTV_GOITEM_OCC1</t>
  </si>
  <si>
    <t>DT_MIGO_0200_CHECK_TEXT_OF_TABLECELL_DIRECTION_1</t>
  </si>
  <si>
    <t>DT_MIGO_0200_CHECK_TEXT_OF_TABLECELL_DIRECTION_5</t>
  </si>
  <si>
    <t>DT_MIGO_0200_CHECK_TEXT_OF_TABLECELL_MOVEMENT_TYPE_14</t>
  </si>
  <si>
    <t>DT_MIGO_0001_OKCD</t>
  </si>
  <si>
    <t>ROW_NUMBER</t>
  </si>
  <si>
    <t>AT_Test_Distribution process to DS stores - SW41 (Fresh meat)</t>
  </si>
  <si>
    <t>Fixed Data</t>
  </si>
  <si>
    <t>R1E - SAP RETAIL Pre-Production EUROPE</t>
  </si>
  <si>
    <t>DT_SAPPASSWORD</t>
  </si>
  <si>
    <t>A04</t>
  </si>
  <si>
    <t>DT_MIGO_0200_CHECK_TEXT_OF_TABLECELL_DIRECTION_9</t>
  </si>
  <si>
    <t>Login Information</t>
  </si>
  <si>
    <t>DT_SAPUSER</t>
  </si>
  <si>
    <t>2</t>
  </si>
  <si>
    <t>DT_MIGO_0200_CHECK_TEXT_OF_TABLECELL_MOVEMENT_TYPE_3</t>
  </si>
  <si>
    <t>DT_MIGO_0200_CHECK_TEXT_OF_TABLECELL_DIRECTION_11</t>
  </si>
  <si>
    <t>DT_MIGO_0200_CHECK_TEXT_OF_TABLECELL_DIRECTION_15</t>
  </si>
  <si>
    <t>DT_SAPCLIENT</t>
  </si>
  <si>
    <t>DT_MIGO_0200_CHECK_TEXT_OF_TABLECELL_MOVEMENT_TYPE_7</t>
  </si>
  <si>
    <t>DT_MIGO_0200_CHECK_TEXT_OF_TABLECELL_MOVEMENT_TYPE_11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</si>
</sst>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4" fillId="4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2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Distribution%20process%20to%20DS%20stores%20-%20SW41%20(Fresh%20meat)%20-%20p6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A16"/>
  <sheetViews>
    <sheetView topLeftCell="N1" workbookViewId="0">
      <selection activeCell="N2" sqref="N2"/>
    </sheetView>
  </sheetViews>
  <sheetFormatPr defaultColWidth="9.125" defaultRowHeight="14.25"/>
  <cols>
    <col min="1" max="1" width="15" style="9" customWidth="1"/>
    <col min="2" max="2" width="55.5" style="9" customWidth="1"/>
    <col min="3" max="3" width="38.875" style="9" customWidth="1"/>
    <col min="4" max="4" width="15" style="9" customWidth="1"/>
    <col min="5" max="5" width="13.625" style="9" customWidth="1"/>
    <col min="6" max="6" width="29.5" style="9" customWidth="1"/>
    <col min="7" max="7" width="18.625" style="9" customWidth="1"/>
    <col min="8" max="8" width="16.75" style="9" customWidth="1"/>
    <col min="9" max="9" width="27.125" style="9" customWidth="1"/>
    <col min="10" max="10" width="34" style="9" customWidth="1"/>
    <col min="11" max="12" width="36.25" style="9" customWidth="1"/>
    <col min="13" max="13" width="25.5" style="9" customWidth="1"/>
    <col min="14" max="14" width="62.875" style="9" customWidth="1"/>
    <col min="15" max="15" width="64" style="9" customWidth="1"/>
    <col min="16" max="16" width="57.25" style="9" customWidth="1"/>
    <col min="17" max="17" width="64" style="9" customWidth="1"/>
    <col min="18" max="18" width="57.25" style="9" customWidth="1"/>
    <col min="19" max="19" width="64" style="9" customWidth="1"/>
    <col min="20" max="20" width="57.25" style="9" customWidth="1"/>
    <col min="21" max="21" width="64" style="9" customWidth="1"/>
    <col min="22" max="22" width="57.25" style="9" customWidth="1"/>
    <col min="23" max="23" width="64" style="9" customWidth="1"/>
    <col min="24" max="24" width="57.25" style="9" customWidth="1"/>
    <col min="25" max="25" width="64" style="9" customWidth="1"/>
    <col min="26" max="26" width="57.25" style="9" customWidth="1"/>
    <col min="27" max="27" width="64" style="9" customWidth="1"/>
    <col min="28" max="28" width="57.25" style="9" customWidth="1"/>
    <col min="29" max="29" width="64" style="9" customWidth="1"/>
    <col min="30" max="30" width="57.25" style="9" customWidth="1"/>
    <col min="31" max="31" width="64" style="9" customWidth="1"/>
    <col min="32" max="32" width="57.25" style="9" customWidth="1"/>
    <col min="33" max="33" width="64" style="9" customWidth="1"/>
    <col min="34" max="34" width="57.25" style="9" customWidth="1"/>
    <col min="35" max="35" width="65" style="9" customWidth="1"/>
    <col min="36" max="36" width="58.375" style="9" customWidth="1"/>
    <col min="37" max="37" width="65" style="9" customWidth="1"/>
    <col min="38" max="38" width="58.375" style="9" customWidth="1"/>
    <col min="39" max="39" width="65" style="9" customWidth="1"/>
    <col min="40" max="40" width="58.375" style="9" customWidth="1"/>
    <col min="41" max="41" width="65" style="9" customWidth="1"/>
    <col min="42" max="42" width="58.375" style="9" customWidth="1"/>
    <col min="43" max="43" width="65" style="9" customWidth="1"/>
    <col min="44" max="44" width="58.375" style="9" customWidth="1"/>
    <col min="45" max="45" width="65" style="9" customWidth="1"/>
    <col min="46" max="46" width="58.375" style="9" customWidth="1"/>
    <col min="47" max="47" width="36.375" style="9" customWidth="1"/>
    <col min="48" max="48" width="42.875" style="9" customWidth="1"/>
    <col min="49" max="49" width="71.5" style="9" customWidth="1"/>
    <col min="50" max="50" width="64.75" style="9" customWidth="1"/>
    <col min="51" max="51" width="71.5" style="9" customWidth="1"/>
    <col min="52" max="52" width="64.75" style="9" customWidth="1"/>
    <col min="53" max="53" width="21.25" style="9" customWidth="1"/>
    <col min="54" max="16384" width="9.125" style="9" customWidth="1"/>
  </cols>
  <sheetData>
    <row r="1" ht="12.75" customHeight="1" customFormat="1">
      <c r="A1" t="s">
        <v>59</v>
      </c>
      <c r="B1" t="s">
        <v>35</v>
      </c>
      <c r="C1" t="s">
        <v>26</v>
      </c>
      <c r="D1" t="s">
        <v>72</v>
      </c>
      <c r="E1" t="s">
        <v>67</v>
      </c>
      <c r="F1" t="s">
        <v>63</v>
      </c>
      <c r="G1" t="s">
        <v>29</v>
      </c>
      <c r="H1" t="s">
        <v>30</v>
      </c>
      <c r="I1" t="s">
        <v>2</v>
      </c>
      <c r="J1" t="s">
        <v>9</v>
      </c>
      <c r="K1" t="s">
        <v>14</v>
      </c>
      <c r="L1" t="s">
        <v>7</v>
      </c>
      <c r="M1" t="s">
        <v>22</v>
      </c>
      <c r="N1" t="s">
        <v>45</v>
      </c>
      <c r="O1" t="s">
        <v>10</v>
      </c>
      <c r="P1" t="s">
        <v>41</v>
      </c>
      <c r="Q1" t="s">
        <v>31</v>
      </c>
      <c r="R1" t="s">
        <v>55</v>
      </c>
      <c r="S1" t="s">
        <v>48</v>
      </c>
      <c r="T1" t="s">
        <v>3</v>
      </c>
      <c r="U1" t="s">
        <v>69</v>
      </c>
      <c r="V1" t="s">
        <v>23</v>
      </c>
      <c r="W1" t="s">
        <v>15</v>
      </c>
      <c r="X1" t="s">
        <v>42</v>
      </c>
      <c r="Y1" t="s">
        <v>36</v>
      </c>
      <c r="Z1" t="s">
        <v>56</v>
      </c>
      <c r="AA1" t="s">
        <v>52</v>
      </c>
      <c r="AB1" t="s">
        <v>4</v>
      </c>
      <c r="AC1" t="s">
        <v>73</v>
      </c>
      <c r="AD1" t="s">
        <v>24</v>
      </c>
      <c r="AE1" t="s">
        <v>16</v>
      </c>
      <c r="AF1" t="s">
        <v>43</v>
      </c>
      <c r="AG1" t="s">
        <v>37</v>
      </c>
      <c r="AH1" t="s">
        <v>65</v>
      </c>
      <c r="AI1" t="s">
        <v>53</v>
      </c>
      <c r="AJ1" t="s">
        <v>49</v>
      </c>
      <c r="AK1" t="s">
        <v>74</v>
      </c>
      <c r="AL1" t="s">
        <v>70</v>
      </c>
      <c r="AM1" t="s">
        <v>17</v>
      </c>
      <c r="AN1" t="s">
        <v>12</v>
      </c>
      <c r="AO1" t="s">
        <v>38</v>
      </c>
      <c r="AP1" t="s">
        <v>32</v>
      </c>
      <c r="AQ1" t="s">
        <v>57</v>
      </c>
      <c r="AR1" t="s">
        <v>50</v>
      </c>
      <c r="AS1" t="s">
        <v>5</v>
      </c>
      <c r="AT1" t="s">
        <v>71</v>
      </c>
      <c r="AU1" t="s">
        <v>18</v>
      </c>
      <c r="AV1" t="s">
        <v>54</v>
      </c>
      <c r="AW1" t="s">
        <v>51</v>
      </c>
      <c r="AX1" t="s">
        <v>44</v>
      </c>
      <c r="AY1" t="s">
        <v>39</v>
      </c>
      <c r="AZ1" t="s">
        <v>33</v>
      </c>
      <c r="BA1" t="s">
        <v>58</v>
      </c>
    </row>
    <row r="2">
      <c r="A2" s="8">
        <v>1</v>
      </c>
      <c r="B2" s="8" t="s">
        <v>60</v>
      </c>
      <c r="C2" s="4" t="s">
        <v>62</v>
      </c>
      <c r="D2" s="4" t="s">
        <v>20</v>
      </c>
      <c r="E2" s="4" t="s">
        <v>0</v>
      </c>
      <c r="F2" s="18" t="s">
        <v>28</v>
      </c>
      <c r="G2" s="4" t="s">
        <v>46</v>
      </c>
      <c r="H2" s="4" t="s">
        <v>1</v>
      </c>
      <c r="I2" s="14" t="s">
        <v>21</v>
      </c>
      <c r="J2" s="5" t="s">
        <v>64</v>
      </c>
      <c r="K2" s="15">
        <v>0</v>
      </c>
      <c r="L2" s="19">
        <f ca="1" t="shared" si="0" ref="L2:L5">YEAR(TODAY())</f>
        <v>2025</v>
      </c>
      <c r="M2" s="5" t="s">
        <v>68</v>
      </c>
      <c r="N2" s="16" t="e">
        <f>[1]Output!A2</f>
        <v>#REF!</v>
      </c>
      <c r="O2" s="2">
        <v>647</v>
      </c>
      <c r="P2" s="2" t="s">
        <v>47</v>
      </c>
      <c r="Q2" s="2">
        <v>101</v>
      </c>
      <c r="R2" s="2" t="s">
        <v>11</v>
      </c>
      <c r="S2" s="2">
        <v>319</v>
      </c>
      <c r="T2" s="2" t="s">
        <v>47</v>
      </c>
      <c r="U2" s="2">
        <v>319</v>
      </c>
      <c r="V2" s="2" t="s">
        <v>11</v>
      </c>
      <c r="W2" s="2">
        <v>647</v>
      </c>
      <c r="X2" s="2" t="s">
        <v>47</v>
      </c>
      <c r="Y2" s="2">
        <v>101</v>
      </c>
      <c r="Z2" s="2" t="s">
        <v>11</v>
      </c>
      <c r="AA2" s="2">
        <v>647</v>
      </c>
      <c r="AB2" s="2" t="s">
        <v>47</v>
      </c>
      <c r="AC2" s="2">
        <v>101</v>
      </c>
      <c r="AD2" s="2" t="s">
        <v>11</v>
      </c>
      <c r="AE2" s="2">
        <v>319</v>
      </c>
      <c r="AF2" s="2" t="s">
        <v>47</v>
      </c>
      <c r="AG2" s="2">
        <v>319</v>
      </c>
      <c r="AH2" s="2" t="s">
        <v>11</v>
      </c>
      <c r="AI2" s="2">
        <v>647</v>
      </c>
      <c r="AJ2" s="2" t="s">
        <v>47</v>
      </c>
      <c r="AK2" s="2">
        <v>101</v>
      </c>
      <c r="AL2" s="2" t="s">
        <v>11</v>
      </c>
      <c r="AM2" s="2">
        <v>319</v>
      </c>
      <c r="AN2" s="2" t="s">
        <v>47</v>
      </c>
      <c r="AO2" s="2">
        <v>319</v>
      </c>
      <c r="AP2" s="2" t="s">
        <v>11</v>
      </c>
      <c r="AQ2" s="2">
        <v>647</v>
      </c>
      <c r="AR2" s="2" t="s">
        <v>47</v>
      </c>
      <c r="AS2" s="2">
        <v>101</v>
      </c>
      <c r="AT2" s="2" t="s">
        <v>11</v>
      </c>
      <c r="AU2" s="2">
        <v>101</v>
      </c>
      <c r="AV2" s="2">
        <v>101</v>
      </c>
      <c r="AW2" s="2">
        <v>101</v>
      </c>
      <c r="AX2" s="2" t="s">
        <v>11</v>
      </c>
      <c r="AY2" s="2">
        <v>102</v>
      </c>
      <c r="AZ2" s="2" t="s">
        <v>47</v>
      </c>
      <c r="BA2" s="20" t="s">
        <v>25</v>
      </c>
    </row>
    <row r="3">
      <c r="A3" s="8">
        <v>2</v>
      </c>
      <c r="B3" s="8" t="s">
        <v>60</v>
      </c>
      <c r="C3" s="4" t="s">
        <v>62</v>
      </c>
      <c r="D3" s="4" t="s">
        <v>20</v>
      </c>
      <c r="E3" s="4" t="s">
        <v>0</v>
      </c>
      <c r="F3" s="18" t="s">
        <v>28</v>
      </c>
      <c r="G3" s="4" t="s">
        <v>46</v>
      </c>
      <c r="H3" s="4" t="s">
        <v>1</v>
      </c>
      <c r="I3" s="14" t="s">
        <v>21</v>
      </c>
      <c r="J3" s="5" t="s">
        <v>64</v>
      </c>
      <c r="K3" s="6">
        <v>0</v>
      </c>
      <c r="L3" s="19">
        <f ca="1" t="shared" si="0"/>
        <v>2025</v>
      </c>
      <c r="M3" s="5" t="s">
        <v>68</v>
      </c>
      <c r="N3" s="16">
        <v>4900757190</v>
      </c>
      <c r="O3" s="2">
        <v>647</v>
      </c>
      <c r="P3" s="2" t="s">
        <v>47</v>
      </c>
      <c r="Q3" s="2">
        <v>101</v>
      </c>
      <c r="R3" s="2" t="s">
        <v>11</v>
      </c>
      <c r="S3" s="2">
        <v>319</v>
      </c>
      <c r="T3" s="2" t="s">
        <v>47</v>
      </c>
      <c r="U3" s="2">
        <v>319</v>
      </c>
      <c r="V3" s="2" t="s">
        <v>11</v>
      </c>
      <c r="W3" s="2">
        <v>647</v>
      </c>
      <c r="X3" s="2" t="s">
        <v>47</v>
      </c>
      <c r="Y3" s="2">
        <v>101</v>
      </c>
      <c r="Z3" s="2" t="s">
        <v>11</v>
      </c>
      <c r="AA3" s="2">
        <v>647</v>
      </c>
      <c r="AB3" s="2" t="s">
        <v>47</v>
      </c>
      <c r="AC3" s="2">
        <v>101</v>
      </c>
      <c r="AD3" s="2" t="s">
        <v>11</v>
      </c>
      <c r="AE3" s="2">
        <v>319</v>
      </c>
      <c r="AF3" s="2" t="s">
        <v>47</v>
      </c>
      <c r="AG3" s="2">
        <v>319</v>
      </c>
      <c r="AH3" s="2" t="s">
        <v>11</v>
      </c>
      <c r="AI3" s="2">
        <v>647</v>
      </c>
      <c r="AJ3" s="2" t="s">
        <v>47</v>
      </c>
      <c r="AK3" s="2">
        <v>101</v>
      </c>
      <c r="AL3" s="2" t="s">
        <v>11</v>
      </c>
      <c r="AM3" s="2">
        <v>319</v>
      </c>
      <c r="AN3" s="2" t="s">
        <v>47</v>
      </c>
      <c r="AO3" s="2">
        <v>319</v>
      </c>
      <c r="AP3" s="2" t="s">
        <v>11</v>
      </c>
      <c r="AQ3" s="2">
        <v>647</v>
      </c>
      <c r="AR3" s="2" t="s">
        <v>47</v>
      </c>
      <c r="AS3" s="2">
        <v>101</v>
      </c>
      <c r="AT3" s="2" t="s">
        <v>11</v>
      </c>
      <c r="AU3" s="2">
        <v>101</v>
      </c>
      <c r="AV3" s="2">
        <v>101</v>
      </c>
      <c r="AW3" s="2">
        <v>101</v>
      </c>
      <c r="AX3" s="2" t="s">
        <v>11</v>
      </c>
      <c r="AY3" s="2">
        <v>102</v>
      </c>
      <c r="AZ3" s="2" t="s">
        <v>47</v>
      </c>
      <c r="BA3" s="20" t="s">
        <v>25</v>
      </c>
    </row>
    <row r="4">
      <c r="A4" s="8">
        <v>3</v>
      </c>
      <c r="B4" s="8" t="s">
        <v>60</v>
      </c>
      <c r="C4" s="4" t="s">
        <v>62</v>
      </c>
      <c r="D4" s="4" t="s">
        <v>20</v>
      </c>
      <c r="E4" s="4" t="s">
        <v>0</v>
      </c>
      <c r="F4" s="18" t="s">
        <v>28</v>
      </c>
      <c r="G4" s="4" t="s">
        <v>46</v>
      </c>
      <c r="H4" s="4" t="s">
        <v>1</v>
      </c>
      <c r="I4" s="14" t="s">
        <v>21</v>
      </c>
      <c r="J4" s="5" t="s">
        <v>64</v>
      </c>
      <c r="K4" s="6">
        <v>3914223722</v>
      </c>
      <c r="L4" s="19">
        <f ca="1" t="shared" si="0"/>
        <v>2025</v>
      </c>
      <c r="M4" s="5" t="s">
        <v>68</v>
      </c>
      <c r="N4" s="16" t="e">
        <f>[1]Output!A4</f>
        <v>#REF!</v>
      </c>
      <c r="O4" s="2">
        <v>648</v>
      </c>
      <c r="P4" s="2" t="s">
        <v>11</v>
      </c>
      <c r="Q4" s="2">
        <v>648</v>
      </c>
      <c r="R4" s="2" t="s">
        <v>47</v>
      </c>
      <c r="S4" s="2">
        <v>101</v>
      </c>
      <c r="T4" s="2" t="s">
        <v>11</v>
      </c>
      <c r="U4" s="2">
        <v>319</v>
      </c>
      <c r="V4" s="2" t="s">
        <v>47</v>
      </c>
      <c r="W4" s="2">
        <v>647</v>
      </c>
      <c r="X4" s="2" t="s">
        <v>11</v>
      </c>
      <c r="Y4" s="2">
        <v>101</v>
      </c>
      <c r="Z4" s="2" t="s">
        <v>47</v>
      </c>
      <c r="AA4" s="2">
        <v>648</v>
      </c>
      <c r="AB4" s="2" t="s">
        <v>11</v>
      </c>
      <c r="AC4" s="2">
        <v>102</v>
      </c>
      <c r="AD4" s="2" t="s">
        <v>47</v>
      </c>
      <c r="AE4" s="2">
        <v>102</v>
      </c>
      <c r="AF4" s="2" t="s">
        <v>11</v>
      </c>
      <c r="AG4" s="2">
        <v>319</v>
      </c>
      <c r="AH4" s="2" t="s">
        <v>47</v>
      </c>
      <c r="AI4" s="2">
        <v>648</v>
      </c>
      <c r="AJ4" s="2" t="s">
        <v>11</v>
      </c>
      <c r="AK4" s="2">
        <v>102</v>
      </c>
      <c r="AL4" s="2" t="s">
        <v>47</v>
      </c>
      <c r="AM4" s="2">
        <v>648</v>
      </c>
      <c r="AN4" s="2" t="s">
        <v>47</v>
      </c>
      <c r="AO4" s="2">
        <v>648</v>
      </c>
      <c r="AP4" s="2" t="s">
        <v>11</v>
      </c>
      <c r="AQ4" s="2">
        <v>648</v>
      </c>
      <c r="AR4" s="2" t="s">
        <v>47</v>
      </c>
      <c r="AS4" s="2">
        <v>101</v>
      </c>
      <c r="AT4" s="2" t="s">
        <v>47</v>
      </c>
      <c r="AU4" s="2">
        <v>101</v>
      </c>
      <c r="AV4" s="2">
        <v>101</v>
      </c>
      <c r="AW4" s="2">
        <v>101</v>
      </c>
      <c r="AX4" s="2" t="s">
        <v>11</v>
      </c>
      <c r="AY4" s="2">
        <v>102</v>
      </c>
      <c r="AZ4" s="2" t="s">
        <v>47</v>
      </c>
      <c r="BA4" s="20" t="s">
        <v>25</v>
      </c>
    </row>
    <row r="5">
      <c r="A5" s="8">
        <v>4</v>
      </c>
      <c r="B5" s="8" t="s">
        <v>60</v>
      </c>
      <c r="C5" s="4" t="s">
        <v>62</v>
      </c>
      <c r="D5" s="4" t="s">
        <v>20</v>
      </c>
      <c r="E5" s="4" t="s">
        <v>0</v>
      </c>
      <c r="F5" s="18" t="s">
        <v>28</v>
      </c>
      <c r="G5" s="4" t="s">
        <v>46</v>
      </c>
      <c r="H5" s="4" t="s">
        <v>1</v>
      </c>
      <c r="I5" s="14" t="s">
        <v>21</v>
      </c>
      <c r="J5" s="5" t="s">
        <v>64</v>
      </c>
      <c r="K5" s="6">
        <v>3914223722</v>
      </c>
      <c r="L5" s="19">
        <f ca="1" t="shared" si="0"/>
        <v>2025</v>
      </c>
      <c r="M5" s="5" t="s">
        <v>68</v>
      </c>
      <c r="N5" s="16">
        <v>4902099236</v>
      </c>
      <c r="O5" s="2">
        <v>648</v>
      </c>
      <c r="P5" s="2" t="s">
        <v>11</v>
      </c>
      <c r="Q5" s="2">
        <v>648</v>
      </c>
      <c r="R5" s="2" t="s">
        <v>47</v>
      </c>
      <c r="S5" s="2">
        <v>101</v>
      </c>
      <c r="T5" s="2" t="s">
        <v>11</v>
      </c>
      <c r="U5" s="2">
        <v>319</v>
      </c>
      <c r="V5" s="2" t="s">
        <v>47</v>
      </c>
      <c r="W5" s="2">
        <v>647</v>
      </c>
      <c r="X5" s="2" t="s">
        <v>11</v>
      </c>
      <c r="Y5" s="2">
        <v>101</v>
      </c>
      <c r="Z5" s="2" t="s">
        <v>47</v>
      </c>
      <c r="AA5" s="2">
        <v>648</v>
      </c>
      <c r="AB5" s="2" t="s">
        <v>11</v>
      </c>
      <c r="AC5" s="2">
        <v>102</v>
      </c>
      <c r="AD5" s="2" t="s">
        <v>47</v>
      </c>
      <c r="AE5" s="2">
        <v>102</v>
      </c>
      <c r="AF5" s="2" t="s">
        <v>47</v>
      </c>
      <c r="AG5" s="2">
        <v>319</v>
      </c>
      <c r="AH5" s="2" t="s">
        <v>47</v>
      </c>
      <c r="AI5" s="2">
        <v>648</v>
      </c>
      <c r="AJ5" s="2" t="s">
        <v>47</v>
      </c>
      <c r="AK5" s="2">
        <v>648</v>
      </c>
      <c r="AL5" s="2" t="s">
        <v>11</v>
      </c>
      <c r="AM5" s="2">
        <v>648</v>
      </c>
      <c r="AN5" s="2" t="s">
        <v>47</v>
      </c>
      <c r="AO5" s="2">
        <v>648</v>
      </c>
      <c r="AP5" s="2" t="s">
        <v>11</v>
      </c>
      <c r="AQ5" s="2">
        <v>648</v>
      </c>
      <c r="AR5" s="2" t="s">
        <v>47</v>
      </c>
      <c r="AS5" s="2">
        <v>101</v>
      </c>
      <c r="AT5" s="2" t="s">
        <v>47</v>
      </c>
      <c r="AU5" s="2">
        <v>101</v>
      </c>
      <c r="AV5" s="2">
        <v>101</v>
      </c>
      <c r="AW5" s="2">
        <v>101</v>
      </c>
      <c r="AX5" s="2" t="s">
        <v>11</v>
      </c>
      <c r="AY5" s="2">
        <v>102</v>
      </c>
      <c r="AZ5" s="2" t="s">
        <v>47</v>
      </c>
      <c r="BA5" s="20" t="s">
        <v>25</v>
      </c>
    </row>
    <row r="6">
      <c r="A6" s="7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>
        <v>648</v>
      </c>
      <c r="P6" s="2" t="s">
        <v>11</v>
      </c>
      <c r="Q6" s="2">
        <v>102</v>
      </c>
      <c r="R6" s="2" t="s">
        <v>47</v>
      </c>
      <c r="S6" s="2">
        <v>320</v>
      </c>
      <c r="T6" s="2" t="s">
        <v>11</v>
      </c>
      <c r="U6" s="2">
        <v>320</v>
      </c>
      <c r="V6" s="2" t="s">
        <v>47</v>
      </c>
      <c r="W6" s="2">
        <v>648</v>
      </c>
      <c r="X6" s="2" t="s">
        <v>11</v>
      </c>
      <c r="Y6" s="2">
        <v>102</v>
      </c>
      <c r="Z6" s="2" t="s">
        <v>47</v>
      </c>
      <c r="AA6" s="2">
        <v>648</v>
      </c>
      <c r="AB6" s="2" t="s">
        <v>11</v>
      </c>
      <c r="AC6" s="2">
        <v>102</v>
      </c>
      <c r="AD6" s="2" t="s">
        <v>47</v>
      </c>
      <c r="AE6" s="2">
        <v>320</v>
      </c>
      <c r="AF6" s="2" t="s">
        <v>11</v>
      </c>
      <c r="AG6" s="2">
        <v>320</v>
      </c>
      <c r="AH6" s="2" t="s">
        <v>47</v>
      </c>
      <c r="AI6" s="2">
        <v>648</v>
      </c>
      <c r="AJ6" s="2" t="s">
        <v>11</v>
      </c>
      <c r="AK6" s="2">
        <v>102</v>
      </c>
      <c r="AL6" s="2" t="s">
        <v>47</v>
      </c>
      <c r="AM6" s="2">
        <v>320</v>
      </c>
      <c r="AN6" s="2" t="s">
        <v>11</v>
      </c>
      <c r="AO6" s="2">
        <v>320</v>
      </c>
      <c r="AP6" s="2" t="s">
        <v>47</v>
      </c>
      <c r="AQ6" s="2">
        <v>648</v>
      </c>
      <c r="AR6" s="2" t="s">
        <v>11</v>
      </c>
      <c r="AS6" s="2">
        <v>102</v>
      </c>
      <c r="AT6" s="2" t="s">
        <v>47</v>
      </c>
      <c r="AU6" s="2">
        <v>1</v>
      </c>
      <c r="AV6" s="2">
        <v>2</v>
      </c>
      <c r="AW6" s="2">
        <v>648</v>
      </c>
      <c r="AX6" s="2" t="s">
        <v>11</v>
      </c>
      <c r="AY6" s="2">
        <v>102</v>
      </c>
      <c r="AZ6" s="2" t="s">
        <v>47</v>
      </c>
      <c r="BA6" s="10"/>
    </row>
    <row r="7">
      <c r="A7" s="7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0"/>
    </row>
    <row r="8">
      <c r="A8" s="7"/>
      <c r="B8" s="7"/>
      <c r="C8" s="1"/>
      <c r="D8" s="1"/>
      <c r="E8" s="1"/>
      <c r="F8" s="1"/>
      <c r="G8" s="1"/>
      <c r="H8" s="1"/>
      <c r="I8" s="1"/>
      <c r="J8" s="1"/>
      <c r="K8" s="6">
        <v>4961355307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0"/>
    </row>
    <row r="9">
      <c r="A9" s="7"/>
      <c r="B9" s="7"/>
      <c r="C9" s="1"/>
      <c r="D9" s="1"/>
      <c r="E9" s="1"/>
      <c r="F9" s="1"/>
      <c r="G9" s="1"/>
      <c r="H9" s="1"/>
      <c r="I9" s="1"/>
      <c r="J9" s="1"/>
      <c r="K9" s="6">
        <v>4975779401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0"/>
    </row>
    <row r="10">
      <c r="A10" s="7"/>
      <c r="B10" s="4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0"/>
    </row>
    <row r="11">
      <c r="A11" s="7"/>
      <c r="B11" s="5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0"/>
    </row>
    <row r="12">
      <c r="A12" s="7"/>
      <c r="B12" s="13" t="s">
        <v>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0"/>
    </row>
    <row r="13">
      <c r="A13" s="7"/>
      <c r="B13" s="17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0"/>
    </row>
    <row r="14">
      <c r="A14" s="7"/>
      <c r="B14" s="12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0"/>
    </row>
    <row r="15">
      <c r="A15" s="7"/>
      <c r="B15" s="2" t="s">
        <v>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0"/>
    </row>
    <row r="16">
      <c r="A16" s="7"/>
      <c r="B16" s="11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34</v>
      </c>
      <c r="B1" t="s">
        <v>6</v>
      </c>
    </row>
    <row r="2">
      <c r="A2" s="1"/>
      <c r="B2" s="10">
        <v>4900000137</v>
      </c>
    </row>
    <row r="3">
      <c r="A3" s="1"/>
      <c r="B3" s="10"/>
    </row>
    <row r="4">
      <c r="A4" s="1"/>
      <c r="B4" s="10">
        <v>4900757210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