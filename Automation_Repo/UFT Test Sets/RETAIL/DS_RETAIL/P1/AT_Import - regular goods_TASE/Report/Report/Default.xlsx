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DataTransfer 2" sheetId="3" r:id="rId3"/>
    <sheet name="TC1_Test_Import Regular goodsP1" sheetId="4" r:id="rId4"/>
    <sheet name="TC2_Test_Import Regular goodsP2" sheetId="5" r:id="rId5"/>
    <sheet name="TC3_Test_Import Regular goodsP3" sheetId="6" r:id="rId6"/>
    <sheet name="TC4_Test_Import Regular goodsP4" sheetId="7" r:id="rId7"/>
    <sheet name="DataTransfer 1" sheetId="8" r:id="rId8"/>
    <sheet name="AT {{1}RunTimeResultFolderC..00" sheetId="9" r:id="rId9"/>
  </sheets>
  <externalReferences>
    <externalReference r:id="rId13"/>
  </externalReferences>
  <calcPr calcId="40001"/>
</workbook>
</file>

<file path=xl/sharedStrings.xml><?xml version="1.0" encoding="utf-8"?>
<sst xmlns="http://schemas.openxmlformats.org/spreadsheetml/2006/main" uniqueCount="81">
  <si>
    <t/>
  </si>
  <si>
    <t>DT_SAPTRANSACTIONCODE</t>
  </si>
  <si>
    <t>DT_MIRO_0010_AMOUNT</t>
  </si>
  <si>
    <t>DT_MIRO_6020_RM08MREFERENZBELEGTYP</t>
  </si>
  <si>
    <t>301</t>
  </si>
  <si>
    <t>15</t>
  </si>
  <si>
    <t>Display Document: Data Entry View</t>
  </si>
  <si>
    <t>DT_MIRO_6000_CHECK_TEXT_OF_BALANCE_OUTPUT</t>
  </si>
  <si>
    <t>Logon Information</t>
  </si>
  <si>
    <t>RSD</t>
  </si>
  <si>
    <t>DT_MIRO_0010_AMOUNT_OCC1</t>
  </si>
  <si>
    <t>R10</t>
  </si>
  <si>
    <t>DT_MIRO_0001_CHECK_MESSAGEPARAMETER_OF_STATUSBAR_OUTPUT</t>
  </si>
  <si>
    <t>Fix</t>
  </si>
  <si>
    <t>5fb4f98a2b77149c24843022cefbb72c35ded6a1a816</t>
  </si>
  <si>
    <t>DT_MIRO_0010_REFERENCE</t>
  </si>
  <si>
    <t>DT_MIRO_6211_RM08MEBELN</t>
  </si>
  <si>
    <t>DT_MIRO_6310_TABLECELL_TAX_CODE_0</t>
  </si>
  <si>
    <t>DT_MIRO_6000_CHECK_TEXT_OF_BALANCE</t>
  </si>
  <si>
    <t>Input Value</t>
  </si>
  <si>
    <t>DT_MIRO_0010_POSTING_DATE</t>
  </si>
  <si>
    <t>DT_MIRO_0010_CALCULATE_TAX</t>
  </si>
  <si>
    <t>DT_MIRO_6000_CHECK_TEXT_OF_BALANCE_OCC1</t>
  </si>
  <si>
    <t>DT_MIRO_6000_CHECK_TEXT_OF_STATUSBAR</t>
  </si>
  <si>
    <t>DT_MIRO_0010_GODYNPROREFDOC</t>
  </si>
  <si>
    <t>SW32</t>
  </si>
  <si>
    <t>DT_MIRO_0010_GODYNPROACTION_OCC1</t>
  </si>
  <si>
    <t>Formulas</t>
  </si>
  <si>
    <t>Data from other test</t>
  </si>
  <si>
    <t>200</t>
  </si>
  <si>
    <t>0,00%space%</t>
  </si>
  <si>
    <t>MIGO</t>
  </si>
  <si>
    <t>DT_MIRO_0390_ARTICLE</t>
  </si>
  <si>
    <t>01</t>
  </si>
  <si>
    <t>DT_MIRO_0001_CHECK_MESSAGEPARAMETER_OF_STATUSBAR</t>
  </si>
  <si>
    <t>DT_SAPSYSTEM</t>
  </si>
  <si>
    <t>DT_MIRO_6000_CHECK_MESSAGEPARAMETER_OF_STATUSBAR</t>
  </si>
  <si>
    <t>DT_MIRO_0390_SITE</t>
  </si>
  <si>
    <t>DT_SAPLANGUAGE</t>
  </si>
  <si>
    <t>DT_SAPOPTIONS</t>
  </si>
  <si>
    <t>DT_MIRO_6211_RM08MXWARE_BNK</t>
  </si>
  <si>
    <t>DT_MIRO_0390_GOITEMUMNAME1</t>
  </si>
  <si>
    <t>DT_MIRO_0100_DOC_INFO</t>
  </si>
  <si>
    <t>SCENARIO</t>
  </si>
  <si>
    <t>DT_MIRO_0390_STOR_LOC</t>
  </si>
  <si>
    <t>DT_MIRO_0010_INVOICE_DATE</t>
  </si>
  <si>
    <t>DT_MIRO_0112_DOCUMENT_DATE</t>
  </si>
  <si>
    <t>DT_MIRO_0750_CHECK_TEXT_OF_TITL</t>
  </si>
  <si>
    <t>EN</t>
  </si>
  <si>
    <t>MIRO</t>
  </si>
  <si>
    <t>1</t>
  </si>
  <si>
    <t>DT_MIRO_0010_GODYNPROACTION</t>
  </si>
  <si>
    <t>DT_MIRO_0112_POSTING_DATE</t>
  </si>
  <si>
    <t>Import - regular goods_p4</t>
  </si>
  <si>
    <t>Execution Data</t>
  </si>
  <si>
    <t>AUTOFDS</t>
  </si>
  <si>
    <t>DT_TRANSFER_P2P</t>
  </si>
  <si>
    <t>=AL2</t>
  </si>
  <si>
    <t>DT_MIRO_1000_COMPANY_CODE</t>
  </si>
  <si>
    <t>RS01</t>
  </si>
  <si>
    <t>true</t>
  </si>
  <si>
    <t>DT_MIRO_2010_GODYNPROMAT_DOC</t>
  </si>
  <si>
    <t>DT_MIRO_6000_CHECK_MESSAGEPARAMETER_OF_STATUSBAR_OUTPUT</t>
  </si>
  <si>
    <t>R1E - SAP RETAIL Pre-Production EUROPE</t>
  </si>
  <si>
    <t>DT_SAPPASSWORD</t>
  </si>
  <si>
    <t>A08</t>
  </si>
  <si>
    <t>DT_MIRO_0001_CHECK_TEXT_OF_STATUSBAR</t>
  </si>
  <si>
    <t>A04</t>
  </si>
  <si>
    <t>61,45-</t>
  </si>
  <si>
    <t>ROW</t>
  </si>
  <si>
    <t>Checks</t>
  </si>
  <si>
    <t>Output Value</t>
  </si>
  <si>
    <t>DT_SAPUSER</t>
  </si>
  <si>
    <t>2</t>
  </si>
  <si>
    <t>DT_MIRO_6310_TABLECELL__0</t>
  </si>
  <si>
    <t>DT_MIRO_0390_QTY_IN_UNE</t>
  </si>
  <si>
    <t>DT_SAPCLIENT</t>
  </si>
  <si>
    <t>QG</t>
  </si>
  <si>
    <t>DT_MIRO_6000_OKCD</t>
  </si>
  <si>
    <t>SW31</t>
  </si>
  <si>
    <t>DT_MIRO_0390_GOITEMUMLGOBE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</si>
</sst>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4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7" borderId="1" xfId="0" applyNumberForma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1" fillId="0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Import%20-%20regular%20goods_p4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Q11"/>
  <sheetViews>
    <sheetView topLeftCell="H1" workbookViewId="0">
      <selection activeCell="H2" sqref="H2"/>
    </sheetView>
  </sheetViews>
  <sheetFormatPr defaultColWidth="9.125" defaultRowHeight="14.25"/>
  <cols>
    <col min="1" max="1" width="9.125" style="13" customWidth="1"/>
    <col min="2" max="2" width="24.125" style="13" customWidth="1"/>
    <col min="3" max="3" width="38.125" style="13" customWidth="1"/>
    <col min="4" max="4" width="15" style="13" customWidth="1"/>
    <col min="5" max="5" width="13.625" style="13" customWidth="1"/>
    <col min="6" max="6" width="23.5" style="13" customWidth="1"/>
    <col min="7" max="7" width="18.625" style="13" customWidth="1"/>
    <col min="8" max="8" width="16.75" style="13" customWidth="1"/>
    <col min="9" max="9" width="27.125" style="13" customWidth="1"/>
    <col min="10" max="10" width="30.875" style="13" customWidth="1"/>
    <col min="11" max="11" width="29" style="13" customWidth="1"/>
    <col min="12" max="12" width="26.875" style="13" customWidth="1"/>
    <col min="13" max="13" width="29.875" style="13" customWidth="1"/>
    <col min="14" max="14" width="23.5" style="13" customWidth="1"/>
    <col min="15" max="15" width="41.75" style="13" customWidth="1"/>
    <col min="16" max="16" width="33.375" style="13" customWidth="1"/>
    <col min="17" max="17" width="37.875" style="13" customWidth="1"/>
    <col min="18" max="18" width="28.875" style="13" customWidth="1"/>
    <col min="19" max="19" width="38.75" style="13" customWidth="1"/>
    <col min="20" max="20" width="30.875" style="13" customWidth="1"/>
    <col min="21" max="21" width="40.625" style="13" customWidth="1"/>
    <col min="22" max="22" width="29.375" style="13" customWidth="1"/>
    <col min="23" max="23" width="46.5" style="13" customWidth="1"/>
    <col min="24" max="24" width="59.5" style="13" customWidth="1"/>
    <col min="25" max="25" width="43.5" style="13" customWidth="1"/>
    <col min="26" max="26" width="20.5" style="13" customWidth="1"/>
    <col min="27" max="27" width="33.125" style="13" customWidth="1"/>
    <col min="28" max="29" width="33.875" style="13" customWidth="1"/>
    <col min="30" max="30" width="23.25" style="13" customWidth="1"/>
    <col min="31" max="31" width="19.625" style="13" customWidth="1"/>
    <col min="32" max="32" width="25.25" style="13" customWidth="1"/>
    <col min="33" max="33" width="32" style="13" customWidth="1"/>
    <col min="34" max="34" width="31.75" style="13" customWidth="1"/>
    <col min="35" max="35" width="27.125" style="13" customWidth="1"/>
    <col min="36" max="36" width="32.25" style="13" customWidth="1"/>
    <col min="37" max="37" width="29.875" style="13" customWidth="1"/>
    <col min="38" max="38" width="59.5" style="13" customWidth="1"/>
    <col min="39" max="39" width="43.5" style="13" customWidth="1"/>
    <col min="40" max="40" width="39" style="13" customWidth="1"/>
    <col min="41" max="41" width="35.125" style="13" customWidth="1"/>
    <col min="42" max="42" width="24.875" style="13" customWidth="1"/>
    <col min="43" max="43" width="36" style="13" customWidth="1"/>
    <col min="44" max="16384" width="9.125" style="13" customWidth="1"/>
  </cols>
  <sheetData>
    <row r="1" ht="12.75" customHeight="1" customFormat="1">
      <c r="A1" t="s">
        <v>69</v>
      </c>
      <c r="B1" t="s">
        <v>43</v>
      </c>
      <c r="C1" t="s">
        <v>35</v>
      </c>
      <c r="D1" t="s">
        <v>76</v>
      </c>
      <c r="E1" t="s">
        <v>72</v>
      </c>
      <c r="F1" t="s">
        <v>64</v>
      </c>
      <c r="G1" t="s">
        <v>38</v>
      </c>
      <c r="H1" t="s">
        <v>39</v>
      </c>
      <c r="I1" t="s">
        <v>1</v>
      </c>
      <c r="J1" t="s">
        <v>58</v>
      </c>
      <c r="K1" t="s">
        <v>45</v>
      </c>
      <c r="L1" t="s">
        <v>15</v>
      </c>
      <c r="M1" t="s">
        <v>20</v>
      </c>
      <c r="N1" t="s">
        <v>2</v>
      </c>
      <c r="O1" t="s">
        <v>3</v>
      </c>
      <c r="P1" t="s">
        <v>40</v>
      </c>
      <c r="Q1" t="s">
        <v>16</v>
      </c>
      <c r="R1" t="s">
        <v>74</v>
      </c>
      <c r="S1" t="s">
        <v>17</v>
      </c>
      <c r="T1" t="s">
        <v>21</v>
      </c>
      <c r="U1" t="s">
        <v>18</v>
      </c>
      <c r="V1" t="s">
        <v>10</v>
      </c>
      <c r="W1" t="s">
        <v>22</v>
      </c>
      <c r="X1" t="s">
        <v>36</v>
      </c>
      <c r="Y1" t="s">
        <v>23</v>
      </c>
      <c r="Z1" t="s">
        <v>78</v>
      </c>
      <c r="AA1" t="s">
        <v>51</v>
      </c>
      <c r="AB1" t="s">
        <v>24</v>
      </c>
      <c r="AC1" t="s">
        <v>56</v>
      </c>
      <c r="AD1" t="s">
        <v>32</v>
      </c>
      <c r="AE1" t="s">
        <v>37</v>
      </c>
      <c r="AF1" t="s">
        <v>44</v>
      </c>
      <c r="AG1" t="s">
        <v>41</v>
      </c>
      <c r="AH1" t="s">
        <v>80</v>
      </c>
      <c r="AI1" t="s">
        <v>75</v>
      </c>
      <c r="AJ1" t="s">
        <v>46</v>
      </c>
      <c r="AK1" t="s">
        <v>52</v>
      </c>
      <c r="AL1" t="s">
        <v>34</v>
      </c>
      <c r="AM1" t="s">
        <v>66</v>
      </c>
      <c r="AN1" t="s">
        <v>26</v>
      </c>
      <c r="AO1" t="s">
        <v>61</v>
      </c>
      <c r="AP1" t="s">
        <v>42</v>
      </c>
      <c r="AQ1" t="s">
        <v>47</v>
      </c>
    </row>
    <row r="2">
      <c r="A2" s="8">
        <v>1</v>
      </c>
      <c r="B2" s="8" t="s">
        <v>53</v>
      </c>
      <c r="C2" s="4" t="s">
        <v>63</v>
      </c>
      <c r="D2" s="4" t="s">
        <v>29</v>
      </c>
      <c r="E2" s="4" t="s">
        <v>55</v>
      </c>
      <c r="F2" s="4" t="s">
        <v>14</v>
      </c>
      <c r="G2" s="4" t="s">
        <v>48</v>
      </c>
      <c r="H2" s="4" t="s">
        <v>0</v>
      </c>
      <c r="I2" s="2" t="s">
        <v>49</v>
      </c>
      <c r="J2" s="2" t="s">
        <v>59</v>
      </c>
      <c r="K2" s="7">
        <f ca="1">TODAY()</f>
        <v>45958</v>
      </c>
      <c r="L2" s="2">
        <f ca="1">RANDBETWEEN(10000,99999)</f>
        <v>95135</v>
      </c>
      <c r="M2" s="7">
        <f ca="1">TODAY()</f>
        <v>45958</v>
      </c>
      <c r="N2" s="2" t="s">
        <v>9</v>
      </c>
      <c r="O2" s="3" t="s">
        <v>50</v>
      </c>
      <c r="P2" s="3" t="s">
        <v>73</v>
      </c>
      <c r="Q2" s="12">
        <v>4309530070</v>
      </c>
      <c r="R2" s="3" t="s">
        <v>60</v>
      </c>
      <c r="S2" s="2" t="s">
        <v>77</v>
      </c>
      <c r="T2" s="3" t="s">
        <v>60</v>
      </c>
      <c r="U2" s="9" t="e">
        <f>[1]Output!A2</f>
        <v>#REF!</v>
      </c>
      <c r="V2" s="11" t="e">
        <f>SUBSTITUTE(U2,"-","")</f>
        <v>#REF!</v>
      </c>
      <c r="W2" s="6" t="s">
        <v>30</v>
      </c>
      <c r="X2" s="9" t="e">
        <f>[1]Output!B2</f>
        <v>#REF!</v>
      </c>
      <c r="Y2" s="6" t="e">
        <f>"Document no. "&amp;X2&amp;" created"</f>
        <v>#REF!</v>
      </c>
      <c r="Z2" s="2" t="s">
        <v>31</v>
      </c>
      <c r="AA2" s="3" t="s">
        <v>65</v>
      </c>
      <c r="AB2" s="3" t="s">
        <v>11</v>
      </c>
      <c r="AC2" s="3" t="s">
        <v>4</v>
      </c>
      <c r="AD2" s="2">
        <v>7194890</v>
      </c>
      <c r="AE2" s="2" t="s">
        <v>25</v>
      </c>
      <c r="AF2" s="2" t="s">
        <v>33</v>
      </c>
      <c r="AG2" s="2" t="s">
        <v>79</v>
      </c>
      <c r="AH2" s="2" t="s">
        <v>33</v>
      </c>
      <c r="AI2" s="2" t="s">
        <v>5</v>
      </c>
      <c r="AJ2" s="7">
        <f ca="1" t="shared" si="0" ref="AJ2:AK2">TODAY()</f>
        <v>45958</v>
      </c>
      <c r="AK2" s="7">
        <f ca="1" t="shared" si="0"/>
        <v>45958</v>
      </c>
      <c r="AL2" s="9" t="e">
        <f>[1]Output!C2</f>
        <v>#REF!</v>
      </c>
      <c r="AM2" s="6" t="e">
        <f>"Article document "&amp;AL2&amp;" posted"</f>
        <v>#REF!</v>
      </c>
      <c r="AN2" s="3" t="s">
        <v>67</v>
      </c>
      <c r="AO2" s="14" t="s">
        <v>57</v>
      </c>
      <c r="AP2" s="3" t="s">
        <v>73</v>
      </c>
      <c r="AQ2" s="15" t="s">
        <v>6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0"/>
    </row>
    <row r="4">
      <c r="A4" s="1"/>
      <c r="B4" s="4" t="s">
        <v>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0"/>
    </row>
    <row r="5">
      <c r="A5" s="1"/>
      <c r="B5" s="11" t="s">
        <v>27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0"/>
    </row>
    <row r="6">
      <c r="A6" s="1"/>
      <c r="B6" s="6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0"/>
    </row>
    <row r="7">
      <c r="A7" s="1"/>
      <c r="B7" s="16" t="s">
        <v>13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0"/>
    </row>
    <row r="8">
      <c r="A8" s="1"/>
      <c r="B8" s="17" t="s">
        <v>71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0"/>
    </row>
    <row r="9">
      <c r="A9" s="1"/>
      <c r="B9" s="2" t="s">
        <v>19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0"/>
    </row>
    <row r="10">
      <c r="A10" s="1"/>
      <c r="B10" s="12" t="s">
        <v>28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0"/>
    </row>
    <row r="11">
      <c r="A11" s="1"/>
      <c r="B11" s="8" t="s">
        <v>54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0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1" width="50.875" style="13" customWidth="1"/>
    <col min="2" max="2" width="69" style="13" customWidth="1"/>
    <col min="3" max="16384" width="9.125" style="13" customWidth="1"/>
  </cols>
  <sheetData>
    <row r="1" ht="12.75" customHeight="1" customFormat="1">
      <c r="A1" t="s">
        <v>7</v>
      </c>
      <c r="B1" t="s">
        <v>62</v>
      </c>
      <c r="C1" t="s">
        <v>12</v>
      </c>
    </row>
    <row r="2">
      <c r="A2" s="1" t="s">
        <v>68</v>
      </c>
      <c r="B2" s="1">
        <v>6056580218</v>
      </c>
      <c r="C2" s="10">
        <v>3903439738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