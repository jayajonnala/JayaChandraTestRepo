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Regulr prchasngSW31 p1" sheetId="3" r:id="rId3"/>
    <sheet name="DataTransfer 1" sheetId="4" r:id="rId4"/>
    <sheet name="TC2_Test_RegulrPurchasngSW31 p2" sheetId="5" r:id="rId5"/>
    <sheet name="Data Transfer 2" sheetId="6" r:id="rId6"/>
    <sheet name="TC3_Test_Regulr PurchasngSW31p3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<sst xmlns="http://schemas.openxmlformats.org/spreadsheetml/2006/main" uniqueCount="68">
  <si>
    <t/>
  </si>
  <si>
    <t>DT_SAPTRANSACTIONCODE</t>
  </si>
  <si>
    <t>DT_MIRO_0010_REFERENCE1</t>
  </si>
  <si>
    <t>DT_MIRO_6020_RM08MREFERENZBELEGTYP</t>
  </si>
  <si>
    <t>FK123/104_38</t>
  </si>
  <si>
    <t>DT_MIRO_0010_AMOUNT</t>
  </si>
  <si>
    <t>Display Document: Data Entry View</t>
  </si>
  <si>
    <t>DT_ME23N_0110_DELIVERY_NOTE</t>
  </si>
  <si>
    <t>DT_DOC_NUMBER_OUTPUT</t>
  </si>
  <si>
    <t>Logon Information</t>
  </si>
  <si>
    <t>5fd9075e14eb72dde9d5201adc1b50845f3da04a842b</t>
  </si>
  <si>
    <t>FK123/103_81</t>
  </si>
  <si>
    <t>DT_MIRO_6150_FISCAL_YEAR</t>
  </si>
  <si>
    <t>FK123/101_6</t>
  </si>
  <si>
    <t>AT_2.3.1 Returns from DC - CC RS01</t>
  </si>
  <si>
    <t>Fix</t>
  </si>
  <si>
    <t>5fb4f98a2b77149c24843022cefbb72c35ded6a1a816</t>
  </si>
  <si>
    <t>DT_MIRO_0010_REFERENCE</t>
  </si>
  <si>
    <t>DT_MIRO_6000_CHECK_TEXT_OF_BALANCE</t>
  </si>
  <si>
    <t>DT_MIRO_BALANCE_OUTPUT</t>
  </si>
  <si>
    <t>Regular purchasing in SW31 dry goods_p3</t>
  </si>
  <si>
    <t>Input Value</t>
  </si>
  <si>
    <t>DT_MIRO_0010_POSTING_DATE</t>
  </si>
  <si>
    <t>DT_MIRO_0010_CALCULATE_TAX</t>
  </si>
  <si>
    <t>DT_MIRO_6000_CHECK_TEXT_OF_BALANCE_OCC1</t>
  </si>
  <si>
    <t>DT_MIRO_6000_CHECK_TEXT_OF_STATUSBAR</t>
  </si>
  <si>
    <t>Purchasing  - Storno in reversal order SW31 dry goods</t>
  </si>
  <si>
    <t>Formulas</t>
  </si>
  <si>
    <t>Data from other test</t>
  </si>
  <si>
    <t>200</t>
  </si>
  <si>
    <t>ON</t>
  </si>
  <si>
    <t>DT_SAPSYSTEM</t>
  </si>
  <si>
    <t>0,00</t>
  </si>
  <si>
    <t>DT_MIRO_6000_CHECK_MESSAGEPARAMETER_OF_STATUSBAR</t>
  </si>
  <si>
    <t>DT_MIRO_6150_INVOICE_DOCUMENT_NO</t>
  </si>
  <si>
    <t>DT_SAPLANGUAGE</t>
  </si>
  <si>
    <t>DT_SAPOPTIONS</t>
  </si>
  <si>
    <t>SCENARIO</t>
  </si>
  <si>
    <t>FK123/101_475</t>
  </si>
  <si>
    <t>DT_MIRO_0010_INVOICE_DATE</t>
  </si>
  <si>
    <t>DT_MIRO_0750_CHECK_TEXT_OF_TITL</t>
  </si>
  <si>
    <t>1.990,30-</t>
  </si>
  <si>
    <t>AUTOFICO</t>
  </si>
  <si>
    <t>EN</t>
  </si>
  <si>
    <t>MIRO</t>
  </si>
  <si>
    <t>DT_MIRO_6212_RM08MLFSNR</t>
  </si>
  <si>
    <t>AUTOFDS</t>
  </si>
  <si>
    <t>MIR4</t>
  </si>
  <si>
    <t>DT_MIRO_1000_COMPANY_CODE</t>
  </si>
  <si>
    <t>RS01</t>
  </si>
  <si>
    <t>FK123/102_102</t>
  </si>
  <si>
    <t>FK123/104_33</t>
  </si>
  <si>
    <t>true</t>
  </si>
  <si>
    <t>2.160.377,86-</t>
  </si>
  <si>
    <t>R1E - SAP RETAIL Pre-Production EUROPE</t>
  </si>
  <si>
    <t>DT_SAPPASSWORD</t>
  </si>
  <si>
    <t>100.953,22-</t>
  </si>
  <si>
    <t>ROW</t>
  </si>
  <si>
    <t>Checks</t>
  </si>
  <si>
    <t>Output Value</t>
  </si>
  <si>
    <t>DT_SAPUSER</t>
  </si>
  <si>
    <t>2</t>
  </si>
  <si>
    <t>DT_MIRO_6310_TABLECELL__0</t>
  </si>
  <si>
    <t>1.554.768,00-</t>
  </si>
  <si>
    <t>DT_SAPCLIENT</t>
  </si>
  <si>
    <t>57b212a9bfc19b3b2cced31e</t>
  </si>
  <si>
    <t>DT_MIRO_6000_OKCD</t>
  </si>
  <si>
    <t>720.000,00-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</si>
</sst>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indexed="12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6948242187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165" fontId="1" fillId="3" borderId="1" xfId="0" applyNumberFormat="1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4" fillId="0" borderId="2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4" borderId="1" xfId="0" quotePrefix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Regular%20purchasing%20in%20SW31%20dry%20goods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topLeftCell="M1" workbookViewId="0">
      <selection activeCell="M2" sqref="M2"/>
    </sheetView>
  </sheetViews>
  <sheetFormatPr defaultColWidth="9.125" defaultRowHeight="14.25"/>
  <cols>
    <col min="1" max="1" width="9.125" style="7" customWidth="1"/>
    <col min="2" max="2" width="47.125" style="7" customWidth="1"/>
    <col min="3" max="3" width="38.125" style="7" customWidth="1"/>
    <col min="4" max="4" width="15" style="7" customWidth="1"/>
    <col min="5" max="5" width="13.625" style="7" customWidth="1"/>
    <col min="6" max="6" width="24.5" style="7" customWidth="1"/>
    <col min="7" max="7" width="18.625" style="7" customWidth="1"/>
    <col min="8" max="8" width="16.75" style="7" customWidth="1"/>
    <col min="9" max="9" width="27.125" style="7" customWidth="1"/>
    <col min="10" max="10" width="30.875" style="7" customWidth="1"/>
    <col min="11" max="12" width="29" style="7" customWidth="1"/>
    <col min="13" max="13" width="26.875" style="7" customWidth="1"/>
    <col min="14" max="14" width="29.875" style="7" customWidth="1"/>
    <col min="15" max="15" width="41.75" style="7" customWidth="1"/>
    <col min="16" max="16" width="27.875" style="7" customWidth="1"/>
    <col min="17" max="17" width="30.875" style="7" customWidth="1"/>
    <col min="18" max="18" width="40.625" style="7" customWidth="1"/>
    <col min="19" max="19" width="23.75" style="7" customWidth="1"/>
    <col min="20" max="20" width="46.5" style="7" customWidth="1"/>
    <col min="21" max="21" width="28.875" style="7" customWidth="1"/>
    <col min="22" max="22" width="59.5" style="7" customWidth="1"/>
    <col min="23" max="23" width="43.5" style="7" customWidth="1"/>
    <col min="24" max="25" width="20.5" style="7" customWidth="1"/>
    <col min="26" max="26" width="27.875" style="7" customWidth="1"/>
    <col min="27" max="27" width="36" style="7" customWidth="1"/>
    <col min="28" max="28" width="32.25" style="12" customWidth="1"/>
    <col min="29" max="16384" width="9.125" style="7" customWidth="1"/>
  </cols>
  <sheetData>
    <row r="1" ht="12.75" customHeight="1" customFormat="1">
      <c r="A1" t="s">
        <v>57</v>
      </c>
      <c r="B1" t="s">
        <v>37</v>
      </c>
      <c r="C1" t="s">
        <v>31</v>
      </c>
      <c r="D1" t="s">
        <v>64</v>
      </c>
      <c r="E1" t="s">
        <v>60</v>
      </c>
      <c r="F1" t="s">
        <v>55</v>
      </c>
      <c r="G1" t="s">
        <v>35</v>
      </c>
      <c r="H1" t="s">
        <v>36</v>
      </c>
      <c r="I1" t="s">
        <v>1</v>
      </c>
      <c r="J1" t="s">
        <v>48</v>
      </c>
      <c r="K1" t="s">
        <v>39</v>
      </c>
      <c r="L1" t="s">
        <v>17</v>
      </c>
      <c r="M1" t="s">
        <v>2</v>
      </c>
      <c r="N1" t="s">
        <v>22</v>
      </c>
      <c r="O1" t="s">
        <v>3</v>
      </c>
      <c r="P1" t="s">
        <v>45</v>
      </c>
      <c r="Q1" t="s">
        <v>23</v>
      </c>
      <c r="R1" t="s">
        <v>18</v>
      </c>
      <c r="S1" t="s">
        <v>5</v>
      </c>
      <c r="T1" t="s">
        <v>24</v>
      </c>
      <c r="U1" t="s">
        <v>62</v>
      </c>
      <c r="V1" t="s">
        <v>33</v>
      </c>
      <c r="W1" t="s">
        <v>25</v>
      </c>
      <c r="X1" t="s">
        <v>66</v>
      </c>
      <c r="Y1" t="s">
        <v>34</v>
      </c>
      <c r="Z1" t="s">
        <v>12</v>
      </c>
      <c r="AA1" t="s">
        <v>40</v>
      </c>
      <c r="AB1" t="s">
        <v>7</v>
      </c>
    </row>
    <row r="2" s="7" customFormat="1">
      <c r="A2" s="1">
        <v>1</v>
      </c>
      <c r="B2" s="1" t="s">
        <v>20</v>
      </c>
      <c r="C2" s="2" t="s">
        <v>54</v>
      </c>
      <c r="D2" s="2" t="s">
        <v>29</v>
      </c>
      <c r="E2" s="2" t="s">
        <v>46</v>
      </c>
      <c r="F2" s="2" t="s">
        <v>16</v>
      </c>
      <c r="G2" s="2" t="s">
        <v>43</v>
      </c>
      <c r="H2" s="2" t="s">
        <v>0</v>
      </c>
      <c r="I2" s="3" t="s">
        <v>44</v>
      </c>
      <c r="J2" s="3" t="s">
        <v>49</v>
      </c>
      <c r="K2" s="8">
        <f ca="1" t="shared" si="0" ref="K2:K6">TODAY()</f>
        <v>45958</v>
      </c>
      <c r="L2" s="1">
        <f ca="1" t="shared" si="1" ref="L2:L6">M2</f>
        <v>525229</v>
      </c>
      <c r="M2" s="1">
        <f ca="1" t="shared" si="2" ref="M2:M6">RANDBETWEEN(100000,999999)</f>
        <v>525229</v>
      </c>
      <c r="N2" s="8">
        <f ca="1" t="shared" si="3" ref="N2:N6">TODAY()</f>
        <v>45958</v>
      </c>
      <c r="O2" s="5" t="s">
        <v>61</v>
      </c>
      <c r="P2" s="9" t="s">
        <v>38</v>
      </c>
      <c r="Q2" s="5" t="s">
        <v>30</v>
      </c>
      <c r="R2" s="17" t="e">
        <f>[1]Output!A2</f>
        <v>#REF!</v>
      </c>
      <c r="S2" s="3" t="e">
        <f t="shared" si="4" ref="S2:S6">SUBSTITUTE(R2,"-","")</f>
        <v>#REF!</v>
      </c>
      <c r="T2" s="19" t="s">
        <v>32</v>
      </c>
      <c r="U2" s="5" t="s">
        <v>52</v>
      </c>
      <c r="V2" s="14" t="e">
        <f>[1]Output!B2</f>
        <v>#REF!</v>
      </c>
      <c r="W2" s="6" t="e">
        <f t="shared" si="5" ref="W2:W6">"Document no. "&amp;V2&amp;" created"</f>
        <v>#REF!</v>
      </c>
      <c r="X2" s="3" t="s">
        <v>47</v>
      </c>
      <c r="Y2" s="1" t="e">
        <f t="shared" si="6" ref="Y2:Y6">V2</f>
        <v>#REF!</v>
      </c>
      <c r="Z2" s="13">
        <f ca="1" t="shared" si="7" ref="Z2:Z6">TODAY()</f>
        <v>45958</v>
      </c>
      <c r="AA2" s="6" t="s">
        <v>6</v>
      </c>
      <c r="AB2" s="16" t="s">
        <v>13</v>
      </c>
    </row>
    <row r="3" s="7" customFormat="1">
      <c r="A3" s="1">
        <v>1</v>
      </c>
      <c r="B3" s="1" t="s">
        <v>20</v>
      </c>
      <c r="C3" s="2" t="s">
        <v>54</v>
      </c>
      <c r="D3" s="2" t="s">
        <v>29</v>
      </c>
      <c r="E3" s="2" t="s">
        <v>46</v>
      </c>
      <c r="F3" s="2" t="s">
        <v>16</v>
      </c>
      <c r="G3" s="2" t="s">
        <v>43</v>
      </c>
      <c r="H3" s="2" t="s">
        <v>0</v>
      </c>
      <c r="I3" s="3" t="s">
        <v>44</v>
      </c>
      <c r="J3" s="3" t="s">
        <v>49</v>
      </c>
      <c r="K3" s="8">
        <f ca="1" t="shared" si="0"/>
        <v>45958</v>
      </c>
      <c r="L3" s="1">
        <f ca="1" t="shared" si="1"/>
        <v>404543</v>
      </c>
      <c r="M3" s="3">
        <f ca="1" t="shared" si="2"/>
        <v>404543</v>
      </c>
      <c r="N3" s="8">
        <f ca="1" t="shared" si="3"/>
        <v>45958</v>
      </c>
      <c r="O3" s="5" t="s">
        <v>61</v>
      </c>
      <c r="P3" s="9" t="s">
        <v>50</v>
      </c>
      <c r="Q3" s="5" t="s">
        <v>52</v>
      </c>
      <c r="R3" s="17" t="s">
        <v>56</v>
      </c>
      <c r="S3" s="3" t="str">
        <f t="shared" si="4"/>
        <v>100.953,22</v>
      </c>
      <c r="T3" s="19" t="s">
        <v>32</v>
      </c>
      <c r="U3" s="5" t="s">
        <v>52</v>
      </c>
      <c r="V3" s="14" t="e">
        <f>[1]Output!B3</f>
        <v>#REF!</v>
      </c>
      <c r="W3" s="6" t="e">
        <f t="shared" si="5"/>
        <v>#REF!</v>
      </c>
      <c r="X3" s="3" t="s">
        <v>47</v>
      </c>
      <c r="Y3" s="1" t="e">
        <f t="shared" si="6"/>
        <v>#REF!</v>
      </c>
      <c r="Z3" s="13">
        <f ca="1" t="shared" si="7"/>
        <v>45958</v>
      </c>
      <c r="AA3" s="6" t="s">
        <v>6</v>
      </c>
      <c r="AB3" s="16" t="s">
        <v>13</v>
      </c>
    </row>
    <row r="4" s="7" customFormat="1">
      <c r="A4" s="1">
        <v>1</v>
      </c>
      <c r="B4" s="1" t="s">
        <v>20</v>
      </c>
      <c r="C4" s="2" t="s">
        <v>54</v>
      </c>
      <c r="D4" s="2" t="s">
        <v>29</v>
      </c>
      <c r="E4" s="2" t="s">
        <v>46</v>
      </c>
      <c r="F4" s="2" t="s">
        <v>16</v>
      </c>
      <c r="G4" s="2" t="s">
        <v>43</v>
      </c>
      <c r="H4" s="2" t="s">
        <v>0</v>
      </c>
      <c r="I4" s="3" t="s">
        <v>44</v>
      </c>
      <c r="J4" s="3" t="s">
        <v>49</v>
      </c>
      <c r="K4" s="8">
        <f ca="1" t="shared" si="0"/>
        <v>45958</v>
      </c>
      <c r="L4" s="1">
        <f ca="1" t="shared" si="1"/>
        <v>789101</v>
      </c>
      <c r="M4" s="3">
        <f ca="1" t="shared" si="2"/>
        <v>789101</v>
      </c>
      <c r="N4" s="8">
        <f ca="1" t="shared" si="3"/>
        <v>45958</v>
      </c>
      <c r="O4" s="5" t="s">
        <v>61</v>
      </c>
      <c r="P4" s="9" t="s">
        <v>11</v>
      </c>
      <c r="Q4" s="5" t="s">
        <v>52</v>
      </c>
      <c r="R4" s="17" t="s">
        <v>53</v>
      </c>
      <c r="S4" s="3" t="str">
        <f t="shared" si="4"/>
        <v>2.160.377,86</v>
      </c>
      <c r="T4" s="19" t="s">
        <v>32</v>
      </c>
      <c r="U4" s="5" t="s">
        <v>52</v>
      </c>
      <c r="V4" s="14" t="e">
        <f>[1]Output!B4</f>
        <v>#REF!</v>
      </c>
      <c r="W4" s="6" t="e">
        <f t="shared" si="5"/>
        <v>#REF!</v>
      </c>
      <c r="X4" s="3" t="s">
        <v>47</v>
      </c>
      <c r="Y4" s="1" t="e">
        <f t="shared" si="6"/>
        <v>#REF!</v>
      </c>
      <c r="Z4" s="13">
        <f ca="1" t="shared" si="7"/>
        <v>45958</v>
      </c>
      <c r="AA4" s="6" t="s">
        <v>6</v>
      </c>
      <c r="AB4" s="16" t="s">
        <v>13</v>
      </c>
    </row>
    <row r="5" s="7" customFormat="1">
      <c r="A5" s="1">
        <v>4</v>
      </c>
      <c r="B5" s="1" t="s">
        <v>26</v>
      </c>
      <c r="C5" s="2" t="s">
        <v>54</v>
      </c>
      <c r="D5" s="2" t="s">
        <v>29</v>
      </c>
      <c r="E5" s="2" t="s">
        <v>42</v>
      </c>
      <c r="F5" s="2" t="s">
        <v>10</v>
      </c>
      <c r="G5" s="2" t="s">
        <v>43</v>
      </c>
      <c r="H5" s="2" t="s">
        <v>0</v>
      </c>
      <c r="I5" s="3" t="s">
        <v>44</v>
      </c>
      <c r="J5" s="3" t="s">
        <v>49</v>
      </c>
      <c r="K5" s="8">
        <f ca="1" t="shared" si="0"/>
        <v>45958</v>
      </c>
      <c r="L5" s="1">
        <f ca="1" t="shared" si="1"/>
        <v>610387</v>
      </c>
      <c r="M5" s="3">
        <f ca="1" t="shared" si="2"/>
        <v>610387</v>
      </c>
      <c r="N5" s="8">
        <f ca="1" t="shared" si="3"/>
        <v>45958</v>
      </c>
      <c r="O5" s="5" t="s">
        <v>61</v>
      </c>
      <c r="P5" s="9" t="s">
        <v>51</v>
      </c>
      <c r="Q5" s="5" t="s">
        <v>30</v>
      </c>
      <c r="R5" s="17" t="e">
        <f>[1]Output!A5</f>
        <v>#REF!</v>
      </c>
      <c r="S5" s="3" t="e">
        <f t="shared" si="4"/>
        <v>#REF!</v>
      </c>
      <c r="T5" s="19" t="s">
        <v>32</v>
      </c>
      <c r="U5" s="5" t="s">
        <v>52</v>
      </c>
      <c r="V5" s="14" t="e">
        <f>[1]Output!B5</f>
        <v>#REF!</v>
      </c>
      <c r="W5" s="6" t="e">
        <f t="shared" si="5"/>
        <v>#REF!</v>
      </c>
      <c r="X5" s="3" t="s">
        <v>47</v>
      </c>
      <c r="Y5" s="1" t="e">
        <f t="shared" si="6"/>
        <v>#REF!</v>
      </c>
      <c r="Z5" s="13">
        <f ca="1" t="shared" si="7"/>
        <v>45958</v>
      </c>
      <c r="AA5" s="6" t="s">
        <v>6</v>
      </c>
      <c r="AB5" s="16" t="s">
        <v>13</v>
      </c>
    </row>
    <row r="6" s="7" customFormat="1">
      <c r="A6" s="1">
        <v>5</v>
      </c>
      <c r="B6" s="1" t="s">
        <v>14</v>
      </c>
      <c r="C6" s="2" t="s">
        <v>54</v>
      </c>
      <c r="D6" s="2">
        <v>200</v>
      </c>
      <c r="E6" s="2" t="s">
        <v>42</v>
      </c>
      <c r="F6" s="2" t="s">
        <v>65</v>
      </c>
      <c r="G6" s="2" t="s">
        <v>43</v>
      </c>
      <c r="H6" s="2" t="s">
        <v>0</v>
      </c>
      <c r="I6" s="3" t="s">
        <v>44</v>
      </c>
      <c r="J6" s="3" t="s">
        <v>49</v>
      </c>
      <c r="K6" s="8">
        <f ca="1" t="shared" si="0"/>
        <v>45958</v>
      </c>
      <c r="L6" s="1">
        <f ca="1" t="shared" si="1"/>
        <v>727185</v>
      </c>
      <c r="M6" s="3">
        <f ca="1" t="shared" si="2"/>
        <v>727185</v>
      </c>
      <c r="N6" s="8">
        <f ca="1" t="shared" si="3"/>
        <v>45958</v>
      </c>
      <c r="O6" s="5" t="s">
        <v>61</v>
      </c>
      <c r="P6" s="9" t="s">
        <v>4</v>
      </c>
      <c r="Q6" s="5" t="s">
        <v>52</v>
      </c>
      <c r="R6" s="17" t="e">
        <f>[1]Output!A6</f>
        <v>#REF!</v>
      </c>
      <c r="S6" s="3" t="e">
        <f t="shared" si="4"/>
        <v>#REF!</v>
      </c>
      <c r="T6" s="19" t="s">
        <v>32</v>
      </c>
      <c r="U6" s="5" t="s">
        <v>52</v>
      </c>
      <c r="V6" s="14" t="e">
        <f>[1]Output!B6</f>
        <v>#REF!</v>
      </c>
      <c r="W6" s="6" t="e">
        <f t="shared" si="5"/>
        <v>#REF!</v>
      </c>
      <c r="X6" s="3" t="s">
        <v>47</v>
      </c>
      <c r="Y6" s="1" t="e">
        <f t="shared" si="6"/>
        <v>#REF!</v>
      </c>
      <c r="Z6" s="13">
        <f ca="1" t="shared" si="7"/>
        <v>45958</v>
      </c>
      <c r="AA6" s="6" t="s">
        <v>6</v>
      </c>
      <c r="AB6" s="16" t="s">
        <v>13</v>
      </c>
    </row>
    <row r="7" s="7" customFormat="1">
      <c r="A7" s="1"/>
      <c r="B7" s="2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6"/>
    </row>
    <row r="8" s="7" customFormat="1">
      <c r="A8" s="1"/>
      <c r="B8" s="18" t="s">
        <v>27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6"/>
    </row>
    <row r="9" s="7" customFormat="1">
      <c r="A9" s="1"/>
      <c r="B9" s="6" t="s">
        <v>58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6"/>
    </row>
    <row r="10" s="7" customFormat="1">
      <c r="A10" s="1"/>
      <c r="B10" s="11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6"/>
    </row>
    <row r="11" s="7" customFormat="1">
      <c r="A11" s="1"/>
      <c r="B11" s="10" t="s">
        <v>59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6"/>
    </row>
    <row r="12" s="7" customFormat="1">
      <c r="A12" s="1"/>
      <c r="B12" s="3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6"/>
    </row>
    <row r="13" s="7" customFormat="1">
      <c r="A13" s="1"/>
      <c r="B13" s="9" t="s">
        <v>28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6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B6"/>
  <sheetViews>
    <sheetView workbookViewId="0">
      <selection activeCell="A2" sqref="A2"/>
    </sheetView>
  </sheetViews>
  <sheetFormatPr defaultColWidth="9.125" defaultRowHeight="14.25"/>
  <cols>
    <col min="1" max="1" width="35" style="7" customWidth="1"/>
    <col min="2" max="2" width="10.875" style="7" bestFit="1" customWidth="1"/>
    <col min="3" max="16384" width="9.125" style="7" customWidth="1"/>
  </cols>
  <sheetData>
    <row r="1" ht="12.75" customHeight="1" customFormat="1">
      <c r="A1" t="s">
        <v>19</v>
      </c>
      <c r="B1" t="s">
        <v>8</v>
      </c>
    </row>
    <row r="2">
      <c r="A2" s="1" t="s">
        <v>63</v>
      </c>
      <c r="B2" s="15">
        <v>6056580375</v>
      </c>
    </row>
    <row r="3">
      <c r="A3" s="1"/>
      <c r="B3" s="15"/>
    </row>
    <row r="4">
      <c r="A4" s="1"/>
      <c r="B4" s="15"/>
    </row>
    <row r="5">
      <c r="A5" s="1" t="s">
        <v>67</v>
      </c>
      <c r="B5" s="15">
        <v>6026133589</v>
      </c>
    </row>
    <row r="6">
      <c r="A6" s="1" t="s">
        <v>41</v>
      </c>
      <c r="B6" s="15">
        <v>6039631789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4" customWidth="1"/>
  </cols>
  <sheetData>
    <row r="1" ht="15.1" customFormat="1"/>
  </sheetData>
  <pageMargins left="0.7" right="0.7" top="0.75" bottom="0.75" header="0.3" footer="0.3"/>
</worksheet>
</file>