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" sheetId="3" r:id="rId3"/>
    <sheet name="TC1_TstPurFRUTSVEG(SW37+SW33)p1" sheetId="4" r:id="rId4"/>
    <sheet name="TC2_TstPurFRUTSVEG(SW37+SW33)p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<sst xmlns="http://schemas.openxmlformats.org/spreadsheetml/2006/main" uniqueCount="73">
  <si>
    <t>AUTODS</t>
  </si>
  <si>
    <t/>
  </si>
  <si>
    <t>DT_SAPTRANSACTIONCODE</t>
  </si>
  <si>
    <t>A01</t>
  </si>
  <si>
    <t>Display Document: Data Entry View</t>
  </si>
  <si>
    <t>DT_MIGO_6310_TABLECELL__0</t>
  </si>
  <si>
    <t>DT_DOC_NUMBER_OUTPUT</t>
  </si>
  <si>
    <t>Logon Information</t>
  </si>
  <si>
    <t>DT_MIGO_0010_AMOUNT</t>
  </si>
  <si>
    <t>Fix</t>
  </si>
  <si>
    <t>AUTODS-555</t>
  </si>
  <si>
    <t>DT_MIGO_0010_GODYNPROACTION</t>
  </si>
  <si>
    <t>=R2</t>
  </si>
  <si>
    <t>DT_MIGO_0010_CALCULATE_TAX</t>
  </si>
  <si>
    <t>DT_MIRO_BALANCE_OUTPUT</t>
  </si>
  <si>
    <t>Input Value</t>
  </si>
  <si>
    <t>DT_MIGO_0110_DOCUMENT_DATE</t>
  </si>
  <si>
    <t>DT_MIGO_2010_GODYNPROMAT_DOC</t>
  </si>
  <si>
    <t>3</t>
  </si>
  <si>
    <t>Formulas</t>
  </si>
  <si>
    <t>Data from other test</t>
  </si>
  <si>
    <t>200</t>
  </si>
  <si>
    <t>MIGO</t>
  </si>
  <si>
    <t>DT_MIGO_0001_CHECK_TEXT_OF_STATUSBAR</t>
  </si>
  <si>
    <t>DT_MIGO_0010_GODYNPROACTION_OCC1</t>
  </si>
  <si>
    <t>DT_MIGO_0100_DOC_INFO</t>
  </si>
  <si>
    <t>ON</t>
  </si>
  <si>
    <t xml:space="preserve">0,00 </t>
  </si>
  <si>
    <t>DT_SAPSYSTEM</t>
  </si>
  <si>
    <t>DT_MIGO_0200_CHECK_SELECTED_OF_TABLECELL_OK_0</t>
  </si>
  <si>
    <t>DT_MIGO_6000_CHECK_TEXT_OF_BALANCE_OCC1</t>
  </si>
  <si>
    <t>DT_MIGO_6000_OKCD</t>
  </si>
  <si>
    <t>DT_ARTICLE_NO_OUTPUT</t>
  </si>
  <si>
    <t>5fa25a0597c8e7b484566a80ecfbd128b55089cc179ee1eef13b</t>
  </si>
  <si>
    <t>DT_SAPLANGUAGE</t>
  </si>
  <si>
    <t>DT_SAPOPTIONS</t>
  </si>
  <si>
    <t>DT_MIGO_0010_POSTING_DATE</t>
  </si>
  <si>
    <t>DT_MIGO_6150_FISCAL_YEAR</t>
  </si>
  <si>
    <t>DT_MIGO_0750_CHECK_TEXT_OF_TITL_OCC1</t>
  </si>
  <si>
    <t>SCENARIO</t>
  </si>
  <si>
    <t>DT_MIGO_6212_RM08MLFSNR</t>
  </si>
  <si>
    <t>DT_MIGO_6150_INVOICE_DOCUMENT_NO</t>
  </si>
  <si>
    <t>=AI2</t>
  </si>
  <si>
    <t>1.155,00-</t>
  </si>
  <si>
    <t>R01</t>
  </si>
  <si>
    <t>EN</t>
  </si>
  <si>
    <t>DT_INCREMENT</t>
  </si>
  <si>
    <t>MIRO</t>
  </si>
  <si>
    <t>Execution Data</t>
  </si>
  <si>
    <t>DT_MIGO_0010_GODYNPROREFDOC</t>
  </si>
  <si>
    <t>DT_MIGO_2000_GODYNPROPO_NUMBER</t>
  </si>
  <si>
    <t>DT_MIGO_0001_CHECK_MESSAGEPARAMETER_OF_STATUSBAR</t>
  </si>
  <si>
    <t>DT_MIGO_0750_OKCD</t>
  </si>
  <si>
    <t>DT_MIGO_0010_INVOICE_DATE</t>
  </si>
  <si>
    <t>DT_MIGO_6020_RM08MREFERENZBELEGTYP</t>
  </si>
  <si>
    <t>DT_MIGO_6000_CHECK_TEXT_OF_STATUSBAR</t>
  </si>
  <si>
    <t>MIR4</t>
  </si>
  <si>
    <t>DT_MIGO_0110_POSTING_DATE</t>
  </si>
  <si>
    <t>true</t>
  </si>
  <si>
    <t>DT_SAPPASSWORD</t>
  </si>
  <si>
    <t>DT_MIGO_0110_DELIVERY_NOTE</t>
  </si>
  <si>
    <t>A04</t>
  </si>
  <si>
    <t>DT_MIGO_0750_CHECK_TEXT_OF_TITL</t>
  </si>
  <si>
    <t>DT_MIGO_0010_REFERENCE</t>
  </si>
  <si>
    <t>DT_MIGO_6000_CHECK_TEXT_OF_BALANCE</t>
  </si>
  <si>
    <t>DT_MIGO_6000_CHECK_MESSAGEPARAMETER_OF_STATUSBAR</t>
  </si>
  <si>
    <t>ROW</t>
  </si>
  <si>
    <t>Purchasing FRUITS and VEG (SW37+SW33) weighted items non eq_p2</t>
  </si>
  <si>
    <t>Checks</t>
  </si>
  <si>
    <t>Output Value</t>
  </si>
  <si>
    <t>DT_SAPUSER</t>
  </si>
  <si>
    <t>2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</si>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</sst>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7" borderId="1" xfId="0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2" fillId="4" borderId="1" xfId="0" quotePrefix="1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4" fontId="1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Purchasing%20FRUITS%20and%20VEG%20(SW37+SW33)%20weighted%20items%20non%20eq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N11"/>
  <sheetViews>
    <sheetView topLeftCell="AE1" workbookViewId="0">
      <selection activeCell="AE2" sqref="AE2"/>
    </sheetView>
  </sheetViews>
  <sheetFormatPr defaultColWidth="9.125" defaultRowHeight="14.25"/>
  <cols>
    <col min="1" max="1" width="9.125" style="13" customWidth="1"/>
    <col min="2" max="2" width="63.125" style="13" customWidth="1"/>
    <col min="3" max="3" width="38.125" style="13" customWidth="1"/>
    <col min="4" max="4" width="15" style="13" customWidth="1"/>
    <col min="5" max="5" width="13.625" style="13" customWidth="1"/>
    <col min="6" max="6" width="24" style="13" customWidth="1"/>
    <col min="7" max="7" width="18.625" style="13" customWidth="1"/>
    <col min="8" max="8" width="16.75" style="13" customWidth="1"/>
    <col min="9" max="9" width="27.125" style="13" customWidth="1"/>
    <col min="10" max="10" width="33.125" style="13" customWidth="1"/>
    <col min="11" max="11" width="33.875" style="13" customWidth="1"/>
    <col min="12" max="12" width="37.875" style="13" customWidth="1"/>
    <col min="13" max="13" width="32.25" style="13" customWidth="1"/>
    <col min="14" max="14" width="15.75" style="13" customWidth="1"/>
    <col min="15" max="15" width="30.875" style="13" customWidth="1"/>
    <col min="16" max="16" width="29.875" style="13" customWidth="1"/>
    <col min="17" max="17" width="53" style="13" customWidth="1"/>
    <col min="18" max="18" width="59.5" style="13" customWidth="1"/>
    <col min="19" max="19" width="43.5" style="13" customWidth="1"/>
    <col min="20" max="20" width="39" style="13" customWidth="1"/>
    <col min="21" max="21" width="35.125" style="13" customWidth="1"/>
    <col min="22" max="22" width="24.75" style="13" customWidth="1"/>
    <col min="23" max="23" width="36" style="13" customWidth="1"/>
    <col min="24" max="24" width="20.5" style="13" customWidth="1"/>
    <col min="25" max="25" width="29" style="13" customWidth="1"/>
    <col min="26" max="26" width="26.875" style="13" customWidth="1"/>
    <col min="27" max="27" width="29.875" style="13" customWidth="1"/>
    <col min="28" max="28" width="41.75" style="13" customWidth="1"/>
    <col min="29" max="29" width="27.875" style="13" customWidth="1"/>
    <col min="30" max="30" width="30.875" style="13" customWidth="1"/>
    <col min="31" max="31" width="40.625" style="13" customWidth="1"/>
    <col min="32" max="32" width="23.5" style="13" customWidth="1"/>
    <col min="33" max="33" width="46.5" style="13" customWidth="1"/>
    <col min="34" max="34" width="28.875" style="13" customWidth="1"/>
    <col min="35" max="35" width="59.5" style="13" customWidth="1"/>
    <col min="36" max="36" width="43.5" style="13" customWidth="1"/>
    <col min="37" max="37" width="20.5" style="13" customWidth="1"/>
    <col min="38" max="38" width="38.375" style="13" customWidth="1"/>
    <col min="39" max="39" width="27.875" style="13" customWidth="1"/>
    <col min="40" max="40" width="41.875" style="13" customWidth="1"/>
    <col min="41" max="16384" width="9.125" style="13" customWidth="1"/>
  </cols>
  <sheetData>
    <row r="1" ht="12.75" customHeight="1" customFormat="1">
      <c r="A1" t="s">
        <v>66</v>
      </c>
      <c r="B1" t="s">
        <v>39</v>
      </c>
      <c r="C1" t="s">
        <v>28</v>
      </c>
      <c r="D1" t="s">
        <v>72</v>
      </c>
      <c r="E1" t="s">
        <v>70</v>
      </c>
      <c r="F1" t="s">
        <v>59</v>
      </c>
      <c r="G1" t="s">
        <v>34</v>
      </c>
      <c r="H1" t="s">
        <v>35</v>
      </c>
      <c r="I1" t="s">
        <v>2</v>
      </c>
      <c r="J1" t="s">
        <v>11</v>
      </c>
      <c r="K1" t="s">
        <v>49</v>
      </c>
      <c r="L1" t="s">
        <v>50</v>
      </c>
      <c r="M1" t="s">
        <v>16</v>
      </c>
      <c r="N1" t="s">
        <v>46</v>
      </c>
      <c r="O1" t="s">
        <v>60</v>
      </c>
      <c r="P1" t="s">
        <v>57</v>
      </c>
      <c r="Q1" t="s">
        <v>29</v>
      </c>
      <c r="R1" t="s">
        <v>51</v>
      </c>
      <c r="S1" t="s">
        <v>23</v>
      </c>
      <c r="T1" t="s">
        <v>24</v>
      </c>
      <c r="U1" t="s">
        <v>17</v>
      </c>
      <c r="V1" t="s">
        <v>25</v>
      </c>
      <c r="W1" t="s">
        <v>62</v>
      </c>
      <c r="X1" t="s">
        <v>52</v>
      </c>
      <c r="Y1" t="s">
        <v>53</v>
      </c>
      <c r="Z1" t="s">
        <v>63</v>
      </c>
      <c r="AA1" t="s">
        <v>36</v>
      </c>
      <c r="AB1" t="s">
        <v>54</v>
      </c>
      <c r="AC1" t="s">
        <v>40</v>
      </c>
      <c r="AD1" t="s">
        <v>13</v>
      </c>
      <c r="AE1" t="s">
        <v>64</v>
      </c>
      <c r="AF1" t="s">
        <v>8</v>
      </c>
      <c r="AG1" t="s">
        <v>30</v>
      </c>
      <c r="AH1" t="s">
        <v>5</v>
      </c>
      <c r="AI1" t="s">
        <v>65</v>
      </c>
      <c r="AJ1" t="s">
        <v>55</v>
      </c>
      <c r="AK1" t="s">
        <v>31</v>
      </c>
      <c r="AL1" t="s">
        <v>41</v>
      </c>
      <c r="AM1" t="s">
        <v>37</v>
      </c>
      <c r="AN1" t="s">
        <v>38</v>
      </c>
    </row>
    <row r="2">
      <c r="A2" s="7">
        <v>1</v>
      </c>
      <c r="B2" s="7" t="s">
        <v>67</v>
      </c>
      <c r="C2" s="3" t="str">
        <f t="shared" si="0" ref="C2:C3">"R1E - SAP RETAIL Pre-Production EUROPE"</f>
        <v>R1E - SAP RETAIL Pre-Production EUROPE</v>
      </c>
      <c r="D2" s="3" t="s">
        <v>21</v>
      </c>
      <c r="E2" s="3" t="s">
        <v>0</v>
      </c>
      <c r="F2" s="3" t="s">
        <v>33</v>
      </c>
      <c r="G2" s="3" t="s">
        <v>45</v>
      </c>
      <c r="H2" s="3" t="s">
        <v>1</v>
      </c>
      <c r="I2" s="2" t="s">
        <v>22</v>
      </c>
      <c r="J2" s="2" t="s">
        <v>3</v>
      </c>
      <c r="K2" s="2" t="s">
        <v>44</v>
      </c>
      <c r="L2" s="20">
        <v>4309530071</v>
      </c>
      <c r="M2" s="6">
        <f ca="1">TODAY()</f>
        <v>45958</v>
      </c>
      <c r="N2" s="4">
        <v>121</v>
      </c>
      <c r="O2" s="2" t="str">
        <f>"FK123/320_"&amp;N2&amp;""</f>
        <v>FK123/320_121</v>
      </c>
      <c r="P2" s="6">
        <f ca="1">TODAY()</f>
        <v>45958</v>
      </c>
      <c r="Q2" s="4" t="s">
        <v>58</v>
      </c>
      <c r="R2" s="9" t="e">
        <f>[1]Output!A2</f>
        <v>#REF!</v>
      </c>
      <c r="S2" s="5" t="e">
        <f>"Article document "&amp;R2&amp;" posted"</f>
        <v>#REF!</v>
      </c>
      <c r="T2" s="2" t="s">
        <v>61</v>
      </c>
      <c r="U2" s="10" t="s">
        <v>12</v>
      </c>
      <c r="V2" s="4" t="s">
        <v>18</v>
      </c>
      <c r="W2" s="5" t="s">
        <v>4</v>
      </c>
      <c r="X2" s="2" t="s">
        <v>47</v>
      </c>
      <c r="Y2" s="6">
        <f ca="1">TODAY()</f>
        <v>45958</v>
      </c>
      <c r="Z2" s="2">
        <f ca="1">RANDBETWEEN(10000,99999)</f>
        <v>58163</v>
      </c>
      <c r="AA2" s="6">
        <f ca="1">TODAY()</f>
        <v>45958</v>
      </c>
      <c r="AB2" s="4" t="s">
        <v>71</v>
      </c>
      <c r="AC2" s="17" t="str">
        <f>O2</f>
        <v>FK123/320_121</v>
      </c>
      <c r="AD2" s="4" t="s">
        <v>26</v>
      </c>
      <c r="AE2" s="9" t="e">
        <f>[1]Output!B2</f>
        <v>#REF!</v>
      </c>
      <c r="AF2" s="22" t="e">
        <f>LEFT(AE2,8)</f>
        <v>#REF!</v>
      </c>
      <c r="AG2" s="12" t="s">
        <v>27</v>
      </c>
      <c r="AH2" s="4" t="s">
        <v>26</v>
      </c>
      <c r="AI2" s="9" t="e">
        <f>[1]Output!C2</f>
        <v>#REF!</v>
      </c>
      <c r="AJ2" s="5" t="e">
        <f>"Document no. "&amp;AI2&amp;" created"</f>
        <v>#REF!</v>
      </c>
      <c r="AK2" s="2" t="s">
        <v>56</v>
      </c>
      <c r="AL2" s="10" t="s">
        <v>42</v>
      </c>
      <c r="AM2" s="18">
        <f ca="1">YEAR(TODAY())</f>
        <v>2025</v>
      </c>
      <c r="AN2" s="21" t="s">
        <v>4</v>
      </c>
    </row>
    <row r="3">
      <c r="A3" s="1"/>
      <c r="B3" s="1"/>
      <c r="C3" s="1" t="str">
        <f t="shared" si="0"/>
        <v>R1E - SAP RETAIL Pre-Production EUROPE</v>
      </c>
      <c r="D3" s="1"/>
      <c r="E3" s="1" t="s">
        <v>0</v>
      </c>
      <c r="F3" s="1" t="s">
        <v>10</v>
      </c>
      <c r="G3" s="1"/>
      <c r="H3" s="1"/>
      <c r="I3" s="1" t="s">
        <v>22</v>
      </c>
      <c r="J3" s="1" t="s">
        <v>3</v>
      </c>
      <c r="K3" s="1" t="s">
        <v>44</v>
      </c>
      <c r="L3" s="1">
        <v>4306574514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1"/>
    </row>
    <row r="4">
      <c r="A4" s="1"/>
      <c r="B4" s="3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1"/>
    </row>
    <row r="5">
      <c r="A5" s="1"/>
      <c r="B5" s="14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1"/>
    </row>
    <row r="6">
      <c r="A6" s="1"/>
      <c r="B6" s="5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2" t="s">
        <v>27</v>
      </c>
      <c r="AH6" s="1"/>
      <c r="AI6" s="1"/>
      <c r="AJ6" s="1"/>
      <c r="AK6" s="1"/>
      <c r="AL6" s="1"/>
      <c r="AM6" s="1"/>
      <c r="AN6" s="11"/>
    </row>
    <row r="7">
      <c r="A7" s="1"/>
      <c r="B7" s="19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1"/>
    </row>
    <row r="8">
      <c r="A8" s="1"/>
      <c r="B8" s="16" t="s">
        <v>69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1"/>
    </row>
    <row r="9">
      <c r="A9" s="1"/>
      <c r="B9" s="2" t="s">
        <v>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1"/>
    </row>
    <row r="10">
      <c r="A10" s="1"/>
      <c r="B10" s="15" t="s">
        <v>20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1"/>
    </row>
    <row r="11">
      <c r="A11" s="1"/>
      <c r="B11" s="7" t="s">
        <v>48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1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2" width="9.125" style="13" customWidth="1"/>
    <col min="3" max="3" width="10.875" style="13" bestFit="1" customWidth="1"/>
    <col min="4" max="16384" width="9.125" style="13" customWidth="1"/>
  </cols>
  <sheetData>
    <row r="1" ht="12.75" customHeight="1" customFormat="1">
      <c r="A1" t="s">
        <v>32</v>
      </c>
      <c r="B1" t="s">
        <v>14</v>
      </c>
      <c r="C1" t="s">
        <v>6</v>
      </c>
    </row>
    <row r="2">
      <c r="A2" s="1">
        <v>5079045527</v>
      </c>
      <c r="B2" s="1" t="s">
        <v>43</v>
      </c>
      <c r="C2" s="11">
        <v>6056580214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