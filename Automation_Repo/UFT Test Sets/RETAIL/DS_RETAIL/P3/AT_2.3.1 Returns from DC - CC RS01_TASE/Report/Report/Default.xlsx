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5"/>
  </bookViews>
  <sheets>
    <sheet name="Global" sheetId="1" r:id="rId1"/>
    <sheet name="RunTimeResultFolder" sheetId="2" r:id="rId2"/>
    <sheet name="DataTransfer 1" sheetId="3" r:id="rId3"/>
    <sheet name="Data Transfer 2" sheetId="4" r:id="rId4"/>
    <sheet name="Data Transfer 4" sheetId="5" r:id="rId5"/>
    <sheet name="Data Transfer 3" sheetId="6" r:id="rId6"/>
    <sheet name="Data Transfer 5" sheetId="7" r:id="rId7"/>
    <sheet name="TC1_Test_Regular SW31 P1" sheetId="8" r:id="rId8"/>
    <sheet name="TC2_Test_Regular SW31 P2" sheetId="9" r:id="rId9"/>
    <sheet name="TC3_Test_Regular SW31 _P3" sheetId="10" r:id="rId10"/>
    <sheet name="TC4_Test_ReturnsDC CC RS01_p1" sheetId="11" r:id="rId11"/>
    <sheet name="TC5_Test_Return DC CC RS01_p2" sheetId="12" r:id="rId12"/>
    <sheet name="TC6_Test_Returns DC CC RS01_p3" sheetId="13" r:id="rId13"/>
    <sheet name="DataTransfer 6" sheetId="14" r:id="rId14"/>
    <sheet name="TC7_Test_Returns DC CC RS01_p4" sheetId="15" r:id="rId15"/>
    <sheet name="AT {{1}RunTimeResultFolderC..00" sheetId="16" r:id="rId16"/>
  </sheets>
  <externalReferences>
    <externalReference r:id="rId20"/>
  </externalReferences>
  <calcPr calcId="40001"/>
</workbook>
</file>

<file path=xl/sharedStrings.xml><?xml version="1.0" encoding="utf-8"?>
<sst xmlns="http://schemas.openxmlformats.org/spreadsheetml/2006/main" uniqueCount="61">
  <si>
    <t>AUTODS</t>
  </si>
  <si>
    <t/>
  </si>
  <si>
    <t>DT_SAPTRANSACTIONCODE</t>
  </si>
  <si>
    <t>DT_MIRO_6020_RM08MREFERENZBELEGTYP</t>
  </si>
  <si>
    <t>DT_MIRO_0010_AMOUNT</t>
  </si>
  <si>
    <t>DT_MIRO_6000_CHECK_TEXT_OF_BALANCE_OUTPUT</t>
  </si>
  <si>
    <t>DT_MIRO_6150_FISCAL_YEAR</t>
  </si>
  <si>
    <t>AT_2.3.1 Returns from DC - CC RS01</t>
  </si>
  <si>
    <t>Data Coming from another test</t>
  </si>
  <si>
    <t>DT_MIRO_0010_REFERENCE</t>
  </si>
  <si>
    <t>DT_MIRO_6000_CHECK_TEXT_OF_BALANCE</t>
  </si>
  <si>
    <t>Output Data</t>
  </si>
  <si>
    <t>DT_MIRO_0010_POSTING_DATE</t>
  </si>
  <si>
    <t>DT_MIRO_0010_CALCULATE_TAX</t>
  </si>
  <si>
    <t>DT_MIRO_6000_CHECK_TEXT_OF_STATUSBAR</t>
  </si>
  <si>
    <t>=W3</t>
  </si>
  <si>
    <t>Formulas</t>
  </si>
  <si>
    <t>200</t>
  </si>
  <si>
    <t>5550087</t>
  </si>
  <si>
    <t>/nMIR4</t>
  </si>
  <si>
    <t>DT_MIRO_0750_OKCD</t>
  </si>
  <si>
    <t>DT_SAPSYSTEM</t>
  </si>
  <si>
    <t>DT_MIRO_6000_CHECK_MESSAGEPARAMETER_OF_STATUSBAR</t>
  </si>
  <si>
    <t>DT_MIRO_6150_INVOICE_DOCUMENT_NO</t>
  </si>
  <si>
    <t>Input Data</t>
  </si>
  <si>
    <t>DT_SAPLANGUAGE</t>
  </si>
  <si>
    <t>DT_SAPOPTIONS</t>
  </si>
  <si>
    <t>SCENARIO</t>
  </si>
  <si>
    <t>DT_MIRO_6000_TRANSACTION</t>
  </si>
  <si>
    <t>5550048</t>
  </si>
  <si>
    <t>=W4</t>
  </si>
  <si>
    <t>Verifications</t>
  </si>
  <si>
    <t>Execution Control Data</t>
  </si>
  <si>
    <t>7_6310</t>
  </si>
  <si>
    <t>DT_MIRO_STATUSBAR_OUTPUT</t>
  </si>
  <si>
    <t>57be214594a6265fc1aa63ffd5b1</t>
  </si>
  <si>
    <t>DT_MIRO_0010_INVOICE_DATE</t>
  </si>
  <si>
    <t>DT_INCREMENT_REFERENCE</t>
  </si>
  <si>
    <t>DT_MIRO_6310_LAYOUT</t>
  </si>
  <si>
    <t>EN</t>
  </si>
  <si>
    <t>MIRO</t>
  </si>
  <si>
    <t>DT_MIRO_6212_RM08MLFSNR</t>
  </si>
  <si>
    <t>/NEX</t>
  </si>
  <si>
    <t>DT_MIRO_1000_COMPANY_CODE</t>
  </si>
  <si>
    <t>RS01</t>
  </si>
  <si>
    <t>RG</t>
  </si>
  <si>
    <t>true</t>
  </si>
  <si>
    <t>ROW_NUMBER</t>
  </si>
  <si>
    <t>Fixed Data</t>
  </si>
  <si>
    <t>R1E - SAP RETAIL Pre-Production EUROPE</t>
  </si>
  <si>
    <t>DT_SAPPASSWORD</t>
  </si>
  <si>
    <t>DT_PO</t>
  </si>
  <si>
    <t>1.554,77-</t>
  </si>
  <si>
    <t>Login Information</t>
  </si>
  <si>
    <t>DT_SAPUSER</t>
  </si>
  <si>
    <t>2</t>
  </si>
  <si>
    <t>5550042</t>
  </si>
  <si>
    <t>DT_SAPCLIENT</t>
  </si>
  <si>
    <t>DT_MIRO_0150_DOC_TYPE</t>
  </si>
  <si>
    <t>DT_MIRO_6000_OKCD</t>
  </si>
  <si>
    <t>=W2</t>
  </si>
</sst>
</file>

<file path=xl/styles.xml><?xml version="1.0" encoding="utf-8"?>
<styleSheet xmlns="http://schemas.openxmlformats.org/spreadsheetml/2006/main">
  <numFmts count="1">
    <numFmt numFmtId="164" formatCode="yyyy"/>
  </numFmts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sz val="11"/>
      <color indexed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Border="1" applyProtection="1">
      <protection locked="0"/>
    </xf>
    <xf numFmtId="0" fontId="0" fillId="0" borderId="0" xfId="0" applyBorder="1" applyProtection="1">
      <protection locked="0"/>
    </xf>
    <xf numFmtId="0" fontId="1" fillId="2" borderId="1" xfId="0" applyNumberFormat="1" applyFont="1" applyFill="1" applyBorder="1" applyProtection="1">
      <protection locked="0"/>
    </xf>
    <xf numFmtId="49" fontId="1" fillId="3" borderId="1" xfId="0" applyNumberFormat="1" applyFill="1" applyBorder="1" applyProtection="1">
      <protection locked="0"/>
    </xf>
    <xf numFmtId="0" fontId="1" fillId="4" borderId="1" xfId="0" applyNumberFormat="1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0" borderId="2" xfId="0" applyBorder="1" applyProtection="1">
      <protection locked="0"/>
    </xf>
    <xf numFmtId="0" fontId="1" fillId="5" borderId="1" xfId="0" applyNumberFormat="1" applyFill="1" applyBorder="1" applyProtection="1">
      <protection locked="0"/>
    </xf>
    <xf numFmtId="0" fontId="2" fillId="6" borderId="1" xfId="0" applyNumberFormat="1" applyFont="1" applyFill="1" applyBorder="1" applyProtection="1">
      <protection locked="0"/>
    </xf>
    <xf numFmtId="0" fontId="1" fillId="0" borderId="1" xfId="0" applyNumberFormat="1" applyBorder="1" applyProtection="1">
      <protection locked="0"/>
    </xf>
    <xf numFmtId="0" fontId="1" fillId="0" borderId="0" xfId="0" applyBorder="1" applyProtection="1">
      <protection locked="0"/>
    </xf>
    <xf numFmtId="0" fontId="1" fillId="7" borderId="1" xfId="0" applyNumberFormat="1" applyFill="1" applyBorder="1" applyProtection="1">
      <protection locked="0"/>
    </xf>
    <xf numFmtId="0" fontId="1" fillId="3" borderId="1" xfId="0" applyNumberFormat="1" applyFont="1" applyFill="1" applyBorder="1" applyProtection="1">
      <protection locked="0"/>
    </xf>
    <xf numFmtId="0" fontId="1" fillId="8" borderId="1" xfId="0" applyNumberFormat="1" applyFont="1" applyFill="1" applyBorder="1" applyProtection="1">
      <protection locked="0"/>
    </xf>
    <xf numFmtId="49" fontId="1" fillId="0" borderId="1" xfId="0" applyNumberFormat="1" applyFill="1" applyBorder="1" applyProtection="1">
      <protection locked="0"/>
    </xf>
    <xf numFmtId="0" fontId="1" fillId="9" borderId="1" xfId="0" applyNumberFormat="1" applyFont="1" applyFill="1" applyBorder="1" applyProtection="1">
      <protection locked="0"/>
    </xf>
    <xf numFmtId="0" fontId="1" fillId="3" borderId="1" xfId="0" applyFill="1" applyBorder="1" applyProtection="1">
      <protection locked="0"/>
    </xf>
    <xf numFmtId="49" fontId="1" fillId="7" borderId="1" xfId="0" applyNumberFormat="1" applyFill="1" applyBorder="1" applyProtection="1">
      <protection locked="0"/>
    </xf>
    <xf numFmtId="0" fontId="1" fillId="7" borderId="1" xfId="0" applyFill="1" applyBorder="1" applyProtection="1">
      <protection locked="0"/>
    </xf>
    <xf numFmtId="14" fontId="1" fillId="7" borderId="1" xfId="0" applyNumberFormat="1" applyFill="1" applyBorder="1" applyProtection="1">
      <protection locked="0"/>
    </xf>
    <xf numFmtId="0" fontId="3" fillId="3" borderId="1" xfId="0" applyNumberFormat="1" applyFont="1" applyFill="1" applyBorder="1" applyProtection="1">
      <protection locked="0"/>
    </xf>
    <xf numFmtId="164" fontId="1" fillId="3" borderId="1" xfId="0" applyNumberFormat="1" applyFill="1" applyBorder="1" applyProtection="1">
      <protection locked="0"/>
    </xf>
    <xf numFmtId="49" fontId="4" fillId="3" borderId="1" xfId="0" applyNumberFormat="1" applyFont="1" applyFill="1" applyBorder="1" applyProtection="1">
      <protection locked="0"/>
    </xf>
    <xf numFmtId="0" fontId="1" fillId="7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7" Type="http://schemas.openxmlformats.org/officeDocument/2006/relationships/theme" Target="theme/theme1.xml" /><Relationship Id="rId18" Type="http://schemas.openxmlformats.org/officeDocument/2006/relationships/styles" Target="styles.xml" /><Relationship Id="rId19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20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P3\DS\RETAIL\DT_Returns%20from%20DC%20-%20CC%20RS01_p4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C17"/>
  <sheetViews>
    <sheetView topLeftCell="V1" workbookViewId="0">
      <selection activeCell="V2" sqref="V2"/>
    </sheetView>
  </sheetViews>
  <sheetFormatPr defaultColWidth="9.125" defaultRowHeight="14.25"/>
  <cols>
    <col min="1" max="1" width="14.625" style="11" customWidth="1"/>
    <col min="2" max="2" width="32.375" style="11" customWidth="1"/>
    <col min="3" max="3" width="38.125" style="11" customWidth="1"/>
    <col min="4" max="4" width="15" style="11" customWidth="1"/>
    <col min="5" max="5" width="13.625" style="11" customWidth="1"/>
    <col min="6" max="6" width="29.125" style="11" customWidth="1"/>
    <col min="7" max="7" width="18.625" style="11" customWidth="1"/>
    <col min="8" max="8" width="16.75" style="11" customWidth="1"/>
    <col min="9" max="9" width="27.125" style="11" customWidth="1"/>
    <col min="10" max="10" width="30.875" style="11" customWidth="1"/>
    <col min="11" max="11" width="29" style="11" customWidth="1"/>
    <col min="12" max="12" width="28.75" style="11" customWidth="1"/>
    <col min="13" max="13" width="36.625" style="11" customWidth="1"/>
    <col min="14" max="14" width="29.875" style="11" customWidth="1"/>
    <col min="15" max="15" width="28.875" style="11" customWidth="1"/>
    <col min="16" max="16" width="41.75" style="11" customWidth="1"/>
    <col min="17" max="17" width="22.875" style="11" customWidth="1"/>
    <col min="18" max="18" width="28" style="11" customWidth="1"/>
    <col min="19" max="19" width="25.375" style="11" customWidth="1"/>
    <col min="20" max="20" width="30.875" style="11" customWidth="1"/>
    <col min="21" max="21" width="40.625" style="11" customWidth="1"/>
    <col min="22" max="22" width="23.75" style="11" customWidth="1"/>
    <col min="23" max="23" width="59.5" style="11" customWidth="1"/>
    <col min="24" max="24" width="43.5" style="11" customWidth="1"/>
    <col min="25" max="25" width="20.5" style="11" customWidth="1"/>
    <col min="26" max="26" width="38.75" style="11" customWidth="1"/>
    <col min="27" max="27" width="27.875" style="11" customWidth="1"/>
    <col min="28" max="28" width="20.5" style="11" customWidth="1"/>
    <col min="29" max="29" width="11.875" style="11" bestFit="1" customWidth="1"/>
    <col min="30" max="16384" width="9.125" style="11" customWidth="1"/>
  </cols>
  <sheetData>
    <row r="1" ht="12.75" customHeight="1" customFormat="1">
      <c r="A1" t="s">
        <v>47</v>
      </c>
      <c r="B1" t="s">
        <v>27</v>
      </c>
      <c r="C1" t="s">
        <v>21</v>
      </c>
      <c r="D1" t="s">
        <v>57</v>
      </c>
      <c r="E1" t="s">
        <v>54</v>
      </c>
      <c r="F1" t="s">
        <v>50</v>
      </c>
      <c r="G1" t="s">
        <v>25</v>
      </c>
      <c r="H1" t="s">
        <v>26</v>
      </c>
      <c r="I1" t="s">
        <v>2</v>
      </c>
      <c r="J1" t="s">
        <v>43</v>
      </c>
      <c r="K1" t="s">
        <v>36</v>
      </c>
      <c r="L1" t="s">
        <v>37</v>
      </c>
      <c r="M1" t="s">
        <v>9</v>
      </c>
      <c r="N1" t="s">
        <v>12</v>
      </c>
      <c r="O1" t="s">
        <v>28</v>
      </c>
      <c r="P1" t="s">
        <v>3</v>
      </c>
      <c r="Q1" t="s">
        <v>38</v>
      </c>
      <c r="R1" t="s">
        <v>41</v>
      </c>
      <c r="S1" t="s">
        <v>58</v>
      </c>
      <c r="T1" t="s">
        <v>13</v>
      </c>
      <c r="U1" t="s">
        <v>10</v>
      </c>
      <c r="V1" t="s">
        <v>4</v>
      </c>
      <c r="W1" t="s">
        <v>22</v>
      </c>
      <c r="X1" t="s">
        <v>14</v>
      </c>
      <c r="Y1" t="s">
        <v>59</v>
      </c>
      <c r="Z1" t="s">
        <v>23</v>
      </c>
      <c r="AA1" t="s">
        <v>6</v>
      </c>
      <c r="AB1" t="s">
        <v>20</v>
      </c>
      <c r="AC1" t="s">
        <v>51</v>
      </c>
    </row>
    <row r="2">
      <c r="A2" s="5">
        <v>2</v>
      </c>
      <c r="B2" s="5" t="s">
        <v>7</v>
      </c>
      <c r="C2" s="3" t="s">
        <v>49</v>
      </c>
      <c r="D2" s="3" t="s">
        <v>17</v>
      </c>
      <c r="E2" s="3" t="s">
        <v>0</v>
      </c>
      <c r="F2" s="3" t="s">
        <v>35</v>
      </c>
      <c r="G2" s="3" t="s">
        <v>39</v>
      </c>
      <c r="H2" s="3" t="s">
        <v>1</v>
      </c>
      <c r="I2" s="6" t="s">
        <v>40</v>
      </c>
      <c r="J2" s="4" t="s">
        <v>44</v>
      </c>
      <c r="K2" s="20">
        <f ca="1" t="shared" si="0" ref="K2:K4">TODAY()</f>
        <v>45957</v>
      </c>
      <c r="L2" s="17">
        <v>93</v>
      </c>
      <c r="M2" s="12" t="str">
        <f t="shared" si="1" ref="M2:M4">"1234 _" &amp; L2</f>
        <v>1234 _93</v>
      </c>
      <c r="N2" s="12">
        <f ca="1" t="shared" si="2" ref="N2:N4">K2</f>
        <v>45957</v>
      </c>
      <c r="O2" s="4" t="s">
        <v>55</v>
      </c>
      <c r="P2" s="4" t="s">
        <v>55</v>
      </c>
      <c r="Q2" s="4" t="s">
        <v>33</v>
      </c>
      <c r="R2" s="23" t="s">
        <v>18</v>
      </c>
      <c r="S2" s="4" t="s">
        <v>45</v>
      </c>
      <c r="T2" s="4" t="s">
        <v>46</v>
      </c>
      <c r="U2" s="8" t="e">
        <f>[1]Output!A2</f>
        <v>#REF!</v>
      </c>
      <c r="V2" s="19" t="e">
        <f t="shared" si="3" ref="V2:V4" xml:space="preserve"> MID(U2,1,LEN(U2)-1)</f>
        <v>#REF!</v>
      </c>
      <c r="W2" s="8" t="e">
        <f>[1]Output!B2</f>
        <v>#REF!</v>
      </c>
      <c r="X2" s="9" t="e">
        <f t="shared" si="4" ref="X2:X4" xml:space="preserve"> "Document no. " &amp; W2 &amp; " created"</f>
        <v>#REF!</v>
      </c>
      <c r="Y2" s="15" t="s">
        <v>19</v>
      </c>
      <c r="Z2" s="18" t="s">
        <v>60</v>
      </c>
      <c r="AA2" s="22">
        <f ca="1" t="shared" si="5" ref="AA2:AA4">TODAY()</f>
        <v>45957</v>
      </c>
      <c r="AB2" s="6" t="s">
        <v>42</v>
      </c>
      <c r="AC2" s="7">
        <v>4309529732</v>
      </c>
    </row>
    <row r="3">
      <c r="A3" s="5">
        <v>3</v>
      </c>
      <c r="B3" s="5" t="s">
        <v>7</v>
      </c>
      <c r="C3" s="3" t="s">
        <v>49</v>
      </c>
      <c r="D3" s="3" t="s">
        <v>17</v>
      </c>
      <c r="E3" s="3" t="s">
        <v>0</v>
      </c>
      <c r="F3" s="3" t="s">
        <v>35</v>
      </c>
      <c r="G3" s="3" t="s">
        <v>39</v>
      </c>
      <c r="H3" s="3" t="s">
        <v>1</v>
      </c>
      <c r="I3" s="6" t="s">
        <v>40</v>
      </c>
      <c r="J3" s="4" t="s">
        <v>44</v>
      </c>
      <c r="K3" s="20">
        <f ca="1" t="shared" si="0"/>
        <v>45957</v>
      </c>
      <c r="L3" s="17">
        <v>38</v>
      </c>
      <c r="M3" s="12" t="str">
        <f t="shared" si="1"/>
        <v>1234 _38</v>
      </c>
      <c r="N3" s="12">
        <f ca="1" t="shared" si="2"/>
        <v>45957</v>
      </c>
      <c r="O3" s="4" t="s">
        <v>55</v>
      </c>
      <c r="P3" s="4" t="s">
        <v>55</v>
      </c>
      <c r="Q3" s="4" t="s">
        <v>33</v>
      </c>
      <c r="R3" s="23" t="s">
        <v>56</v>
      </c>
      <c r="S3" s="4" t="s">
        <v>45</v>
      </c>
      <c r="T3" s="4" t="s">
        <v>46</v>
      </c>
      <c r="U3" s="8" t="e">
        <f>[1]Output!A3</f>
        <v>#REF!</v>
      </c>
      <c r="V3" s="19" t="e">
        <f t="shared" si="3"/>
        <v>#REF!</v>
      </c>
      <c r="W3" s="8" t="e">
        <f>[1]Output!B3</f>
        <v>#REF!</v>
      </c>
      <c r="X3" s="9" t="e">
        <f t="shared" si="4"/>
        <v>#REF!</v>
      </c>
      <c r="Y3" s="15" t="s">
        <v>19</v>
      </c>
      <c r="Z3" s="18" t="s">
        <v>15</v>
      </c>
      <c r="AA3" s="22">
        <f ca="1" t="shared" si="5"/>
        <v>45957</v>
      </c>
      <c r="AB3" s="6" t="s">
        <v>42</v>
      </c>
      <c r="AC3" s="7">
        <v>0</v>
      </c>
    </row>
    <row r="4">
      <c r="A4" s="5">
        <v>4</v>
      </c>
      <c r="B4" s="5" t="s">
        <v>7</v>
      </c>
      <c r="C4" s="3" t="s">
        <v>49</v>
      </c>
      <c r="D4" s="3" t="s">
        <v>17</v>
      </c>
      <c r="E4" s="3" t="s">
        <v>0</v>
      </c>
      <c r="F4" s="3" t="s">
        <v>35</v>
      </c>
      <c r="G4" s="3" t="s">
        <v>39</v>
      </c>
      <c r="H4" s="3" t="s">
        <v>1</v>
      </c>
      <c r="I4" s="6" t="s">
        <v>40</v>
      </c>
      <c r="J4" s="4" t="s">
        <v>44</v>
      </c>
      <c r="K4" s="20">
        <f ca="1" t="shared" si="0"/>
        <v>45957</v>
      </c>
      <c r="L4" s="17">
        <v>48</v>
      </c>
      <c r="M4" s="12" t="str">
        <f t="shared" si="1"/>
        <v>1234 _48</v>
      </c>
      <c r="N4" s="12">
        <f ca="1" t="shared" si="2"/>
        <v>45957</v>
      </c>
      <c r="O4" s="4" t="s">
        <v>55</v>
      </c>
      <c r="P4" s="4" t="s">
        <v>55</v>
      </c>
      <c r="Q4" s="4" t="s">
        <v>33</v>
      </c>
      <c r="R4" s="23" t="s">
        <v>29</v>
      </c>
      <c r="S4" s="4" t="s">
        <v>45</v>
      </c>
      <c r="T4" s="4" t="s">
        <v>46</v>
      </c>
      <c r="U4" s="8" t="e">
        <f>[1]Output!A4</f>
        <v>#REF!</v>
      </c>
      <c r="V4" s="19" t="e">
        <f t="shared" si="3"/>
        <v>#REF!</v>
      </c>
      <c r="W4" s="8" t="e">
        <f>[1]Output!B4</f>
        <v>#REF!</v>
      </c>
      <c r="X4" s="9" t="e">
        <f t="shared" si="4"/>
        <v>#REF!</v>
      </c>
      <c r="Y4" s="15" t="s">
        <v>19</v>
      </c>
      <c r="Z4" s="18" t="s">
        <v>30</v>
      </c>
      <c r="AA4" s="22">
        <f ca="1" t="shared" si="5"/>
        <v>45957</v>
      </c>
      <c r="AB4" s="6" t="s">
        <v>42</v>
      </c>
      <c r="AC4" s="7">
        <v>0</v>
      </c>
    </row>
    <row r="5">
      <c r="A5" s="10"/>
      <c r="B5" s="10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7"/>
    </row>
    <row r="6">
      <c r="A6" s="10"/>
      <c r="B6" s="10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7"/>
    </row>
    <row r="7">
      <c r="A7" s="10"/>
      <c r="B7" s="10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7"/>
    </row>
    <row r="8">
      <c r="A8" s="10"/>
      <c r="B8" s="10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7"/>
    </row>
    <row r="9">
      <c r="A9" s="10"/>
      <c r="B9" s="10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7"/>
    </row>
    <row r="10">
      <c r="A10" s="10"/>
      <c r="B10" s="3" t="s">
        <v>53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7"/>
    </row>
    <row r="11">
      <c r="A11" s="10"/>
      <c r="B11" s="13" t="s">
        <v>24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7"/>
    </row>
    <row r="12">
      <c r="A12" s="10"/>
      <c r="B12" s="16" t="s">
        <v>48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7"/>
    </row>
    <row r="13">
      <c r="A13" s="10"/>
      <c r="B13" s="14" t="s">
        <v>11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7"/>
    </row>
    <row r="14">
      <c r="A14" s="10"/>
      <c r="B14" s="24" t="s">
        <v>16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7"/>
    </row>
    <row r="15">
      <c r="A15" s="10"/>
      <c r="B15" s="9" t="s">
        <v>31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7"/>
    </row>
    <row r="16">
      <c r="A16" s="10"/>
      <c r="B16" s="21" t="s">
        <v>8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7"/>
    </row>
    <row r="17">
      <c r="A17" s="10"/>
      <c r="B17" s="5" t="s">
        <v>32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7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selection activeCell="A2" sqref="A2"/>
    </sheetView>
  </sheetViews>
  <sheetFormatPr defaultColWidth="9.125" defaultRowHeight="14.25"/>
  <cols>
    <col min="1" max="1" width="51" style="11" customWidth="1"/>
    <col min="2" max="2" width="67.625" style="11" customWidth="1"/>
    <col min="3" max="16384" width="9.125" style="11" customWidth="1"/>
  </cols>
  <sheetData>
    <row r="1" ht="12.75" customHeight="1" customFormat="1">
      <c r="A1" t="s">
        <v>5</v>
      </c>
      <c r="B1" t="s">
        <v>34</v>
      </c>
    </row>
    <row r="2">
      <c r="A2" s="1" t="s">
        <v>52</v>
      </c>
      <c r="B2" s="7">
        <v>6056580161</v>
      </c>
    </row>
  </sheetData>
  <printOptions gridLines="1"/>
  <pageMargins left="0.75" right="0.75" top="1" bottom="1" header="0.5" footer="0.5"/>
  <pageSetup paperSize="9"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