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ataTransfer 1" sheetId="3" r:id="rId3"/>
    <sheet name="TC1_Test_2.3.1.1.3. Create" sheetId="4" r:id="rId4"/>
    <sheet name="TC2_Test_2.3.1.2.2. Modify" sheetId="5" r:id="rId5"/>
    <sheet name="AT {{1}RunTimeResultFolderC..00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<sst xmlns="http://schemas.openxmlformats.org/spreadsheetml/2006/main" uniqueCount="114">
  <si>
    <t>AUTODS</t>
  </si>
  <si>
    <t/>
  </si>
  <si>
    <t>DT_SAPTRANSACTIONCODE</t>
  </si>
  <si>
    <t>Pancevo</t>
  </si>
  <si>
    <t>DT_XD01_0301_COUNTRY</t>
  </si>
  <si>
    <t>DT_XD01_7122_SALESPURTAX</t>
  </si>
  <si>
    <t>8606106</t>
  </si>
  <si>
    <t>5fd9075e14eb72dde9d5201adc1b50845f3da04a842b</t>
  </si>
  <si>
    <t>DT_XD01_7123_LOCATION_NO_1</t>
  </si>
  <si>
    <t>DT_XD01_7131_TABLECELL_ACCT_HOLDER_0</t>
  </si>
  <si>
    <t>DT_XD01_0101_CHECK_GETCELLVALUE_OF_GRIDCELL_0_T_MSG_OCC1</t>
  </si>
  <si>
    <t>scenario</t>
  </si>
  <si>
    <t>Data Coming from another test</t>
  </si>
  <si>
    <t>AUTODS-555</t>
  </si>
  <si>
    <t>DT_XD01_0301_COMMENTS</t>
  </si>
  <si>
    <t>Update/Creation of customer 0004082802 and Company Code 1006 succeeded</t>
  </si>
  <si>
    <t>Output Data</t>
  </si>
  <si>
    <t>DT_XD01_7100_DISTRIBUTION_CHANNEL</t>
  </si>
  <si>
    <t>%blank%</t>
  </si>
  <si>
    <t>DT_LANGUAGE</t>
  </si>
  <si>
    <t>DT_XD01_0301_POSTAL_CODECITY</t>
  </si>
  <si>
    <t>DT_XD01_7122_TAX_NUMBER_3</t>
  </si>
  <si>
    <t>DT_XD01_7131_TABLECELL_BANK_ACCOUNT_0</t>
  </si>
  <si>
    <t>Formulas</t>
  </si>
  <si>
    <t>200</t>
  </si>
  <si>
    <t>01</t>
  </si>
  <si>
    <t>DT_EXPECTEDVALUE</t>
  </si>
  <si>
    <t>ON</t>
  </si>
  <si>
    <t>DT_XD01_7131_TABLECELL_CTRY_0</t>
  </si>
  <si>
    <t>4001</t>
  </si>
  <si>
    <t>11611034</t>
  </si>
  <si>
    <t>DT_XD01_7216_PMT_METHSUPL</t>
  </si>
  <si>
    <t>DT_XD01_7311_CUSTPRICPROC</t>
  </si>
  <si>
    <t>SESSION_MANAGER</t>
  </si>
  <si>
    <t>DT_XD01_0100_OKCD</t>
  </si>
  <si>
    <t>/nex</t>
  </si>
  <si>
    <t>DT_SAPSYSTEM</t>
  </si>
  <si>
    <t>DT_XD01_7100_SALES_ORGANIZATION</t>
  </si>
  <si>
    <t>SR</t>
  </si>
  <si>
    <t>226</t>
  </si>
  <si>
    <t>DT_XD01_7123_LOCATION_NO_2</t>
  </si>
  <si>
    <t>DT_XD01_7131_TABLECELL_BANK_KEY_0</t>
  </si>
  <si>
    <t>DT_XD01_7216_PAYMENT_METHODS</t>
  </si>
  <si>
    <t>09a1</t>
  </si>
  <si>
    <t>DT_CUST_NO_OUTPUT</t>
  </si>
  <si>
    <t>Input Data</t>
  </si>
  <si>
    <t>DT_SAPLANGUAGE</t>
  </si>
  <si>
    <t>DT_SAPOPTIONS</t>
  </si>
  <si>
    <t>rs</t>
  </si>
  <si>
    <t>DT_XD01_0301_DATA_LINE</t>
  </si>
  <si>
    <t>remarks</t>
  </si>
  <si>
    <t>S</t>
  </si>
  <si>
    <t>to p2</t>
  </si>
  <si>
    <t>DT_EXPECTEDTRANSACTIONCODE_OCC1</t>
  </si>
  <si>
    <t>DT_XD01_0301_POSTAL_CODECITY_OCC1</t>
  </si>
  <si>
    <t>DT_XD01_7123_CHECK_DIGIT</t>
  </si>
  <si>
    <t>115000000001270459</t>
  </si>
  <si>
    <t>DT_XD01_7211_RECON_ACCOUNT</t>
  </si>
  <si>
    <t>row</t>
  </si>
  <si>
    <t>test</t>
  </si>
  <si>
    <t>Verifications</t>
  </si>
  <si>
    <t>Execution Control Data</t>
  </si>
  <si>
    <t>Milosa Obrevica</t>
  </si>
  <si>
    <t>26000</t>
  </si>
  <si>
    <t>DT_XD01_0301_REGION</t>
  </si>
  <si>
    <t>101980065</t>
  </si>
  <si>
    <t>001</t>
  </si>
  <si>
    <t>00A1</t>
  </si>
  <si>
    <t>DT_XD01_7350_TABLECELL_TAX_CLASSIFICATION_0</t>
  </si>
  <si>
    <t>DT_EUE_NO</t>
  </si>
  <si>
    <t>DT_EXP_MSG</t>
  </si>
  <si>
    <t>ZCXT</t>
  </si>
  <si>
    <t>DT_XD01_0301_SEARCH_TERM_12</t>
  </si>
  <si>
    <t>DT_XD01_0301_TELEPHONE</t>
  </si>
  <si>
    <t>AUTOFICO</t>
  </si>
  <si>
    <t>EN</t>
  </si>
  <si>
    <t>DT_XD01_7100_ACCOUNT_GROUP</t>
  </si>
  <si>
    <t>DT_XD01_0301_NAME</t>
  </si>
  <si>
    <t>013518336</t>
  </si>
  <si>
    <t>DT_XD01_0301_FAX</t>
  </si>
  <si>
    <t>1</t>
  </si>
  <si>
    <t>DT_XD01_7122_TAX_NUMBER_1</t>
  </si>
  <si>
    <t>T</t>
  </si>
  <si>
    <t>DT_CUST_NO</t>
  </si>
  <si>
    <t>5630e2b7e059e005d439d6539fcc55e59e17ccdba22b</t>
  </si>
  <si>
    <t>DT_EXPECTEDTRANSACTIONCODE</t>
  </si>
  <si>
    <t>SS01</t>
  </si>
  <si>
    <t>15811</t>
  </si>
  <si>
    <t>XD01</t>
  </si>
  <si>
    <t>DT_XD01_7100_COMPANY_CODE</t>
  </si>
  <si>
    <t>RS01</t>
  </si>
  <si>
    <t>07</t>
  </si>
  <si>
    <t>DT_XD01_0301_STREETHOUSE_NUMBER</t>
  </si>
  <si>
    <t>AAAARSBGXXX</t>
  </si>
  <si>
    <t>DT_XD01_7131_TABLECELL_BKTYP_0</t>
  </si>
  <si>
    <t>21</t>
  </si>
  <si>
    <t>DT_XD01_7322_ACCT_ASSGMT_GROUP</t>
  </si>
  <si>
    <t>R1E - SAP RETAIL Pre-Production EUROPE</t>
  </si>
  <si>
    <t>Fixed Data</t>
  </si>
  <si>
    <t>DT_SAPPASSWORD</t>
  </si>
  <si>
    <t>PEKARSKA INDUSTRIJA AD PANCEVO</t>
  </si>
  <si>
    <t>035552522</t>
  </si>
  <si>
    <t>RS</t>
  </si>
  <si>
    <t>DT_XD01_7215_TERMS_OF_PAYMENT</t>
  </si>
  <si>
    <t>DT_XD01_0101_CHECK_GETCELLVALUE_OF_GRIDCELL_0_T_MSG</t>
  </si>
  <si>
    <t>Login Information</t>
  </si>
  <si>
    <t>DT_SAPUSER</t>
  </si>
  <si>
    <t>DT_XD01_7100_DIVISION</t>
  </si>
  <si>
    <t>79600</t>
  </si>
  <si>
    <t>DT_XD01_7321_TERMS_OF_PAYMENT</t>
  </si>
  <si>
    <t>Scenario 02: Create Customer with Account Group ZCXT - DG External Trade Customer (w. VAT Nr)</t>
  </si>
  <si>
    <t>DT_SAPCLIENT</t>
  </si>
  <si>
    <t>08006083</t>
  </si>
  <si>
    <t>DT_XD01_7211_SORT_KEY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</si>
</sst>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8" borderId="1" xfId="0" applyFill="1" applyBorder="1" applyProtection="1">
      <protection locked="0"/>
    </xf>
    <xf numFmtId="0" fontId="1" fillId="8" borderId="0" xfId="0" applyFill="1" applyBorder="1" applyProtection="1">
      <protection locked="0"/>
    </xf>
    <xf numFmtId="164" fontId="1" fillId="9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2.3.1.1.3.%20Create%20Customer%20with%20Account%20Group%20ZCXT%20-%20DG%20External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C16"/>
  <sheetViews>
    <sheetView topLeftCell="AJ1" workbookViewId="0">
      <selection activeCell="AJ2" sqref="AJ2"/>
    </sheetView>
  </sheetViews>
  <sheetFormatPr defaultColWidth="9.125" defaultRowHeight="14.25"/>
  <cols>
    <col min="1" max="1" width="9.125" style="8" customWidth="1"/>
    <col min="2" max="2" width="83.875" style="8" customWidth="1"/>
    <col min="3" max="3" width="38.125" style="8" customWidth="1"/>
    <col min="4" max="4" width="15" style="8" customWidth="1"/>
    <col min="5" max="5" width="13.625" style="8" customWidth="1"/>
    <col min="6" max="6" width="44.5" style="8" customWidth="1"/>
    <col min="7" max="7" width="18.625" style="8" customWidth="1"/>
    <col min="8" max="8" width="16.75" style="8" customWidth="1"/>
    <col min="9" max="9" width="27.125" style="8" customWidth="1"/>
    <col min="10" max="10" width="33.375" style="8" customWidth="1"/>
    <col min="11" max="11" width="32" style="8" customWidth="1"/>
    <col min="12" max="12" width="30.625" style="8" customWidth="1"/>
    <col min="13" max="13" width="36.25" style="8" customWidth="1"/>
    <col min="14" max="14" width="38.375" style="8" customWidth="1"/>
    <col min="15" max="15" width="23.25" style="8" customWidth="1"/>
    <col min="16" max="16" width="34.625" style="8" customWidth="1"/>
    <col min="17" max="18" width="32.25" style="8" customWidth="1"/>
    <col min="19" max="19" width="38.5" style="8" customWidth="1"/>
    <col min="20" max="20" width="33" style="8" customWidth="1"/>
    <col min="21" max="21" width="38.875" style="8" customWidth="1"/>
    <col min="22" max="22" width="24.375" style="8" customWidth="1"/>
    <col min="23" max="23" width="22.375" style="8" customWidth="1"/>
    <col min="24" max="24" width="26.5" style="8" customWidth="1"/>
    <col min="25" max="25" width="18.625" style="8" customWidth="1"/>
    <col min="26" max="26" width="25.375" style="8" customWidth="1"/>
    <col min="27" max="27" width="25.875" style="8" customWidth="1"/>
    <col min="28" max="28" width="20.75" style="8" customWidth="1"/>
    <col min="29" max="29" width="28.75" style="8" customWidth="1"/>
    <col min="30" max="31" width="30.25" style="8" customWidth="1"/>
    <col min="32" max="32" width="27.375" style="8" customWidth="1"/>
    <col min="33" max="34" width="29.875" style="8" customWidth="1"/>
    <col min="35" max="35" width="33.75" style="8" customWidth="1"/>
    <col min="36" max="36" width="38.25" style="8" customWidth="1"/>
    <col min="37" max="37" width="43.75" style="8" customWidth="1"/>
    <col min="38" max="38" width="42.375" style="8" customWidth="1"/>
    <col min="39" max="39" width="34.75" style="8" customWidth="1"/>
    <col min="40" max="40" width="31.875" style="8" customWidth="1"/>
    <col min="41" max="41" width="25" style="8" customWidth="1"/>
    <col min="42" max="42" width="35.375" style="8" customWidth="1"/>
    <col min="43" max="43" width="34.625" style="8" customWidth="1"/>
    <col min="44" max="44" width="30.375" style="8" customWidth="1"/>
    <col min="45" max="45" width="29.875" style="8" customWidth="1"/>
    <col min="46" max="46" width="35.375" style="8" customWidth="1"/>
    <col min="47" max="47" width="36.75" style="8" customWidth="1"/>
    <col min="48" max="48" width="48.375" style="8" customWidth="1"/>
    <col min="49" max="49" width="78" style="8" customWidth="1"/>
    <col min="50" max="50" width="23" style="8" customWidth="1"/>
    <col min="51" max="51" width="71.125" style="8" customWidth="1"/>
    <col min="52" max="52" width="25.5" style="18" customWidth="1"/>
    <col min="53" max="53" width="88.5" style="8" customWidth="1"/>
    <col min="54" max="54" width="39.25" style="8" customWidth="1"/>
    <col min="55" max="55" width="20.25" style="8" customWidth="1"/>
    <col min="56" max="16384" width="9.125" style="8" customWidth="1"/>
  </cols>
  <sheetData>
    <row r="1" ht="12.75" customHeight="1" customFormat="1">
      <c r="A1" t="s">
        <v>58</v>
      </c>
      <c r="B1" t="s">
        <v>11</v>
      </c>
      <c r="C1" t="s">
        <v>36</v>
      </c>
      <c r="D1" t="s">
        <v>111</v>
      </c>
      <c r="E1" t="s">
        <v>106</v>
      </c>
      <c r="F1" t="s">
        <v>99</v>
      </c>
      <c r="G1" t="s">
        <v>46</v>
      </c>
      <c r="H1" t="s">
        <v>47</v>
      </c>
      <c r="I1" t="s">
        <v>2</v>
      </c>
      <c r="J1" t="s">
        <v>85</v>
      </c>
      <c r="K1" t="s">
        <v>76</v>
      </c>
      <c r="L1" t="s">
        <v>89</v>
      </c>
      <c r="M1" t="s">
        <v>37</v>
      </c>
      <c r="N1" t="s">
        <v>17</v>
      </c>
      <c r="O1" t="s">
        <v>107</v>
      </c>
      <c r="P1" t="s">
        <v>77</v>
      </c>
      <c r="Q1" t="s">
        <v>72</v>
      </c>
      <c r="R1" t="s">
        <v>19</v>
      </c>
      <c r="S1" t="s">
        <v>92</v>
      </c>
      <c r="T1" t="s">
        <v>20</v>
      </c>
      <c r="U1" t="s">
        <v>54</v>
      </c>
      <c r="V1" t="s">
        <v>4</v>
      </c>
      <c r="W1" t="s">
        <v>64</v>
      </c>
      <c r="X1" t="s">
        <v>73</v>
      </c>
      <c r="Y1" t="s">
        <v>79</v>
      </c>
      <c r="Z1" t="s">
        <v>49</v>
      </c>
      <c r="AA1" t="s">
        <v>14</v>
      </c>
      <c r="AB1" t="s">
        <v>26</v>
      </c>
      <c r="AC1" t="s">
        <v>5</v>
      </c>
      <c r="AD1" t="s">
        <v>8</v>
      </c>
      <c r="AE1" t="s">
        <v>40</v>
      </c>
      <c r="AF1" t="s">
        <v>55</v>
      </c>
      <c r="AG1" t="s">
        <v>81</v>
      </c>
      <c r="AH1" t="s">
        <v>21</v>
      </c>
      <c r="AI1" t="s">
        <v>28</v>
      </c>
      <c r="AJ1" t="s">
        <v>41</v>
      </c>
      <c r="AK1" t="s">
        <v>22</v>
      </c>
      <c r="AL1" t="s">
        <v>9</v>
      </c>
      <c r="AM1" t="s">
        <v>94</v>
      </c>
      <c r="AN1" t="s">
        <v>57</v>
      </c>
      <c r="AO1" t="s">
        <v>113</v>
      </c>
      <c r="AP1" t="s">
        <v>103</v>
      </c>
      <c r="AQ1" t="s">
        <v>42</v>
      </c>
      <c r="AR1" t="s">
        <v>31</v>
      </c>
      <c r="AS1" t="s">
        <v>32</v>
      </c>
      <c r="AT1" t="s">
        <v>109</v>
      </c>
      <c r="AU1" t="s">
        <v>96</v>
      </c>
      <c r="AV1" t="s">
        <v>68</v>
      </c>
      <c r="AW1" t="s">
        <v>104</v>
      </c>
      <c r="AX1" t="s">
        <v>69</v>
      </c>
      <c r="AY1" t="s">
        <v>10</v>
      </c>
      <c r="AZ1" t="s">
        <v>83</v>
      </c>
      <c r="BA1" t="s">
        <v>70</v>
      </c>
      <c r="BB1" t="s">
        <v>53</v>
      </c>
      <c r="BC1" t="s">
        <v>34</v>
      </c>
    </row>
    <row r="2" s="8" customFormat="1">
      <c r="A2" s="1">
        <v>1</v>
      </c>
      <c r="B2" s="1" t="s">
        <v>59</v>
      </c>
      <c r="C2" s="4" t="s">
        <v>97</v>
      </c>
      <c r="D2" s="4" t="s">
        <v>24</v>
      </c>
      <c r="E2" s="4" t="s">
        <v>74</v>
      </c>
      <c r="F2" s="4" t="s">
        <v>7</v>
      </c>
      <c r="G2" s="4" t="s">
        <v>75</v>
      </c>
      <c r="H2" s="4" t="s">
        <v>1</v>
      </c>
      <c r="I2" s="3" t="s">
        <v>88</v>
      </c>
      <c r="J2" s="3" t="s">
        <v>88</v>
      </c>
      <c r="K2" s="3" t="s">
        <v>71</v>
      </c>
      <c r="L2" s="2" t="s">
        <v>90</v>
      </c>
      <c r="M2" s="2" t="s">
        <v>86</v>
      </c>
      <c r="N2" s="2" t="s">
        <v>91</v>
      </c>
      <c r="O2" s="2" t="s">
        <v>25</v>
      </c>
      <c r="P2" s="2" t="s">
        <v>100</v>
      </c>
      <c r="Q2" s="2"/>
      <c r="R2" s="2" t="s">
        <v>38</v>
      </c>
      <c r="S2" s="2" t="s">
        <v>62</v>
      </c>
      <c r="T2" s="2" t="s">
        <v>63</v>
      </c>
      <c r="U2" s="2" t="s">
        <v>3</v>
      </c>
      <c r="V2" s="2" t="s">
        <v>48</v>
      </c>
      <c r="W2" s="2" t="s">
        <v>39</v>
      </c>
      <c r="X2" s="2" t="s">
        <v>78</v>
      </c>
      <c r="Y2" s="2" t="s">
        <v>101</v>
      </c>
      <c r="Z2" s="2" t="s">
        <v>87</v>
      </c>
      <c r="AA2" s="2" t="s">
        <v>50</v>
      </c>
      <c r="AB2" s="3" t="s">
        <v>51</v>
      </c>
      <c r="AC2" s="2" t="s">
        <v>27</v>
      </c>
      <c r="AD2" s="2" t="s">
        <v>6</v>
      </c>
      <c r="AE2" s="2" t="s">
        <v>108</v>
      </c>
      <c r="AF2" s="3" t="s">
        <v>80</v>
      </c>
      <c r="AG2" s="2" t="s">
        <v>65</v>
      </c>
      <c r="AH2" s="2" t="s">
        <v>112</v>
      </c>
      <c r="AI2" s="2" t="s">
        <v>102</v>
      </c>
      <c r="AJ2" s="2" t="s">
        <v>93</v>
      </c>
      <c r="AK2" s="2" t="s">
        <v>56</v>
      </c>
      <c r="AL2" s="3"/>
      <c r="AM2" s="2" t="s">
        <v>29</v>
      </c>
      <c r="AN2" s="2" t="s">
        <v>30</v>
      </c>
      <c r="AO2" s="2" t="s">
        <v>66</v>
      </c>
      <c r="AP2" s="2" t="s">
        <v>67</v>
      </c>
      <c r="AQ2" s="2" t="s">
        <v>82</v>
      </c>
      <c r="AR2" s="2" t="s">
        <v>95</v>
      </c>
      <c r="AS2" s="2" t="s">
        <v>80</v>
      </c>
      <c r="AT2" s="2" t="s">
        <v>43</v>
      </c>
      <c r="AU2" s="2" t="s">
        <v>25</v>
      </c>
      <c r="AV2" s="2" t="s">
        <v>80</v>
      </c>
      <c r="AW2" s="6" t="s">
        <v>15</v>
      </c>
      <c r="AX2" s="6" t="str">
        <f>MID(AW2,29,10)</f>
        <v>0004082802</v>
      </c>
      <c r="AY2" s="7" t="str">
        <f>CONCATENATE("Update/Creation of customer ",AX2," and Company Code 1006 succeeded")</f>
        <v>Update/Creation of customer 0004082802 and Company Code 1006 succeeded</v>
      </c>
      <c r="AZ2" s="15" t="e">
        <f>[1]Output!A2</f>
        <v>#REF!</v>
      </c>
      <c r="BA2" s="7" t="e">
        <f>CONCATENATE("Customer 00",AZ2," has been created for company code ",L2," sales area ",M2," ",N2," ",O2)</f>
        <v>#REF!</v>
      </c>
      <c r="BB2" s="3" t="s">
        <v>33</v>
      </c>
      <c r="BC2" s="10" t="s">
        <v>35</v>
      </c>
    </row>
    <row r="3" s="8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5" t="e">
        <f>[1]Output!A3</f>
        <v>#REF!</v>
      </c>
      <c r="BA3" s="7"/>
      <c r="BB3" s="1"/>
      <c r="BC3" s="9"/>
    </row>
    <row r="4" s="8" customFormat="1">
      <c r="A4" s="1">
        <v>3</v>
      </c>
      <c r="B4" s="1" t="s">
        <v>110</v>
      </c>
      <c r="C4" s="4" t="s">
        <v>97</v>
      </c>
      <c r="D4" s="4" t="s">
        <v>24</v>
      </c>
      <c r="E4" s="4" t="s">
        <v>0</v>
      </c>
      <c r="F4" s="13" t="s">
        <v>13</v>
      </c>
      <c r="G4" s="4" t="s">
        <v>75</v>
      </c>
      <c r="H4" s="4" t="s">
        <v>1</v>
      </c>
      <c r="I4" s="3" t="s">
        <v>88</v>
      </c>
      <c r="J4" s="3" t="s">
        <v>88</v>
      </c>
      <c r="K4" s="3" t="s">
        <v>71</v>
      </c>
      <c r="L4" s="2" t="s">
        <v>90</v>
      </c>
      <c r="M4" s="2" t="s">
        <v>86</v>
      </c>
      <c r="N4" s="2" t="s">
        <v>91</v>
      </c>
      <c r="O4" s="2" t="s">
        <v>25</v>
      </c>
      <c r="P4" s="2" t="s">
        <v>100</v>
      </c>
      <c r="Q4" s="2" t="s">
        <v>18</v>
      </c>
      <c r="R4" s="2" t="s">
        <v>38</v>
      </c>
      <c r="S4" s="2" t="s">
        <v>62</v>
      </c>
      <c r="T4" s="2" t="s">
        <v>63</v>
      </c>
      <c r="U4" s="2" t="s">
        <v>3</v>
      </c>
      <c r="V4" s="2" t="s">
        <v>48</v>
      </c>
      <c r="W4" s="2" t="s">
        <v>39</v>
      </c>
      <c r="X4" s="2" t="s">
        <v>78</v>
      </c>
      <c r="Y4" s="2" t="s">
        <v>101</v>
      </c>
      <c r="Z4" s="2" t="s">
        <v>87</v>
      </c>
      <c r="AA4" s="2" t="s">
        <v>50</v>
      </c>
      <c r="AB4" s="3" t="s">
        <v>51</v>
      </c>
      <c r="AC4" s="2" t="s">
        <v>27</v>
      </c>
      <c r="AD4" s="2" t="s">
        <v>6</v>
      </c>
      <c r="AE4" s="2" t="s">
        <v>108</v>
      </c>
      <c r="AF4" s="3" t="s">
        <v>80</v>
      </c>
      <c r="AG4" s="2" t="s">
        <v>65</v>
      </c>
      <c r="AH4" s="2" t="s">
        <v>112</v>
      </c>
      <c r="AI4" s="2" t="s">
        <v>102</v>
      </c>
      <c r="AJ4" s="2" t="s">
        <v>93</v>
      </c>
      <c r="AK4" s="2" t="s">
        <v>56</v>
      </c>
      <c r="AL4" s="3"/>
      <c r="AM4" s="2" t="s">
        <v>29</v>
      </c>
      <c r="AN4" s="2" t="s">
        <v>30</v>
      </c>
      <c r="AO4" s="2" t="s">
        <v>66</v>
      </c>
      <c r="AP4" s="2" t="s">
        <v>67</v>
      </c>
      <c r="AQ4" s="2" t="s">
        <v>82</v>
      </c>
      <c r="AR4" s="2" t="s">
        <v>95</v>
      </c>
      <c r="AS4" s="2" t="s">
        <v>80</v>
      </c>
      <c r="AT4" s="2" t="s">
        <v>43</v>
      </c>
      <c r="AU4" s="2" t="s">
        <v>25</v>
      </c>
      <c r="AV4" s="2" t="s">
        <v>80</v>
      </c>
      <c r="AW4" s="6" t="s">
        <v>15</v>
      </c>
      <c r="AX4" s="6" t="str">
        <f>MID(AW4,29,10)</f>
        <v>0004082802</v>
      </c>
      <c r="AY4" s="7" t="str">
        <f>CONCATENATE("Update/Creation of customer ",AX4," and Company Code 1006 succeeded")</f>
        <v>Update/Creation of customer 0004082802 and Company Code 1006 succeeded</v>
      </c>
      <c r="AZ4" s="15" t="e">
        <f>[1]Output!A4</f>
        <v>#REF!</v>
      </c>
      <c r="BA4" s="7" t="e">
        <f>CONCATENATE("Customer 00",AZ4," has been created for company code ",L4," sales area ",M4," ",N4," ",O4)</f>
        <v>#REF!</v>
      </c>
      <c r="BB4" s="3" t="s">
        <v>33</v>
      </c>
      <c r="BC4" s="10" t="s">
        <v>35</v>
      </c>
    </row>
    <row r="5" s="8" customFormat="1">
      <c r="A5" s="1"/>
      <c r="B5" s="1"/>
      <c r="C5" s="1"/>
      <c r="D5" s="1"/>
      <c r="E5" s="1"/>
      <c r="F5" s="4" t="s">
        <v>84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7" t="s">
        <v>52</v>
      </c>
      <c r="BA5" s="1"/>
      <c r="BB5" s="1"/>
      <c r="BC5" s="9"/>
    </row>
    <row r="6" s="8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7"/>
      <c r="BA6" s="1"/>
      <c r="BB6" s="1"/>
      <c r="BC6" s="9"/>
    </row>
    <row r="7" s="8" customForma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7"/>
      <c r="BA7" s="1"/>
      <c r="BB7" s="1"/>
      <c r="BC7" s="9"/>
    </row>
    <row r="8" s="8" customForma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7"/>
      <c r="BA8" s="1"/>
      <c r="BB8" s="1"/>
      <c r="BC8" s="9"/>
    </row>
    <row r="9" s="8" customFormat="1">
      <c r="A9" s="1"/>
      <c r="B9" s="1"/>
      <c r="C9" s="4" t="s">
        <v>105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7"/>
      <c r="BA9" s="1"/>
      <c r="BB9" s="1"/>
      <c r="BC9" s="9"/>
    </row>
    <row r="10" s="8" customFormat="1">
      <c r="A10" s="1"/>
      <c r="B10" s="1"/>
      <c r="C10" s="2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7"/>
      <c r="BA10" s="1"/>
      <c r="BB10" s="1"/>
      <c r="BC10" s="9"/>
    </row>
    <row r="11" s="8" customFormat="1">
      <c r="A11" s="1"/>
      <c r="B11" s="1"/>
      <c r="C11" s="12" t="s">
        <v>98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7"/>
      <c r="BA11" s="1"/>
      <c r="BB11" s="1"/>
      <c r="BC11" s="9"/>
    </row>
    <row r="12" s="8" customFormat="1">
      <c r="A12" s="1"/>
      <c r="B12" s="1"/>
      <c r="C12" s="11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7"/>
      <c r="BA12" s="1"/>
      <c r="BB12" s="1"/>
      <c r="BC12" s="9"/>
    </row>
    <row r="13" s="8" customFormat="1">
      <c r="A13" s="1"/>
      <c r="B13" s="1"/>
      <c r="C13" s="19" t="s">
        <v>23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7"/>
      <c r="BA13" s="1"/>
      <c r="BB13" s="1"/>
      <c r="BC13" s="9"/>
    </row>
    <row r="14" s="8" customFormat="1">
      <c r="A14" s="1"/>
      <c r="B14" s="1"/>
      <c r="C14" s="7" t="s">
        <v>60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7"/>
      <c r="BA14" s="1"/>
      <c r="BB14" s="1"/>
      <c r="BC14" s="9"/>
    </row>
    <row r="15" s="8" customFormat="1">
      <c r="A15" s="1"/>
      <c r="B15" s="1"/>
      <c r="C15" s="16" t="s">
        <v>12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7"/>
      <c r="BA15" s="1"/>
      <c r="BB15" s="1"/>
      <c r="BC15" s="9"/>
    </row>
    <row r="16" s="8" customFormat="1">
      <c r="A16" s="1"/>
      <c r="B16" s="1"/>
      <c r="C16" s="14" t="s">
        <v>61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7"/>
      <c r="BA16" s="1"/>
      <c r="BB16" s="1"/>
      <c r="BC16" s="9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A4"/>
  <sheetViews>
    <sheetView workbookViewId="0">
      <selection activeCell="A2" sqref="A2"/>
    </sheetView>
  </sheetViews>
  <sheetFormatPr defaultColWidth="9.125" defaultRowHeight="14.25"/>
  <cols>
    <col min="1" max="16384" width="9.125" style="8" customWidth="1"/>
  </cols>
  <sheetData>
    <row r="1" ht="12.75" customHeight="1" customFormat="1">
      <c r="A1" t="s">
        <v>44</v>
      </c>
    </row>
    <row r="2">
      <c r="A2" s="9">
        <v>11604692</v>
      </c>
    </row>
    <row r="3">
      <c r="A3" s="9"/>
    </row>
    <row r="4">
      <c r="A4" s="9">
        <v>11672085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