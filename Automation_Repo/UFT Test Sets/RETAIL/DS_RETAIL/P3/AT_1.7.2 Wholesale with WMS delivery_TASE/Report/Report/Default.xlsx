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TC1_Test_Wholesale WMS P1" sheetId="5" r:id="rId5"/>
    <sheet name="TC2_Test_Wholesale WMS P2" sheetId="6" r:id="rId6"/>
    <sheet name="TC3_Test_Wholesale WMS_P3" sheetId="7" r:id="rId7"/>
    <sheet name="AT {{1}RunTimeResultFolderC..00" sheetId="8" r:id="rId8"/>
    <sheet name="AT {{1}Test_Wholesale with ..00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<sst xmlns="http://schemas.openxmlformats.org/spreadsheetml/2006/main" uniqueCount="60">
  <si>
    <t>AUTODS</t>
  </si>
  <si>
    <t/>
  </si>
  <si>
    <t>DT_SAPTRANSACTIONCODE</t>
  </si>
  <si>
    <t>DT_MIGO_0200_GRIDCELL_0_DOC_NUMBER</t>
  </si>
  <si>
    <t>SW000001</t>
  </si>
  <si>
    <t>DT_DOC_NUMBER_OUTPUT</t>
  </si>
  <si>
    <t>DT_MIGO_0200_CHECK_TEXT_OF_TABLECELL_MESSAGE_TYPE_0</t>
  </si>
  <si>
    <t>DT_MIGO_1105_ACCOUNT_OCC1</t>
  </si>
  <si>
    <t>DT_MIGO_0750_CHECK_GETCELLVALUE_OF_GRIDCELL_0_PRCTR_OCC1</t>
  </si>
  <si>
    <t>DT_MIGO_Year</t>
  </si>
  <si>
    <t>Data Coming from another test</t>
  </si>
  <si>
    <t>DT_MIGO_0010_GODYNPROACTION</t>
  </si>
  <si>
    <t>DT_MIGO_0200_CHECK_TEXT_OF_TABLECELL_MOVEMENT_TYPE_0</t>
  </si>
  <si>
    <t>DT_MIGO_0750_GRIDCELL_1_ACCOUNT</t>
  </si>
  <si>
    <t>DT_MIGO_0750_CHECK_GETCELLVALUE_OF_GRIDCELL_0_PRCTR</t>
  </si>
  <si>
    <t>DT_MIGO_0102_CHECK_MESSAGEPARAMETER_OF_STATUSBAR</t>
  </si>
  <si>
    <t>Output Data</t>
  </si>
  <si>
    <t>DT_MIGO_2010_GODYNPROMAT_DOC</t>
  </si>
  <si>
    <t>%blank%</t>
  </si>
  <si>
    <t>Formulas</t>
  </si>
  <si>
    <t>200</t>
  </si>
  <si>
    <t>MIGO</t>
  </si>
  <si>
    <t>DT_MIGO_0100_DOC_INFO</t>
  </si>
  <si>
    <t>DT_MIGO_0100_OKCD_OCC1</t>
  </si>
  <si>
    <t>vf03</t>
  </si>
  <si>
    <t>DT_SAPSYSTEM</t>
  </si>
  <si>
    <t>DT_MIGO_1105_ACCOUNT</t>
  </si>
  <si>
    <t>DT_ACCOUNTING_DOC_NO</t>
  </si>
  <si>
    <t>Input Data</t>
  </si>
  <si>
    <t>5fa25a0597c8e7b484566a80ecfbd128b55089cc179ee1eef13b</t>
  </si>
  <si>
    <t>DT_SAPLANGUAGE</t>
  </si>
  <si>
    <t>DT_SAPOPTIONS</t>
  </si>
  <si>
    <t>0</t>
  </si>
  <si>
    <t>SCENARIO</t>
  </si>
  <si>
    <t>DT_MIGO_0101_BILLING_DOCUMENT</t>
  </si>
  <si>
    <t>Verifications</t>
  </si>
  <si>
    <t>Execution Control Data</t>
  </si>
  <si>
    <t>601</t>
  </si>
  <si>
    <t>DT_MIGO_0102_CHECK_TEXT_OF_STATUSBAR</t>
  </si>
  <si>
    <t>30112301</t>
  </si>
  <si>
    <t>Wholesale with WMS delivery - Integration_p3</t>
  </si>
  <si>
    <t>DT_MIGO_0200_CHECK_GETCELLVALUE_OF_GRIDCELL_0_DOCNR</t>
  </si>
  <si>
    <t>EN</t>
  </si>
  <si>
    <t>DT_MIGO_0100_OKCD</t>
  </si>
  <si>
    <t>vf01</t>
  </si>
  <si>
    <t>ZGRS</t>
  </si>
  <si>
    <t>DT_MIGO_0750_GRIDCELL_1_ACCOUNT_OCC1</t>
  </si>
  <si>
    <t>ROW_NUMBER</t>
  </si>
  <si>
    <t>R1E - SAP RETAIL Pre-Production EUROPE</t>
  </si>
  <si>
    <t>Fixed Data</t>
  </si>
  <si>
    <t>DT_SAPPASSWORD</t>
  </si>
  <si>
    <t>A04</t>
  </si>
  <si>
    <t>DT_MIGO_0102_TABLECELL_DOCUMENT_0</t>
  </si>
  <si>
    <t>Login Information</t>
  </si>
  <si>
    <t>DT_SAPUSER</t>
  </si>
  <si>
    <t>2</t>
  </si>
  <si>
    <t>DT_MIGO_0200_GRIDCELL_0_DOC_NUMBER_OCC1</t>
  </si>
  <si>
    <t>DT_SAPCLIENT</t>
  </si>
  <si>
    <t>DT_MIGO_0200_SAPLVMSGTABCONTROL</t>
  </si>
  <si>
    <t>True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</si>
</sst>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2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8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S\RETAIL\DT_Wholesale%20with%20WMS%20delivery%20-%20Integration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E16"/>
  <sheetViews>
    <sheetView workbookViewId="0">
      <pane xSplit="1" ySplit="0" topLeftCell="R2" activePane="topRight"/>
      <selection activeCell="R2" sqref="R2"/>
      <selection pane="topRight" activeCell="R2" sqref="R2"/>
    </sheetView>
  </sheetViews>
  <sheetFormatPr defaultColWidth="9.125" defaultRowHeight="14.25"/>
  <cols>
    <col min="1" max="1" width="14.625" style="12" customWidth="1"/>
    <col min="2" max="2" width="38.5" style="12" customWidth="1"/>
    <col min="3" max="3" width="38.125" style="12" customWidth="1"/>
    <col min="4" max="4" width="15" style="12" customWidth="1"/>
    <col min="5" max="5" width="13.625" style="12" customWidth="1"/>
    <col min="6" max="6" width="28" style="12" customWidth="1"/>
    <col min="7" max="7" width="18.625" style="12" customWidth="1"/>
    <col min="8" max="8" width="16.75" style="12" customWidth="1"/>
    <col min="9" max="9" width="27.125" style="12" customWidth="1"/>
    <col min="10" max="10" width="33.125" style="12" customWidth="1"/>
    <col min="11" max="11" width="35.125" style="12" customWidth="1"/>
    <col min="12" max="12" width="24.75" style="12" customWidth="1"/>
    <col min="13" max="13" width="62.25" style="12" customWidth="1"/>
    <col min="14" max="14" width="40.625" style="12" customWidth="1"/>
    <col min="15" max="15" width="36.625" style="12" customWidth="1"/>
    <col min="16" max="16" width="24.5" style="12" customWidth="1"/>
    <col min="17" max="17" width="60.25" style="12" customWidth="1"/>
    <col min="18" max="18" width="20.5" style="12" customWidth="1"/>
    <col min="19" max="19" width="39.625" style="12" customWidth="1"/>
    <col min="20" max="20" width="59.5" style="12" customWidth="1"/>
    <col min="21" max="21" width="43.5" style="12" customWidth="1"/>
    <col min="22" max="22" width="26.375" style="12" customWidth="1"/>
    <col min="23" max="23" width="34.125" style="12" customWidth="1"/>
    <col min="24" max="24" width="60.625" style="12" customWidth="1"/>
    <col min="25" max="25" width="38.25" style="12" customWidth="1"/>
    <col min="26" max="26" width="60.5" style="12" customWidth="1"/>
    <col min="27" max="27" width="46.5" style="12" customWidth="1"/>
    <col min="28" max="28" width="42.5" style="12" customWidth="1"/>
    <col min="29" max="29" width="30.375" style="12" customWidth="1"/>
    <col min="30" max="30" width="66.125" style="12" customWidth="1"/>
    <col min="31" max="16384" width="9.125" style="12" customWidth="1"/>
  </cols>
  <sheetData>
    <row r="1" ht="12.75" customHeight="1" customFormat="1">
      <c r="A1" t="s">
        <v>47</v>
      </c>
      <c r="B1" t="s">
        <v>33</v>
      </c>
      <c r="C1" t="s">
        <v>25</v>
      </c>
      <c r="D1" t="s">
        <v>57</v>
      </c>
      <c r="E1" t="s">
        <v>54</v>
      </c>
      <c r="F1" t="s">
        <v>50</v>
      </c>
      <c r="G1" t="s">
        <v>30</v>
      </c>
      <c r="H1" t="s">
        <v>31</v>
      </c>
      <c r="I1" t="s">
        <v>2</v>
      </c>
      <c r="J1" t="s">
        <v>11</v>
      </c>
      <c r="K1" t="s">
        <v>17</v>
      </c>
      <c r="L1" t="s">
        <v>22</v>
      </c>
      <c r="M1" t="s">
        <v>12</v>
      </c>
      <c r="N1" t="s">
        <v>3</v>
      </c>
      <c r="O1" t="s">
        <v>13</v>
      </c>
      <c r="P1" t="s">
        <v>26</v>
      </c>
      <c r="Q1" t="s">
        <v>14</v>
      </c>
      <c r="R1" t="s">
        <v>43</v>
      </c>
      <c r="S1" t="s">
        <v>52</v>
      </c>
      <c r="T1" t="s">
        <v>15</v>
      </c>
      <c r="U1" t="s">
        <v>38</v>
      </c>
      <c r="V1" t="s">
        <v>23</v>
      </c>
      <c r="W1" t="s">
        <v>34</v>
      </c>
      <c r="X1" t="s">
        <v>6</v>
      </c>
      <c r="Y1" t="s">
        <v>58</v>
      </c>
      <c r="Z1" t="s">
        <v>41</v>
      </c>
      <c r="AA1" t="s">
        <v>56</v>
      </c>
      <c r="AB1" t="s">
        <v>46</v>
      </c>
      <c r="AC1" t="s">
        <v>7</v>
      </c>
      <c r="AD1" t="s">
        <v>8</v>
      </c>
      <c r="AE1" t="s">
        <v>9</v>
      </c>
    </row>
    <row r="2">
      <c r="A2" s="8">
        <v>2</v>
      </c>
      <c r="B2" s="8" t="s">
        <v>40</v>
      </c>
      <c r="C2" s="3" t="s">
        <v>48</v>
      </c>
      <c r="D2" s="3" t="s">
        <v>20</v>
      </c>
      <c r="E2" s="3" t="s">
        <v>0</v>
      </c>
      <c r="F2" s="3" t="s">
        <v>29</v>
      </c>
      <c r="G2" s="3" t="s">
        <v>42</v>
      </c>
      <c r="H2" s="3" t="s">
        <v>1</v>
      </c>
      <c r="I2" s="6" t="s">
        <v>21</v>
      </c>
      <c r="J2" s="2" t="s">
        <v>51</v>
      </c>
      <c r="K2" s="7">
        <v>3903752013</v>
      </c>
      <c r="L2" s="6" t="s">
        <v>55</v>
      </c>
      <c r="M2" s="5" t="s">
        <v>37</v>
      </c>
      <c r="N2" s="2" t="s">
        <v>32</v>
      </c>
      <c r="O2" s="2" t="s">
        <v>18</v>
      </c>
      <c r="P2" s="2">
        <v>30310101</v>
      </c>
      <c r="Q2" s="5" t="s">
        <v>4</v>
      </c>
      <c r="R2" s="6" t="s">
        <v>44</v>
      </c>
      <c r="S2" s="13">
        <v>9223161537</v>
      </c>
      <c r="T2" s="9" t="e">
        <f>[1]Output!A2</f>
        <v>#REF!</v>
      </c>
      <c r="U2" s="5" t="e">
        <f t="shared" si="0" ref="U2:U4">"Document "&amp;T2&amp;" has been saved"</f>
        <v>#REF!</v>
      </c>
      <c r="V2" s="6" t="s">
        <v>24</v>
      </c>
      <c r="W2" s="10" t="e">
        <f t="shared" si="1" ref="W2:W4">T2</f>
        <v>#REF!</v>
      </c>
      <c r="X2" s="5" t="s">
        <v>45</v>
      </c>
      <c r="Y2" s="6" t="s">
        <v>59</v>
      </c>
      <c r="Z2" s="9" t="str">
        <f>"0000000017"</f>
        <v>0000000017</v>
      </c>
      <c r="AA2" s="2" t="s">
        <v>32</v>
      </c>
      <c r="AB2" s="2" t="s">
        <v>18</v>
      </c>
      <c r="AC2" s="2" t="s">
        <v>39</v>
      </c>
      <c r="AD2" s="5" t="s">
        <v>4</v>
      </c>
      <c r="AE2" s="11">
        <f ca="1" t="shared" si="2" ref="AE2:AE4">YEAR(TODAY())</f>
        <v>2025</v>
      </c>
    </row>
    <row r="3">
      <c r="A3" s="8">
        <v>3</v>
      </c>
      <c r="B3" s="8" t="s">
        <v>40</v>
      </c>
      <c r="C3" s="3" t="s">
        <v>48</v>
      </c>
      <c r="D3" s="3" t="s">
        <v>20</v>
      </c>
      <c r="E3" s="3" t="s">
        <v>0</v>
      </c>
      <c r="F3" s="3" t="s">
        <v>29</v>
      </c>
      <c r="G3" s="3" t="s">
        <v>42</v>
      </c>
      <c r="H3" s="3" t="s">
        <v>1</v>
      </c>
      <c r="I3" s="6" t="s">
        <v>21</v>
      </c>
      <c r="J3" s="2" t="s">
        <v>51</v>
      </c>
      <c r="K3" s="7">
        <v>0</v>
      </c>
      <c r="L3" s="6" t="s">
        <v>55</v>
      </c>
      <c r="M3" s="5" t="s">
        <v>37</v>
      </c>
      <c r="N3" s="2" t="s">
        <v>32</v>
      </c>
      <c r="O3" s="2" t="s">
        <v>18</v>
      </c>
      <c r="P3" s="2">
        <v>30310101</v>
      </c>
      <c r="Q3" s="5" t="s">
        <v>4</v>
      </c>
      <c r="R3" s="6" t="s">
        <v>44</v>
      </c>
      <c r="S3" s="7">
        <v>9156752450</v>
      </c>
      <c r="T3" s="9" t="e">
        <f>[1]Output!A3</f>
        <v>#REF!</v>
      </c>
      <c r="U3" s="5" t="e">
        <f t="shared" si="0"/>
        <v>#REF!</v>
      </c>
      <c r="V3" s="6" t="s">
        <v>24</v>
      </c>
      <c r="W3" s="10" t="e">
        <f t="shared" si="1"/>
        <v>#REF!</v>
      </c>
      <c r="X3" s="5" t="s">
        <v>45</v>
      </c>
      <c r="Y3" s="6" t="s">
        <v>59</v>
      </c>
      <c r="Z3" s="9" t="str">
        <f>"0000000048"</f>
        <v>0000000048</v>
      </c>
      <c r="AA3" s="2" t="s">
        <v>32</v>
      </c>
      <c r="AB3" s="2" t="s">
        <v>18</v>
      </c>
      <c r="AC3" s="2" t="s">
        <v>39</v>
      </c>
      <c r="AD3" s="5" t="s">
        <v>4</v>
      </c>
      <c r="AE3" s="11">
        <f ca="1" t="shared" si="2"/>
        <v>2025</v>
      </c>
    </row>
    <row r="4">
      <c r="A4" s="8">
        <v>4</v>
      </c>
      <c r="B4" s="8" t="s">
        <v>40</v>
      </c>
      <c r="C4" s="3" t="s">
        <v>48</v>
      </c>
      <c r="D4" s="3" t="s">
        <v>20</v>
      </c>
      <c r="E4" s="3" t="s">
        <v>0</v>
      </c>
      <c r="F4" s="3" t="s">
        <v>29</v>
      </c>
      <c r="G4" s="3" t="s">
        <v>42</v>
      </c>
      <c r="H4" s="3" t="s">
        <v>1</v>
      </c>
      <c r="I4" s="6" t="s">
        <v>21</v>
      </c>
      <c r="J4" s="2" t="s">
        <v>51</v>
      </c>
      <c r="K4" s="7">
        <v>0</v>
      </c>
      <c r="L4" s="6" t="s">
        <v>55</v>
      </c>
      <c r="M4" s="5" t="s">
        <v>37</v>
      </c>
      <c r="N4" s="2" t="s">
        <v>32</v>
      </c>
      <c r="O4" s="2" t="s">
        <v>18</v>
      </c>
      <c r="P4" s="2">
        <v>30310101</v>
      </c>
      <c r="Q4" s="5" t="s">
        <v>4</v>
      </c>
      <c r="R4" s="6" t="s">
        <v>44</v>
      </c>
      <c r="S4" s="7">
        <v>9156752609</v>
      </c>
      <c r="T4" s="9" t="e">
        <f>[1]Output!A4</f>
        <v>#REF!</v>
      </c>
      <c r="U4" s="5" t="e">
        <f t="shared" si="0"/>
        <v>#REF!</v>
      </c>
      <c r="V4" s="6" t="s">
        <v>24</v>
      </c>
      <c r="W4" s="10" t="e">
        <f t="shared" si="1"/>
        <v>#REF!</v>
      </c>
      <c r="X4" s="5" t="s">
        <v>45</v>
      </c>
      <c r="Y4" s="6" t="s">
        <v>59</v>
      </c>
      <c r="Z4" s="9" t="str">
        <f>"0000000049"</f>
        <v>0000000049</v>
      </c>
      <c r="AA4" s="2" t="s">
        <v>32</v>
      </c>
      <c r="AB4" s="2" t="s">
        <v>18</v>
      </c>
      <c r="AC4" s="2" t="s">
        <v>39</v>
      </c>
      <c r="AD4" s="5" t="s">
        <v>4</v>
      </c>
      <c r="AE4" s="11">
        <f ca="1" t="shared" si="2"/>
        <v>2025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4"/>
      <c r="AE5" s="1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>
        <v>30310101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1"/>
    </row>
    <row r="8">
      <c r="A8" s="1"/>
      <c r="B8" s="1"/>
      <c r="C8" s="3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1"/>
    </row>
    <row r="9">
      <c r="A9" s="1"/>
      <c r="B9" s="1"/>
      <c r="C9" s="2" t="s">
        <v>28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1"/>
    </row>
    <row r="10">
      <c r="A10" s="1"/>
      <c r="B10" s="1"/>
      <c r="C10" s="15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1"/>
    </row>
    <row r="11">
      <c r="A11" s="1"/>
      <c r="B11" s="1"/>
      <c r="C11" s="9" t="s">
        <v>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1"/>
    </row>
    <row r="12">
      <c r="A12" s="1"/>
      <c r="B12" s="1"/>
      <c r="C12" s="10" t="s">
        <v>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1"/>
    </row>
    <row r="13">
      <c r="A13" s="1"/>
      <c r="B13" s="1"/>
      <c r="C13" s="5" t="s">
        <v>35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1"/>
    </row>
    <row r="14">
      <c r="A14" s="1"/>
      <c r="B14" s="1"/>
      <c r="C14" s="7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1"/>
    </row>
    <row r="15">
      <c r="A15" s="1"/>
      <c r="B15" s="1"/>
      <c r="C15" s="8" t="s">
        <v>36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>
        <v>9156576577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3">
        <v>9156590283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1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" width="22.375" style="12" customWidth="1"/>
    <col min="2" max="16384" width="9.125" style="12" customWidth="1"/>
  </cols>
  <sheetData>
    <row r="1" ht="12.75" customHeight="1" customFormat="1">
      <c r="A1" t="s">
        <v>5</v>
      </c>
      <c r="B1" t="s">
        <v>27</v>
      </c>
      <c r="C1" t="s">
        <v>41</v>
      </c>
    </row>
    <row r="2">
      <c r="A2" s="1"/>
      <c r="B2" s="1">
        <v>48</v>
      </c>
      <c r="C2" s="11"/>
    </row>
    <row r="3">
      <c r="A3" s="1">
        <v>9011340092</v>
      </c>
      <c r="B3" s="1">
        <v>3</v>
      </c>
      <c r="C3" s="11"/>
    </row>
    <row r="4">
      <c r="A4" s="1">
        <v>9011395538</v>
      </c>
      <c r="B4" s="1">
        <v>9</v>
      </c>
      <c r="C4" s="11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