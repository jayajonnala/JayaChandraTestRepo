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DataTransfer 1" sheetId="3" r:id="rId3"/>
    <sheet name="TC1_Test_Self consumption p1" sheetId="4" r:id="rId4"/>
    <sheet name="TC2_Test_Self consumption p2" sheetId="5" r:id="rId5"/>
    <sheet name="AT {{1}RunTimeResultFolderC..00" sheetId="6" r:id="rId6"/>
  </sheets>
  <externalReferences>
    <externalReference r:id="rId10"/>
    <externalReference r:id="rId11"/>
  </externalReferences>
  <calcPr calcId="40001"/>
</workbook>
</file>

<file path=xl/sharedStrings.xml><?xml version="1.0" encoding="utf-8"?>
<sst xmlns="http://schemas.openxmlformats.org/spreadsheetml/2006/main" uniqueCount="59">
  <si>
    <t>AUTODS</t>
  </si>
  <si>
    <t/>
  </si>
  <si>
    <t>DT_SAPTRANSACTIONCODE</t>
  </si>
  <si>
    <t>DT_VL10C_0750_OKCD</t>
  </si>
  <si>
    <t>AT_Self consumption for logicstic department in DC for DRY goods</t>
  </si>
  <si>
    <t>DT_VL10C_0120_CHECK_TEXT_OF_NO_NAME_OCC1_OUTPUT</t>
  </si>
  <si>
    <t>Data Coming from another test</t>
  </si>
  <si>
    <t>DT_VL10C_1502_CHECK_TEXT_OF_OUTBOUND_DELIV</t>
  </si>
  <si>
    <t>DT_VL10C_0120_CHECK_TEXT_OF_STATUSBAR</t>
  </si>
  <si>
    <t>DT_VL10C_0101_BILLING_DOCUMENT</t>
  </si>
  <si>
    <t>DT_PO_INC</t>
  </si>
  <si>
    <t>Output Data</t>
  </si>
  <si>
    <t>DT_VL10C_0102_CHECK_MESSAGEPARAMETER_OF_STATUSBAR</t>
  </si>
  <si>
    <t>Formulas</t>
  </si>
  <si>
    <t>200</t>
  </si>
  <si>
    <t>ON</t>
  </si>
  <si>
    <t>DT_EXPECTEDVALUE</t>
  </si>
  <si>
    <t>DT_VL10C_0120_CHECK_MESSAGEPARAMETER_OF_STATUSBAR</t>
  </si>
  <si>
    <t>DT_VL10C_0102_TABLECELL_DOCUMENT_0</t>
  </si>
  <si>
    <t>DT_SAPSYSTEM</t>
  </si>
  <si>
    <t>DT_VL10C_0120_OKCD</t>
  </si>
  <si>
    <t>DT_VL10C_0120_OKCD_OCC1</t>
  </si>
  <si>
    <t>DT_VL10C_0102_CHECK_MESSAGEPARAMETER_OF_STATUSBAR_OUTPUT</t>
  </si>
  <si>
    <t>Input Data</t>
  </si>
  <si>
    <t>5fa25a0597c8e7b484566a80ecfbd128b55089cc179ee1eef13b</t>
  </si>
  <si>
    <t>DT_SAPLANGUAGE</t>
  </si>
  <si>
    <t>DT_SAPOPTIONS</t>
  </si>
  <si>
    <t>S</t>
  </si>
  <si>
    <t>SCENARIO</t>
  </si>
  <si>
    <t>VL10C</t>
  </si>
  <si>
    <t>Sales Orders</t>
  </si>
  <si>
    <t>DT_VL10C_0120_CHECK_TEXT_OF_NO_NAME</t>
  </si>
  <si>
    <t>Verifications</t>
  </si>
  <si>
    <t>Execution Control Data</t>
  </si>
  <si>
    <t>from p1</t>
  </si>
  <si>
    <t>DT_EXPECTEDVALUE_OCC1</t>
  </si>
  <si>
    <t>DT_VL10C_0120_CHECK_TEXT_OF_NO_NAME_OCC1</t>
  </si>
  <si>
    <t>EN</t>
  </si>
  <si>
    <t>DT_VL10C_0200_GRIDCELL_0_DOC_NUMBER</t>
  </si>
  <si>
    <t>DT_VL02N_0200_GRIDCELL_0_ART_DOC_NUMBER</t>
  </si>
  <si>
    <t>TEMP_DATA</t>
  </si>
  <si>
    <t>DT_EXPECTEDVALUE_OCC2</t>
  </si>
  <si>
    <t>/nEX</t>
  </si>
  <si>
    <t>ROW_NUMBER</t>
  </si>
  <si>
    <t>Fixed Data</t>
  </si>
  <si>
    <t>R1E - SAP RETAIL Pre-Production EUROPE</t>
  </si>
  <si>
    <t>DT_SAPPASSWORD</t>
  </si>
  <si>
    <t>DT_VL10C_1020_SALES_DOCUMENT</t>
  </si>
  <si>
    <t>Self Consumption</t>
  </si>
  <si>
    <t>DT_ARTICLE_DOCUMENT_NUM_OUTPUT</t>
  </si>
  <si>
    <t>Login Information</t>
  </si>
  <si>
    <t>DT_SAPUSER</t>
  </si>
  <si>
    <t>DT_VL10C_0120_NO_NAME</t>
  </si>
  <si>
    <t>DT_VL10C_0120_NO_NAME_OCC1</t>
  </si>
  <si>
    <t>DT_VL10C_0102_CHECK_TEXT_OF_STATUSBAR</t>
  </si>
  <si>
    <t>DT_VL10C_0120_CHECK_MESSAGEPARAMETER_OF_STATUSBAR_OUTPUT</t>
  </si>
  <si>
    <t>DT_SAPCLIENT</t>
  </si>
  <si>
    <t>DT_VL10C_1000_SALES_ORDERS</t>
  </si>
  <si>
    <t>VF01</t>
  </si>
</sst>
</file>

<file path=xl/styles.xml><?xml version="1.0" encoding="utf-8"?>
<styleSheet xmlns="http://schemas.openxmlformats.org/spreadsheetml/2006/main">
  <numFmts count="0"/>
  <fonts count="23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3.5"/>
      <color rgb="FF000080"/>
      <name val="Arial"/>
      <family val="2"/>
    </font>
    <font>
      <sz val="11"/>
      <color indexed="53"/>
      <name val="Mic Shell Dlg"/>
      <charset val="1"/>
    </font>
    <font>
      <sz val="9"/>
      <color rgb="FF222222"/>
      <name val="Arial"/>
      <family val="2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2" fillId="4" borderId="1" xfId="0" applyNumberFormat="1" applyFont="1" applyFill="1" applyBorder="1" applyProtection="1">
      <protection locked="0"/>
    </xf>
    <xf numFmtId="0" fontId="1" fillId="0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8" borderId="1" xfId="0" applyFill="1" applyBorder="1" applyProtection="1">
      <protection locked="0"/>
    </xf>
    <xf numFmtId="0" fontId="3" fillId="0" borderId="1" xfId="0" applyFont="1" applyBorder="1" applyProtection="1">
      <protection locked="0"/>
    </xf>
    <xf numFmtId="0" fontId="1" fillId="9" borderId="1" xfId="0" applyNumberFormat="1" applyFont="1" applyFill="1" applyBorder="1" applyProtection="1">
      <protection locked="0"/>
    </xf>
    <xf numFmtId="0" fontId="1" fillId="10" borderId="1" xfId="0" applyNumberFormat="1" applyFont="1" applyFill="1" applyBorder="1" applyProtection="1">
      <protection locked="0"/>
    </xf>
    <xf numFmtId="0" fontId="1" fillId="0" borderId="0" xfId="0" applyNumberFormat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8" borderId="0" xfId="0" applyFill="1" applyBorder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8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10" Type="http://schemas.openxmlformats.org/officeDocument/2006/relationships/externalLink" Target="externalLinks/externalLink1.xml" /><Relationship Id="rId11" Type="http://schemas.openxmlformats.org/officeDocument/2006/relationships/externalLink" Target="externalLinks/externalLink2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Self%20consumption%20for%20logicstic%20department%20in%20DC%20for%20DRY%20goods_p2_TASE.xls" TargetMode="External" /></Relationships>
</file>

<file path=xl/externalLinks/_rels/externalLink2.xml.rels>&#65279;<?xml version="1.0" encoding="utf-8"?><Relationships xmlns="http://schemas.openxmlformats.org/package/2006/relationships"><Relationship Id="rId1" Type="http://schemas.microsoft.com/office/2006/relationships/xlExternalLinkPath/xlPathMissing" Target="DT_Self%20consumption%20for%20logicstic%20department%20in%20DC%20for%20DRY%20goods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F21"/>
  <sheetViews>
    <sheetView topLeftCell="S1" workbookViewId="0">
      <selection activeCell="S2" sqref="S2"/>
    </sheetView>
  </sheetViews>
  <sheetFormatPr defaultColWidth="9.125" defaultRowHeight="14.25"/>
  <cols>
    <col min="1" max="1" width="21.875" style="17" customWidth="1"/>
    <col min="2" max="2" width="64.375" style="17" customWidth="1"/>
    <col min="3" max="3" width="38.125" style="11" customWidth="1"/>
    <col min="4" max="4" width="15" style="11" customWidth="1"/>
    <col min="5" max="5" width="13.625" style="11" customWidth="1"/>
    <col min="6" max="6" width="28.5" style="11" customWidth="1"/>
    <col min="7" max="7" width="18.625" style="11" customWidth="1"/>
    <col min="8" max="8" width="16.75" style="11" customWidth="1"/>
    <col min="9" max="9" width="27.125" style="11" customWidth="1"/>
    <col min="10" max="10" width="31.125" style="11" customWidth="1"/>
    <col min="11" max="11" width="33.875" style="19" customWidth="1"/>
    <col min="12" max="12" width="25.25" style="11" customWidth="1"/>
    <col min="13" max="13" width="20.75" style="11" customWidth="1"/>
    <col min="14" max="14" width="31.125" style="11" customWidth="1"/>
    <col min="15" max="15" width="26.625" style="11" customWidth="1"/>
    <col min="16" max="16" width="41.875" style="11" customWidth="1"/>
    <col min="17" max="17" width="47.75" style="11" customWidth="1"/>
    <col min="18" max="18" width="49.875" style="11" customWidth="1"/>
    <col min="19" max="19" width="26.625" style="11" customWidth="1"/>
    <col min="20" max="21" width="60.25" style="11" customWidth="1"/>
    <col min="22" max="22" width="21.25" style="11" customWidth="1"/>
    <col min="23" max="23" width="40.375" style="11" customWidth="1"/>
    <col min="24" max="24" width="60.25" style="11" customWidth="1"/>
    <col min="25" max="25" width="44.25" style="11" customWidth="1"/>
    <col min="26" max="26" width="34.875" style="11" customWidth="1"/>
    <col min="27" max="27" width="41.375" style="11" customWidth="1"/>
    <col min="28" max="28" width="21.25" style="11" customWidth="1"/>
    <col min="29" max="29" width="27.125" style="11" customWidth="1"/>
    <col min="30" max="16384" width="9.125" style="11" customWidth="1"/>
  </cols>
  <sheetData>
    <row r="1" ht="12.75" customHeight="1" customFormat="1">
      <c r="A1" t="s">
        <v>43</v>
      </c>
      <c r="B1" t="s">
        <v>28</v>
      </c>
      <c r="C1" t="s">
        <v>19</v>
      </c>
      <c r="D1" t="s">
        <v>56</v>
      </c>
      <c r="E1" t="s">
        <v>51</v>
      </c>
      <c r="F1" t="s">
        <v>46</v>
      </c>
      <c r="G1" t="s">
        <v>25</v>
      </c>
      <c r="H1" t="s">
        <v>26</v>
      </c>
      <c r="I1" t="s">
        <v>2</v>
      </c>
      <c r="J1" t="s">
        <v>57</v>
      </c>
      <c r="K1" t="s">
        <v>47</v>
      </c>
      <c r="L1" t="s">
        <v>52</v>
      </c>
      <c r="M1" t="s">
        <v>16</v>
      </c>
      <c r="N1" t="s">
        <v>53</v>
      </c>
      <c r="O1" t="s">
        <v>35</v>
      </c>
      <c r="P1" t="s">
        <v>31</v>
      </c>
      <c r="Q1" t="s">
        <v>36</v>
      </c>
      <c r="R1" t="s">
        <v>7</v>
      </c>
      <c r="S1" t="s">
        <v>41</v>
      </c>
      <c r="T1" t="s">
        <v>17</v>
      </c>
      <c r="U1" t="s">
        <v>8</v>
      </c>
      <c r="V1" t="s">
        <v>20</v>
      </c>
      <c r="W1" t="s">
        <v>18</v>
      </c>
      <c r="X1" t="s">
        <v>12</v>
      </c>
      <c r="Y1" t="s">
        <v>54</v>
      </c>
      <c r="Z1" t="s">
        <v>9</v>
      </c>
      <c r="AA1" t="s">
        <v>38</v>
      </c>
      <c r="AB1" t="s">
        <v>3</v>
      </c>
      <c r="AC1" t="s">
        <v>21</v>
      </c>
      <c r="AD1" t="s">
        <v>10</v>
      </c>
      <c r="AE1" t="s">
        <v>40</v>
      </c>
      <c r="AF1" t="s">
        <v>39</v>
      </c>
    </row>
    <row r="2" s="11" customFormat="1">
      <c r="A2" s="7">
        <v>1</v>
      </c>
      <c r="B2" s="7" t="s">
        <v>4</v>
      </c>
      <c r="C2" s="3" t="s">
        <v>45</v>
      </c>
      <c r="D2" s="3" t="s">
        <v>14</v>
      </c>
      <c r="E2" s="3" t="s">
        <v>0</v>
      </c>
      <c r="F2" s="18" t="s">
        <v>24</v>
      </c>
      <c r="G2" s="3" t="s">
        <v>37</v>
      </c>
      <c r="H2" s="3" t="s">
        <v>1</v>
      </c>
      <c r="I2" s="23" t="s">
        <v>29</v>
      </c>
      <c r="J2" s="2" t="s">
        <v>30</v>
      </c>
      <c r="K2" s="22">
        <v>227063369</v>
      </c>
      <c r="L2" s="2" t="s">
        <v>15</v>
      </c>
      <c r="M2" s="2" t="s">
        <v>27</v>
      </c>
      <c r="N2" s="2" t="s">
        <v>15</v>
      </c>
      <c r="O2" s="2" t="s">
        <v>27</v>
      </c>
      <c r="P2" s="4"/>
      <c r="Q2" s="10" t="e">
        <f>[1]Output!A2</f>
        <v>#REF!</v>
      </c>
      <c r="R2" s="4" t="e">
        <f t="shared" si="0" ref="R2:R4">Q2</f>
        <v>#REF!</v>
      </c>
      <c r="S2" s="2" t="s">
        <v>27</v>
      </c>
      <c r="T2" s="10" t="e">
        <f>[1]Output!B2</f>
        <v>#REF!</v>
      </c>
      <c r="U2" s="4" t="e">
        <f>T2 &amp; " " &amp; Q2  &amp; " saved, article document" &amp; " " &amp; AF2  &amp; " created"</f>
        <v>#REF!</v>
      </c>
      <c r="V2" s="5" t="s">
        <v>58</v>
      </c>
      <c r="W2" s="9" t="e">
        <f t="shared" si="1" ref="W2:W4">Q2</f>
        <v>#REF!</v>
      </c>
      <c r="X2" s="10" t="e">
        <f>[1]Output!C2</f>
        <v>#REF!</v>
      </c>
      <c r="Y2" s="4" t="e">
        <f t="shared" si="2" ref="Y2:Y4">"Document " &amp; X2&amp; " has been saved"</f>
        <v>#REF!</v>
      </c>
      <c r="Z2" s="9" t="e">
        <f t="shared" si="3" ref="Z2:Z4">X2</f>
        <v>#REF!</v>
      </c>
      <c r="AA2" s="5">
        <v>1</v>
      </c>
      <c r="AB2" s="5" t="s">
        <v>42</v>
      </c>
      <c r="AC2" s="5" t="s">
        <v>42</v>
      </c>
      <c r="AD2" s="1">
        <v>55</v>
      </c>
      <c r="AE2" s="1" t="e">
        <f>[1]Output!D2</f>
        <v>#REF!</v>
      </c>
      <c r="AF2" s="12" t="e">
        <f>[1]Output!D2</f>
        <v>#REF!</v>
      </c>
    </row>
    <row r="3" s="11" customFormat="1">
      <c r="A3" s="7">
        <v>2</v>
      </c>
      <c r="B3" s="7" t="s">
        <v>4</v>
      </c>
      <c r="C3" s="3" t="s">
        <v>45</v>
      </c>
      <c r="D3" s="3" t="s">
        <v>14</v>
      </c>
      <c r="E3" s="3" t="s">
        <v>0</v>
      </c>
      <c r="F3" s="18" t="s">
        <v>24</v>
      </c>
      <c r="G3" s="3" t="s">
        <v>37</v>
      </c>
      <c r="H3" s="3" t="s">
        <v>1</v>
      </c>
      <c r="I3" s="23" t="s">
        <v>29</v>
      </c>
      <c r="J3" s="2" t="s">
        <v>30</v>
      </c>
      <c r="K3" s="22">
        <v>226819942</v>
      </c>
      <c r="L3" s="2" t="s">
        <v>15</v>
      </c>
      <c r="M3" s="2" t="s">
        <v>27</v>
      </c>
      <c r="N3" s="2" t="s">
        <v>15</v>
      </c>
      <c r="O3" s="2" t="s">
        <v>27</v>
      </c>
      <c r="P3" s="4"/>
      <c r="Q3" s="10" t="e">
        <f>[1]Output!A3</f>
        <v>#REF!</v>
      </c>
      <c r="R3" s="4" t="e">
        <f t="shared" si="0"/>
        <v>#REF!</v>
      </c>
      <c r="S3" s="2" t="s">
        <v>27</v>
      </c>
      <c r="T3" s="10" t="e">
        <f>[1]Output!B3</f>
        <v>#REF!</v>
      </c>
      <c r="U3" s="4" t="e">
        <f t="shared" si="4" ref="U3:U4">T3 &amp; " " &amp; Q3  &amp; " has been saved"</f>
        <v>#REF!</v>
      </c>
      <c r="V3" s="5" t="s">
        <v>58</v>
      </c>
      <c r="W3" s="9" t="e">
        <f t="shared" si="1"/>
        <v>#REF!</v>
      </c>
      <c r="X3" s="10" t="e">
        <f>[1]Output!C3</f>
        <v>#REF!</v>
      </c>
      <c r="Y3" s="4" t="e">
        <f t="shared" si="2"/>
        <v>#REF!</v>
      </c>
      <c r="Z3" s="9" t="e">
        <f t="shared" si="3"/>
        <v>#REF!</v>
      </c>
      <c r="AA3" s="5">
        <v>1</v>
      </c>
      <c r="AB3" s="5" t="s">
        <v>42</v>
      </c>
      <c r="AC3" s="5" t="s">
        <v>42</v>
      </c>
      <c r="AD3" s="1"/>
      <c r="AE3" s="1" t="e">
        <f>[1]Output!D3</f>
        <v>#REF!</v>
      </c>
      <c r="AF3" s="12" t="e">
        <f>[1]Output!D3</f>
        <v>#REF!</v>
      </c>
    </row>
    <row r="4" s="11" customFormat="1">
      <c r="A4" s="7">
        <v>3</v>
      </c>
      <c r="B4" s="7" t="s">
        <v>4</v>
      </c>
      <c r="C4" s="3" t="s">
        <v>45</v>
      </c>
      <c r="D4" s="3" t="s">
        <v>14</v>
      </c>
      <c r="E4" s="3" t="s">
        <v>0</v>
      </c>
      <c r="F4" s="18" t="s">
        <v>24</v>
      </c>
      <c r="G4" s="3" t="s">
        <v>37</v>
      </c>
      <c r="H4" s="3" t="s">
        <v>1</v>
      </c>
      <c r="I4" s="23" t="s">
        <v>29</v>
      </c>
      <c r="J4" s="2" t="s">
        <v>30</v>
      </c>
      <c r="K4" s="22">
        <v>226819943</v>
      </c>
      <c r="L4" s="2" t="s">
        <v>15</v>
      </c>
      <c r="M4" s="2" t="s">
        <v>27</v>
      </c>
      <c r="N4" s="2" t="s">
        <v>15</v>
      </c>
      <c r="O4" s="2" t="s">
        <v>27</v>
      </c>
      <c r="P4" s="4"/>
      <c r="Q4" s="10" t="e">
        <f>[1]Output!A4</f>
        <v>#REF!</v>
      </c>
      <c r="R4" s="4" t="e">
        <f t="shared" si="0"/>
        <v>#REF!</v>
      </c>
      <c r="S4" s="2" t="s">
        <v>27</v>
      </c>
      <c r="T4" s="10" t="e">
        <f>[1]Output!B4</f>
        <v>#REF!</v>
      </c>
      <c r="U4" s="4" t="e">
        <f t="shared" si="4"/>
        <v>#REF!</v>
      </c>
      <c r="V4" s="5" t="s">
        <v>58</v>
      </c>
      <c r="W4" s="9" t="e">
        <f t="shared" si="1"/>
        <v>#REF!</v>
      </c>
      <c r="X4" s="10" t="e">
        <f>[1]Output!C4</f>
        <v>#REF!</v>
      </c>
      <c r="Y4" s="4" t="e">
        <f t="shared" si="2"/>
        <v>#REF!</v>
      </c>
      <c r="Z4" s="9" t="e">
        <f t="shared" si="3"/>
        <v>#REF!</v>
      </c>
      <c r="AA4" s="5">
        <v>1</v>
      </c>
      <c r="AB4" s="5" t="s">
        <v>42</v>
      </c>
      <c r="AC4" s="5" t="s">
        <v>42</v>
      </c>
      <c r="AD4" s="1"/>
      <c r="AE4" s="1" t="e">
        <f>[1]Output!D4</f>
        <v>#REF!</v>
      </c>
      <c r="AF4" s="12" t="e">
        <f>[1]Output!D4</f>
        <v>#REF!</v>
      </c>
    </row>
    <row r="5" s="11" customFormat="1">
      <c r="A5" s="8"/>
      <c r="B5" s="8"/>
      <c r="C5" s="1"/>
      <c r="D5" s="1"/>
      <c r="E5" s="1"/>
      <c r="F5" s="1"/>
      <c r="G5" s="1"/>
      <c r="H5" s="1"/>
      <c r="I5" s="1"/>
      <c r="J5" s="1"/>
      <c r="K5" s="13" t="s">
        <v>34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2"/>
    </row>
    <row r="6" s="11" customFormat="1">
      <c r="A6" s="8"/>
      <c r="B6" s="8"/>
      <c r="C6" s="1"/>
      <c r="D6" s="1"/>
      <c r="E6" s="1"/>
      <c r="F6" s="1"/>
      <c r="G6" s="1"/>
      <c r="H6" s="1"/>
      <c r="I6" s="1"/>
      <c r="J6" s="1"/>
      <c r="K6" s="13" t="e">
        <f>[2]Global!$AN$2</f>
        <v>#REF!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2"/>
    </row>
    <row r="7" ht="17.25" s="11" customFormat="1">
      <c r="A7" s="8"/>
      <c r="B7" s="8"/>
      <c r="C7" s="1"/>
      <c r="D7" s="1"/>
      <c r="E7" s="1"/>
      <c r="F7" s="1"/>
      <c r="G7" s="1"/>
      <c r="H7" s="1"/>
      <c r="I7" s="1"/>
      <c r="J7" s="1"/>
      <c r="K7" s="13" t="e">
        <f>[2]Global!$AN$3</f>
        <v>#REF!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4"/>
      <c r="Z7" s="1"/>
      <c r="AA7" s="1"/>
      <c r="AB7" s="1"/>
      <c r="AC7" s="1"/>
      <c r="AD7" s="1"/>
      <c r="AE7" s="1"/>
      <c r="AF7" s="12"/>
    </row>
    <row r="8" s="11" customFormat="1">
      <c r="A8" s="8"/>
      <c r="B8" s="8"/>
      <c r="C8" s="1"/>
      <c r="D8" s="1"/>
      <c r="E8" s="1"/>
      <c r="F8" s="1"/>
      <c r="G8" s="1"/>
      <c r="H8" s="1"/>
      <c r="I8" s="1"/>
      <c r="J8" s="1"/>
      <c r="K8" s="13" t="e">
        <f>[2]Global!$AN$4</f>
        <v>#REF!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2"/>
    </row>
    <row r="9" s="11" customFormat="1">
      <c r="A9" s="8"/>
      <c r="B9" s="8"/>
      <c r="C9" s="1"/>
      <c r="D9" s="1"/>
      <c r="E9" s="1"/>
      <c r="F9" s="1"/>
      <c r="G9" s="1"/>
      <c r="H9" s="1"/>
      <c r="I9" s="1"/>
      <c r="J9" s="1"/>
      <c r="K9" s="1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2"/>
    </row>
    <row r="10" s="11" customFormat="1">
      <c r="A10" s="8"/>
      <c r="B10" s="3" t="s">
        <v>50</v>
      </c>
      <c r="C10" s="1"/>
      <c r="D10" s="1"/>
      <c r="E10" s="1"/>
      <c r="F10" s="1"/>
      <c r="G10" s="1"/>
      <c r="H10" s="1"/>
      <c r="I10" s="1"/>
      <c r="J10" s="1"/>
      <c r="K10" s="1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2"/>
    </row>
    <row r="11" s="11" customFormat="1">
      <c r="A11" s="8"/>
      <c r="B11" s="2" t="s">
        <v>23</v>
      </c>
      <c r="C11" s="1"/>
      <c r="D11" s="1"/>
      <c r="E11" s="1"/>
      <c r="F11" s="1"/>
      <c r="G11" s="1"/>
      <c r="H11" s="1"/>
      <c r="I11" s="1"/>
      <c r="J11" s="1"/>
      <c r="K11" s="1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2"/>
    </row>
    <row r="12" s="11" customFormat="1">
      <c r="A12" s="8"/>
      <c r="B12" s="15" t="s">
        <v>44</v>
      </c>
      <c r="C12" s="1"/>
      <c r="D12" s="1"/>
      <c r="E12" s="1"/>
      <c r="F12" s="1"/>
      <c r="G12" s="1"/>
      <c r="H12" s="1"/>
      <c r="I12" s="1"/>
      <c r="J12" s="1"/>
      <c r="K12" s="1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2"/>
    </row>
    <row r="13" s="11" customFormat="1">
      <c r="A13" s="8"/>
      <c r="B13" s="16" t="s">
        <v>11</v>
      </c>
      <c r="C13" s="1"/>
      <c r="D13" s="1"/>
      <c r="E13" s="1"/>
      <c r="F13" s="1"/>
      <c r="G13" s="1"/>
      <c r="H13" s="1"/>
      <c r="I13" s="1"/>
      <c r="J13" s="1"/>
      <c r="K13" s="1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2"/>
    </row>
    <row r="14" s="11" customFormat="1">
      <c r="A14" s="8"/>
      <c r="B14" s="9" t="s">
        <v>13</v>
      </c>
      <c r="C14" s="1"/>
      <c r="D14" s="1"/>
      <c r="E14" s="1"/>
      <c r="F14" s="1"/>
      <c r="G14" s="1"/>
      <c r="H14" s="1"/>
      <c r="I14" s="1"/>
      <c r="J14" s="1"/>
      <c r="K14" s="1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2"/>
    </row>
    <row r="15" s="11" customFormat="1">
      <c r="A15" s="8"/>
      <c r="B15" s="4" t="s">
        <v>32</v>
      </c>
      <c r="C15" s="1"/>
      <c r="D15" s="1"/>
      <c r="E15" s="1"/>
      <c r="F15" s="1"/>
      <c r="G15" s="1"/>
      <c r="H15" s="1"/>
      <c r="I15" s="1"/>
      <c r="J15" s="1"/>
      <c r="K15" s="1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2"/>
    </row>
    <row r="16" s="11" customFormat="1">
      <c r="A16" s="8"/>
      <c r="B16" s="20" t="s">
        <v>6</v>
      </c>
      <c r="C16" s="1"/>
      <c r="D16" s="1"/>
      <c r="E16" s="1"/>
      <c r="F16" s="1"/>
      <c r="G16" s="1"/>
      <c r="H16" s="1"/>
      <c r="I16" s="1"/>
      <c r="J16" s="1"/>
      <c r="K16" s="1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2"/>
    </row>
    <row r="17" s="11" customFormat="1">
      <c r="A17" s="8"/>
      <c r="B17" s="7" t="s">
        <v>33</v>
      </c>
      <c r="C17" s="1"/>
      <c r="D17" s="1"/>
      <c r="E17" s="1"/>
      <c r="F17" s="1"/>
      <c r="G17" s="1"/>
      <c r="H17" s="1"/>
      <c r="I17" s="1"/>
      <c r="J17" s="1"/>
      <c r="K17" s="1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2"/>
    </row>
    <row r="18">
      <c r="A18" s="8"/>
      <c r="B18" s="8"/>
      <c r="C18" s="1"/>
      <c r="D18" s="1"/>
      <c r="E18" s="1"/>
      <c r="F18" s="1"/>
      <c r="G18" s="1"/>
      <c r="H18" s="1"/>
      <c r="I18" s="1"/>
      <c r="J18" s="1"/>
      <c r="K18" s="1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2"/>
    </row>
    <row r="19">
      <c r="A19" s="8"/>
      <c r="B19" s="8"/>
      <c r="C19" s="1"/>
      <c r="D19" s="1"/>
      <c r="E19" s="1"/>
      <c r="F19" s="1"/>
      <c r="G19" s="1"/>
      <c r="H19" s="1"/>
      <c r="I19" s="1"/>
      <c r="J19" s="1"/>
      <c r="K19" s="1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2"/>
    </row>
    <row r="20">
      <c r="A20" s="8"/>
      <c r="B20" s="8"/>
      <c r="C20" s="1"/>
      <c r="D20" s="1"/>
      <c r="E20" s="1"/>
      <c r="F20" s="1"/>
      <c r="G20" s="1"/>
      <c r="H20" s="1"/>
      <c r="I20" s="1"/>
      <c r="J20" s="1"/>
      <c r="K20" s="1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2"/>
    </row>
    <row r="21">
      <c r="A21" s="8"/>
      <c r="B21" s="8"/>
      <c r="C21" s="1"/>
      <c r="D21" s="1"/>
      <c r="E21" s="1"/>
      <c r="F21" s="1"/>
      <c r="G21" s="1"/>
      <c r="H21" s="1"/>
      <c r="I21" s="1"/>
      <c r="J21" s="1"/>
      <c r="K21" s="13"/>
      <c r="L21" s="1"/>
      <c r="M21" s="2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2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D4"/>
  <sheetViews>
    <sheetView topLeftCell="B1" workbookViewId="0">
      <selection activeCell="B2" sqref="B2"/>
    </sheetView>
  </sheetViews>
  <sheetFormatPr defaultColWidth="9.125" defaultRowHeight="14.25"/>
  <cols>
    <col min="1" max="1" width="58.625" style="11" bestFit="1" customWidth="1"/>
    <col min="2" max="2" width="30" style="11" customWidth="1"/>
    <col min="3" max="3" width="70.375" style="11" bestFit="1" customWidth="1"/>
    <col min="4" max="4" width="28.5" style="11" customWidth="1"/>
    <col min="5" max="16384" width="9.125" style="11" customWidth="1"/>
  </cols>
  <sheetData>
    <row r="1" ht="12.75" customHeight="1" customFormat="1">
      <c r="A1" t="s">
        <v>5</v>
      </c>
      <c r="B1" t="s">
        <v>55</v>
      </c>
      <c r="C1" t="s">
        <v>22</v>
      </c>
      <c r="D1" t="s">
        <v>49</v>
      </c>
    </row>
    <row r="2">
      <c r="A2" s="1">
        <v>7000604512</v>
      </c>
      <c r="B2" s="1" t="s">
        <v>48</v>
      </c>
      <c r="C2" s="1">
        <v>202497902</v>
      </c>
      <c r="D2" s="12">
        <v>3903724708</v>
      </c>
    </row>
    <row r="3">
      <c r="A3" s="1">
        <v>7000103910</v>
      </c>
      <c r="B3" s="1" t="s">
        <v>48</v>
      </c>
      <c r="C3" s="1">
        <v>27148604</v>
      </c>
      <c r="D3" s="12"/>
    </row>
    <row r="4">
      <c r="A4" s="1">
        <v>7000603223</v>
      </c>
      <c r="B4" s="1" t="s">
        <v>48</v>
      </c>
      <c r="C4" s="1">
        <v>202496806</v>
      </c>
      <c r="D4" s="12"/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6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