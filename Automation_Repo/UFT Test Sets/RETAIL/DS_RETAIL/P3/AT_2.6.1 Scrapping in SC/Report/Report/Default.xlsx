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Test_Scrapping in DC_p1" sheetId="4" r:id="rId4"/>
    <sheet name="TC2_Test_Scrapping in DC_p2" sheetId="5" r:id="rId5"/>
    <sheet name="AT {{1}RunTimeResultFolderC..00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<sst xmlns="http://schemas.openxmlformats.org/spreadsheetml/2006/main" uniqueCount="76">
  <si>
    <t>Scrapping  in DC_p2</t>
  </si>
  <si>
    <t>DT_SAPTRANSACTIONCODE</t>
  </si>
  <si>
    <t>DT_MIGO_0315_QTY_IN_UNIT_OF_ENTRY</t>
  </si>
  <si>
    <t>DT_MIGO_0325_STORAGE_LOCATION</t>
  </si>
  <si>
    <t>DT_MIGO_0325_REASON_FOR_MOVEMENT</t>
  </si>
  <si>
    <t>DT_MIGO_0200_GRIDCELL_0_DOC_NUMBER</t>
  </si>
  <si>
    <t>R10</t>
  </si>
  <si>
    <t>DT_MIGO_0010_GODEFAULT_TVBWART_OCC1</t>
  </si>
  <si>
    <t>DT_YEAR</t>
  </si>
  <si>
    <t>Data Coming from another test</t>
  </si>
  <si>
    <t>5fb4f98a2b77149c24843022cefbb72c35ded6a1a816</t>
  </si>
  <si>
    <t>7220032</t>
  </si>
  <si>
    <t>=(X3)</t>
  </si>
  <si>
    <t>Output Data</t>
  </si>
  <si>
    <t>='[DT_Scrapping  in DC_p1_TASE.xls]Global'!$L$2</t>
  </si>
  <si>
    <t>Quantity</t>
  </si>
  <si>
    <t>DT_MIGO_0001_CHECK_TEXT_OF_STATUSBAR_OCC3</t>
  </si>
  <si>
    <t>DT_MIGO_2010_GODYNPROMAT_DOC</t>
  </si>
  <si>
    <t>Formulas</t>
  </si>
  <si>
    <t>200</t>
  </si>
  <si>
    <t>MIGO</t>
  </si>
  <si>
    <t>DT_MIGO_0010_GODYNPROACTION_OCC1</t>
  </si>
  <si>
    <t>DT_MIGO_0100_DOC_INFO</t>
  </si>
  <si>
    <t>/nex</t>
  </si>
  <si>
    <t>DT_MIGO_0001_ARTICLE_DOCNUM_2_OUTPUT</t>
  </si>
  <si>
    <t>DT_SAPSYSTEM</t>
  </si>
  <si>
    <t>0004</t>
  </si>
  <si>
    <t>Input Data</t>
  </si>
  <si>
    <t>DT_SAPLANGUAGE</t>
  </si>
  <si>
    <t>DT_SAPOPTIONS</t>
  </si>
  <si>
    <t>7220033</t>
  </si>
  <si>
    <t>DT_MIGO_0300_WHERE_OCC1</t>
  </si>
  <si>
    <t>=(X2)</t>
  </si>
  <si>
    <t>DT_MIGO_0200_DOCUMENT_NUMBER</t>
  </si>
  <si>
    <t>SCENARIO</t>
  </si>
  <si>
    <t>='[DT_Scrapping  in DC_p1_TASE.xls]Global'!$L$3</t>
  </si>
  <si>
    <t>DT_MIGO_0300_WHERE</t>
  </si>
  <si>
    <t>Where</t>
  </si>
  <si>
    <t>DT_MIGO_0300_ACCOUNT_ASSIGNMENT</t>
  </si>
  <si>
    <t>Verifications</t>
  </si>
  <si>
    <t>Execution Control Data</t>
  </si>
  <si>
    <t>7184010</t>
  </si>
  <si>
    <t>from p1</t>
  </si>
  <si>
    <t>DT_MIGO_0001_ARTICLE_DOCNUM_2</t>
  </si>
  <si>
    <t>DT_MIGO_0010_GODYNPROACTION_OCC2</t>
  </si>
  <si>
    <t>Doc. info</t>
  </si>
  <si>
    <t>A07</t>
  </si>
  <si>
    <t>EN</t>
  </si>
  <si>
    <t>DT_MIGO_0300_QUANTITY</t>
  </si>
  <si>
    <t>1</t>
  </si>
  <si>
    <t>DT_MIGO_0325_SITE</t>
  </si>
  <si>
    <t>AUTOFDS</t>
  </si>
  <si>
    <t>DT_MIGO_0010_GODYNPROREFDOC</t>
  </si>
  <si>
    <t>='[DT_Scrapping  in DC_p1_TASE.xls]Global'!$L$4</t>
  </si>
  <si>
    <t>=(X5)</t>
  </si>
  <si>
    <t>DT_MIGO_0750_OKCD</t>
  </si>
  <si>
    <t>DT_MIGO_1001_COST_CENTER</t>
  </si>
  <si>
    <t>ROW_NUMBER</t>
  </si>
  <si>
    <t>R1E - SAP RETAIL Pre-Production EUROPE</t>
  </si>
  <si>
    <t>Fixed Data</t>
  </si>
  <si>
    <t>DT_SAPPASSWORD</t>
  </si>
  <si>
    <t>551</t>
  </si>
  <si>
    <t>DT_MIGO_0300_QUANTITY_OCC1</t>
  </si>
  <si>
    <t>A04</t>
  </si>
  <si>
    <t>DT_MIGO_0200_DOCUMENT_NUMBER_OUTPUT</t>
  </si>
  <si>
    <t>Login Information</t>
  </si>
  <si>
    <t>DT_SAPUSER</t>
  </si>
  <si>
    <t>7220031</t>
  </si>
  <si>
    <t>SS000424</t>
  </si>
  <si>
    <t>=(X4)</t>
  </si>
  <si>
    <t>DT_SAPCLIENT</t>
  </si>
  <si>
    <t>DT_MIGO_0310_ARTICLE</t>
  </si>
  <si>
    <t>='[DT_Scrapping  in DC_p1_TASE.xls]Global'!$L$5</t>
  </si>
  <si>
    <t>SW31</t>
  </si>
  <si>
    <t>9001</t>
  </si>
  <si>
    <t>Account Assignment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</si>
</sst>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8.8"/>
      <color indexed="8"/>
      <name val="Mic Shell Dlg"/>
      <charset val="1"/>
    </font>
    <font>
      <sz val="11"/>
      <color indexed="12"/>
      <name val="Mic Shell Dlg"/>
      <charset val="1"/>
    </font>
    <font>
      <b/>
      <sz val="11"/>
      <color rgb="FFFF0000"/>
      <name val="Mic Shell Dlg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8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4" fillId="0" borderId="2" xfId="0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4" borderId="0" xfId="0" applyFill="1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49" fontId="6" fillId="2" borderId="1" xfId="0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7" fillId="2" borderId="1" xfId="0" applyFont="1" applyFill="1" applyBorder="1" applyProtection="1">
      <protection locked="0"/>
    </xf>
    <xf numFmtId="0" fontId="1" fillId="10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Scrapping%20%20in%20DC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7"/>
  <sheetViews>
    <sheetView topLeftCell="J1" workbookViewId="0">
      <selection activeCell="J2" sqref="J2"/>
    </sheetView>
  </sheetViews>
  <sheetFormatPr defaultColWidth="9.125" defaultRowHeight="14.25"/>
  <cols>
    <col min="1" max="1" width="14.625" style="6" customWidth="1"/>
    <col min="2" max="2" width="17.875" style="6" customWidth="1"/>
    <col min="3" max="3" width="38.125" style="6" customWidth="1"/>
    <col min="4" max="4" width="15" style="6" customWidth="1"/>
    <col min="5" max="5" width="13.625" style="6" customWidth="1"/>
    <col min="6" max="6" width="25" style="6" customWidth="1"/>
    <col min="7" max="7" width="18.625" style="6" customWidth="1"/>
    <col min="8" max="8" width="16.75" style="6" customWidth="1"/>
    <col min="9" max="9" width="27.125" style="6" customWidth="1"/>
    <col min="10" max="10" width="39" style="6" customWidth="1"/>
    <col min="11" max="11" width="33.875" style="6" customWidth="1"/>
    <col min="12" max="12" width="43" style="6" customWidth="1"/>
    <col min="13" max="13" width="23.25" style="20" customWidth="1"/>
    <col min="14" max="14" width="25" style="6" customWidth="1"/>
    <col min="15" max="15" width="38.625" style="6" customWidth="1"/>
    <col min="16" max="16" width="22.375" style="6" customWidth="1"/>
    <col min="17" max="17" width="19.625" style="6" customWidth="1"/>
    <col min="18" max="18" width="34.875" style="6" customWidth="1"/>
    <col min="19" max="19" width="39.875" style="6" customWidth="1"/>
    <col min="20" max="20" width="30.875" style="6" customWidth="1"/>
    <col min="21" max="21" width="28.25" style="6" customWidth="1"/>
    <col min="22" max="22" width="37.875" style="6" customWidth="1"/>
    <col min="23" max="23" width="29.25" style="6" customWidth="1"/>
    <col min="24" max="24" width="34.5" style="6" customWidth="1"/>
    <col min="25" max="25" width="49.375" style="6" customWidth="1"/>
    <col min="26" max="26" width="39" style="6" customWidth="1"/>
    <col min="27" max="27" width="35.125" style="6" customWidth="1"/>
    <col min="28" max="28" width="24.75" style="6" customWidth="1"/>
    <col min="29" max="29" width="35.25" style="6" customWidth="1"/>
    <col min="30" max="30" width="40.625" style="6" customWidth="1"/>
    <col min="31" max="31" width="20.5" style="6" customWidth="1"/>
    <col min="32" max="32" width="9.125" style="22" customWidth="1"/>
    <col min="33" max="16384" width="9.125" style="6" customWidth="1"/>
  </cols>
  <sheetData>
    <row r="1" ht="12.75" customHeight="1" customFormat="1">
      <c r="A1" t="s">
        <v>57</v>
      </c>
      <c r="B1" t="s">
        <v>34</v>
      </c>
      <c r="C1" t="s">
        <v>25</v>
      </c>
      <c r="D1" t="s">
        <v>70</v>
      </c>
      <c r="E1" t="s">
        <v>66</v>
      </c>
      <c r="F1" t="s">
        <v>60</v>
      </c>
      <c r="G1" t="s">
        <v>28</v>
      </c>
      <c r="H1" t="s">
        <v>29</v>
      </c>
      <c r="I1" t="s">
        <v>1</v>
      </c>
      <c r="J1" t="s">
        <v>21</v>
      </c>
      <c r="K1" t="s">
        <v>52</v>
      </c>
      <c r="L1" t="s">
        <v>7</v>
      </c>
      <c r="M1" t="s">
        <v>71</v>
      </c>
      <c r="N1" t="s">
        <v>48</v>
      </c>
      <c r="O1" t="s">
        <v>2</v>
      </c>
      <c r="P1" t="s">
        <v>36</v>
      </c>
      <c r="Q1" t="s">
        <v>50</v>
      </c>
      <c r="R1" t="s">
        <v>3</v>
      </c>
      <c r="S1" t="s">
        <v>4</v>
      </c>
      <c r="T1" t="s">
        <v>62</v>
      </c>
      <c r="U1" t="s">
        <v>31</v>
      </c>
      <c r="V1" t="s">
        <v>38</v>
      </c>
      <c r="W1" t="s">
        <v>56</v>
      </c>
      <c r="X1" t="s">
        <v>43</v>
      </c>
      <c r="Y1" t="s">
        <v>16</v>
      </c>
      <c r="Z1" t="s">
        <v>44</v>
      </c>
      <c r="AA1" t="s">
        <v>17</v>
      </c>
      <c r="AB1" t="s">
        <v>22</v>
      </c>
      <c r="AC1" t="s">
        <v>33</v>
      </c>
      <c r="AD1" t="s">
        <v>5</v>
      </c>
      <c r="AE1" t="s">
        <v>55</v>
      </c>
      <c r="AF1" t="s">
        <v>8</v>
      </c>
    </row>
    <row r="2" s="6" customFormat="1">
      <c r="A2" s="9">
        <v>1</v>
      </c>
      <c r="B2" s="9" t="s">
        <v>0</v>
      </c>
      <c r="C2" s="4" t="s">
        <v>58</v>
      </c>
      <c r="D2" s="4" t="s">
        <v>19</v>
      </c>
      <c r="E2" s="4" t="s">
        <v>51</v>
      </c>
      <c r="F2" s="4" t="s">
        <v>10</v>
      </c>
      <c r="G2" s="4" t="s">
        <v>47</v>
      </c>
      <c r="H2" s="3"/>
      <c r="I2" s="2" t="s">
        <v>20</v>
      </c>
      <c r="J2" s="2" t="s">
        <v>46</v>
      </c>
      <c r="K2" s="2" t="s">
        <v>6</v>
      </c>
      <c r="L2" s="2" t="s">
        <v>61</v>
      </c>
      <c r="M2" s="21" t="s">
        <v>41</v>
      </c>
      <c r="N2" s="8" t="s">
        <v>15</v>
      </c>
      <c r="O2" s="23" t="s">
        <v>49</v>
      </c>
      <c r="P2" s="3" t="s">
        <v>37</v>
      </c>
      <c r="Q2" s="2" t="s">
        <v>73</v>
      </c>
      <c r="R2" s="2" t="s">
        <v>26</v>
      </c>
      <c r="S2" s="2" t="s">
        <v>74</v>
      </c>
      <c r="T2" s="8" t="s">
        <v>15</v>
      </c>
      <c r="U2" s="3" t="s">
        <v>37</v>
      </c>
      <c r="V2" s="3" t="s">
        <v>75</v>
      </c>
      <c r="W2" s="2" t="s">
        <v>68</v>
      </c>
      <c r="X2" s="10" t="e">
        <f>[1]Output!A2</f>
        <v>#REF!</v>
      </c>
      <c r="Y2" s="12" t="e">
        <f t="shared" si="0" ref="Y2:Y5">CONCATENATE("Article document ",X2," posted")</f>
        <v>#REF!</v>
      </c>
      <c r="Z2" s="2" t="s">
        <v>63</v>
      </c>
      <c r="AA2" s="19" t="s">
        <v>32</v>
      </c>
      <c r="AB2" s="3" t="s">
        <v>45</v>
      </c>
      <c r="AC2" s="10" t="e">
        <f>[1]Output!B2</f>
        <v>#REF!</v>
      </c>
      <c r="AD2" s="3" t="s">
        <v>49</v>
      </c>
      <c r="AE2" s="2" t="s">
        <v>23</v>
      </c>
      <c r="AF2" s="18">
        <f ca="1" t="shared" si="1" ref="AF2:AF5">YEAR(TODAY())</f>
        <v>2025</v>
      </c>
    </row>
    <row r="3" s="6" customFormat="1">
      <c r="A3" s="9">
        <v>2</v>
      </c>
      <c r="B3" s="9" t="s">
        <v>0</v>
      </c>
      <c r="C3" s="4" t="s">
        <v>58</v>
      </c>
      <c r="D3" s="4" t="s">
        <v>19</v>
      </c>
      <c r="E3" s="4" t="s">
        <v>51</v>
      </c>
      <c r="F3" s="4" t="s">
        <v>10</v>
      </c>
      <c r="G3" s="4" t="s">
        <v>47</v>
      </c>
      <c r="H3" s="3"/>
      <c r="I3" s="2" t="s">
        <v>20</v>
      </c>
      <c r="J3" s="2" t="s">
        <v>46</v>
      </c>
      <c r="K3" s="2" t="s">
        <v>6</v>
      </c>
      <c r="L3" s="2" t="s">
        <v>61</v>
      </c>
      <c r="M3" s="21" t="s">
        <v>67</v>
      </c>
      <c r="N3" s="8" t="s">
        <v>15</v>
      </c>
      <c r="O3" s="23" t="s">
        <v>49</v>
      </c>
      <c r="P3" s="3" t="s">
        <v>37</v>
      </c>
      <c r="Q3" s="2" t="s">
        <v>73</v>
      </c>
      <c r="R3" s="2" t="s">
        <v>26</v>
      </c>
      <c r="S3" s="2" t="s">
        <v>74</v>
      </c>
      <c r="T3" s="8" t="s">
        <v>15</v>
      </c>
      <c r="U3" s="3" t="s">
        <v>37</v>
      </c>
      <c r="V3" s="3" t="s">
        <v>75</v>
      </c>
      <c r="W3" s="2" t="s">
        <v>68</v>
      </c>
      <c r="X3" s="10" t="e">
        <f>[1]Output!A3</f>
        <v>#REF!</v>
      </c>
      <c r="Y3" s="12" t="e">
        <f t="shared" si="0"/>
        <v>#REF!</v>
      </c>
      <c r="Z3" s="2" t="s">
        <v>63</v>
      </c>
      <c r="AA3" s="19" t="s">
        <v>12</v>
      </c>
      <c r="AB3" s="3" t="s">
        <v>45</v>
      </c>
      <c r="AC3" s="10" t="e">
        <f>[1]Output!B3</f>
        <v>#REF!</v>
      </c>
      <c r="AD3" s="3" t="s">
        <v>49</v>
      </c>
      <c r="AE3" s="2" t="s">
        <v>23</v>
      </c>
      <c r="AF3" s="18">
        <f ca="1" t="shared" si="1"/>
        <v>2025</v>
      </c>
    </row>
    <row r="4" s="6" customFormat="1">
      <c r="A4" s="9">
        <v>3</v>
      </c>
      <c r="B4" s="9" t="s">
        <v>0</v>
      </c>
      <c r="C4" s="4" t="s">
        <v>58</v>
      </c>
      <c r="D4" s="4" t="s">
        <v>19</v>
      </c>
      <c r="E4" s="4" t="s">
        <v>51</v>
      </c>
      <c r="F4" s="4" t="s">
        <v>10</v>
      </c>
      <c r="G4" s="4" t="s">
        <v>47</v>
      </c>
      <c r="H4" s="3"/>
      <c r="I4" s="2" t="s">
        <v>20</v>
      </c>
      <c r="J4" s="2" t="s">
        <v>46</v>
      </c>
      <c r="K4" s="2" t="s">
        <v>6</v>
      </c>
      <c r="L4" s="2" t="s">
        <v>61</v>
      </c>
      <c r="M4" s="21" t="s">
        <v>11</v>
      </c>
      <c r="N4" s="8" t="s">
        <v>15</v>
      </c>
      <c r="O4" s="23" t="s">
        <v>49</v>
      </c>
      <c r="P4" s="3" t="s">
        <v>37</v>
      </c>
      <c r="Q4" s="2" t="s">
        <v>73</v>
      </c>
      <c r="R4" s="2" t="s">
        <v>26</v>
      </c>
      <c r="S4" s="2" t="s">
        <v>74</v>
      </c>
      <c r="T4" s="8" t="s">
        <v>15</v>
      </c>
      <c r="U4" s="3" t="s">
        <v>37</v>
      </c>
      <c r="V4" s="3" t="s">
        <v>75</v>
      </c>
      <c r="W4" s="2" t="s">
        <v>68</v>
      </c>
      <c r="X4" s="10" t="e">
        <f>[1]Output!A4</f>
        <v>#REF!</v>
      </c>
      <c r="Y4" s="12" t="e">
        <f t="shared" si="0"/>
        <v>#REF!</v>
      </c>
      <c r="Z4" s="2" t="s">
        <v>63</v>
      </c>
      <c r="AA4" s="19" t="s">
        <v>69</v>
      </c>
      <c r="AB4" s="3" t="s">
        <v>45</v>
      </c>
      <c r="AC4" s="10" t="e">
        <f>[1]Output!B4</f>
        <v>#REF!</v>
      </c>
      <c r="AD4" s="3" t="s">
        <v>49</v>
      </c>
      <c r="AE4" s="2" t="s">
        <v>23</v>
      </c>
      <c r="AF4" s="18">
        <f ca="1" t="shared" si="1"/>
        <v>2025</v>
      </c>
    </row>
    <row r="5" s="6" customFormat="1">
      <c r="A5" s="9">
        <v>4</v>
      </c>
      <c r="B5" s="9" t="s">
        <v>0</v>
      </c>
      <c r="C5" s="4" t="s">
        <v>58</v>
      </c>
      <c r="D5" s="4" t="s">
        <v>19</v>
      </c>
      <c r="E5" s="4" t="s">
        <v>51</v>
      </c>
      <c r="F5" s="4" t="s">
        <v>10</v>
      </c>
      <c r="G5" s="4" t="s">
        <v>47</v>
      </c>
      <c r="H5" s="3"/>
      <c r="I5" s="2" t="s">
        <v>20</v>
      </c>
      <c r="J5" s="2" t="s">
        <v>46</v>
      </c>
      <c r="K5" s="2" t="s">
        <v>6</v>
      </c>
      <c r="L5" s="2" t="s">
        <v>61</v>
      </c>
      <c r="M5" s="21" t="s">
        <v>30</v>
      </c>
      <c r="N5" s="8" t="s">
        <v>15</v>
      </c>
      <c r="O5" s="23" t="s">
        <v>49</v>
      </c>
      <c r="P5" s="3" t="s">
        <v>37</v>
      </c>
      <c r="Q5" s="2" t="s">
        <v>73</v>
      </c>
      <c r="R5" s="2" t="s">
        <v>26</v>
      </c>
      <c r="S5" s="2" t="s">
        <v>74</v>
      </c>
      <c r="T5" s="8" t="s">
        <v>15</v>
      </c>
      <c r="U5" s="3" t="s">
        <v>37</v>
      </c>
      <c r="V5" s="3" t="s">
        <v>75</v>
      </c>
      <c r="W5" s="2" t="s">
        <v>68</v>
      </c>
      <c r="X5" s="10" t="e">
        <f>[1]Output!A5</f>
        <v>#REF!</v>
      </c>
      <c r="Y5" s="12" t="e">
        <f t="shared" si="0"/>
        <v>#REF!</v>
      </c>
      <c r="Z5" s="2" t="s">
        <v>63</v>
      </c>
      <c r="AA5" s="19" t="s">
        <v>54</v>
      </c>
      <c r="AB5" s="3" t="s">
        <v>45</v>
      </c>
      <c r="AC5" s="10" t="e">
        <f>[1]Output!B5</f>
        <v>#REF!</v>
      </c>
      <c r="AD5" s="3" t="s">
        <v>49</v>
      </c>
      <c r="AE5" s="2" t="s">
        <v>23</v>
      </c>
      <c r="AF5" s="18">
        <f ca="1" t="shared" si="1"/>
        <v>2025</v>
      </c>
    </row>
    <row r="6" s="6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7" t="s">
        <v>42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</row>
    <row r="7" s="6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3" t="s">
        <v>14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6"/>
      <c r="AD7" s="1"/>
      <c r="AE7" s="1"/>
      <c r="AF7" s="18"/>
    </row>
    <row r="8" s="6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3" t="s">
        <v>35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8"/>
    </row>
    <row r="9" s="6" customForma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3" t="s">
        <v>53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8"/>
    </row>
    <row r="10" s="6" customFormat="1">
      <c r="A10" s="1"/>
      <c r="B10" s="1"/>
      <c r="C10" s="17" t="s">
        <v>65</v>
      </c>
      <c r="D10" s="1"/>
      <c r="E10" s="1"/>
      <c r="F10" s="1"/>
      <c r="G10" s="1"/>
      <c r="H10" s="1"/>
      <c r="I10" s="1"/>
      <c r="J10" s="1"/>
      <c r="K10" s="1"/>
      <c r="L10" s="1"/>
      <c r="M10" s="13" t="s">
        <v>72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8"/>
    </row>
    <row r="11" s="6" customFormat="1">
      <c r="A11" s="1"/>
      <c r="B11" s="1"/>
      <c r="C11" s="26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8"/>
    </row>
    <row r="12" s="6" customFormat="1">
      <c r="A12" s="1"/>
      <c r="B12" s="1"/>
      <c r="C12" s="14" t="s">
        <v>59</v>
      </c>
      <c r="D12" s="1"/>
      <c r="E12" s="1"/>
      <c r="F12" s="1"/>
      <c r="G12" s="1"/>
      <c r="H12" s="1"/>
      <c r="I12" s="1"/>
      <c r="J12" s="1"/>
      <c r="K12" s="1"/>
      <c r="L12" s="1"/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8"/>
    </row>
    <row r="13" s="6" customFormat="1">
      <c r="A13" s="1"/>
      <c r="B13" s="1"/>
      <c r="C13" s="28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8"/>
    </row>
    <row r="14" s="6" customFormat="1">
      <c r="A14" s="1"/>
      <c r="B14" s="1"/>
      <c r="C14" s="11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8"/>
    </row>
    <row r="15" s="6" customFormat="1">
      <c r="A15" s="1"/>
      <c r="B15" s="1"/>
      <c r="C15" s="24" t="s">
        <v>39</v>
      </c>
      <c r="D15" s="1"/>
      <c r="E15" s="1"/>
      <c r="F15" s="1"/>
      <c r="G15" s="1"/>
      <c r="H15" s="1"/>
      <c r="I15" s="1"/>
      <c r="J15" s="1"/>
      <c r="K15" s="1"/>
      <c r="L15" s="1"/>
      <c r="M15" s="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8"/>
    </row>
    <row r="16" s="6" customFormat="1">
      <c r="A16" s="1"/>
      <c r="B16" s="1"/>
      <c r="C16" s="27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8"/>
    </row>
    <row r="17" s="6" customFormat="1">
      <c r="A17" s="1"/>
      <c r="B17" s="1"/>
      <c r="C17" s="15" t="s">
        <v>40</v>
      </c>
      <c r="D17" s="1"/>
      <c r="E17" s="1"/>
      <c r="F17" s="1"/>
      <c r="G17" s="1"/>
      <c r="H17" s="1"/>
      <c r="I17" s="1"/>
      <c r="J17" s="1"/>
      <c r="K17" s="1"/>
      <c r="L17" s="1"/>
      <c r="M17" s="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>
      <selection activeCell="A2" sqref="A2"/>
    </sheetView>
  </sheetViews>
  <sheetFormatPr defaultColWidth="9.125" defaultRowHeight="14.25"/>
  <cols>
    <col min="1" max="1" width="44.375" style="6" bestFit="1" customWidth="1"/>
    <col min="2" max="2" width="45.375" style="6" bestFit="1" customWidth="1"/>
    <col min="3" max="16384" width="9.125" style="6" customWidth="1"/>
  </cols>
  <sheetData>
    <row r="1" ht="12.75" customHeight="1" customFormat="1">
      <c r="A1" t="s">
        <v>24</v>
      </c>
      <c r="B1" t="s">
        <v>64</v>
      </c>
    </row>
    <row r="2">
      <c r="A2" s="1">
        <v>3903752433</v>
      </c>
      <c r="B2" s="25">
        <v>4900224113</v>
      </c>
    </row>
    <row r="3">
      <c r="A3" s="1"/>
      <c r="B3" s="25">
        <v>4901356788</v>
      </c>
    </row>
    <row r="4">
      <c r="A4" s="1"/>
      <c r="B4" s="25">
        <v>4901356789</v>
      </c>
    </row>
    <row r="5">
      <c r="A5" s="1">
        <v>3916841000</v>
      </c>
      <c r="B5" s="25">
        <v>4901356790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