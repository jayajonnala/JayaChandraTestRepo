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ataTransfer 1" sheetId="3" r:id="rId3"/>
    <sheet name="TC1_Test_Procurement p1" sheetId="4" r:id="rId4"/>
    <sheet name="TC2_Test_Procurement p2" sheetId="5" r:id="rId5"/>
    <sheet name="AT {{1}RunTimeResultFolderC..00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<sst xmlns="http://schemas.openxmlformats.org/spreadsheetml/2006/main" uniqueCount="94">
  <si>
    <t>AUTODS</t>
  </si>
  <si>
    <t/>
  </si>
  <si>
    <t>DT_SAPTRANSACTIONCODE</t>
  </si>
  <si>
    <t>SW35</t>
  </si>
  <si>
    <t>ZSDC</t>
  </si>
  <si>
    <t>DT_VL10G_0200_GRIDCELL_0_DOC_NUMBER</t>
  </si>
  <si>
    <t>DT_VL10G_0750_CHECK_GETCELLVALUE_OF_GRIDCELL_2_KTONR</t>
  </si>
  <si>
    <t>30384241</t>
  </si>
  <si>
    <t>VL03N</t>
  </si>
  <si>
    <t>DT_VL10G_0100_ARTICLE_DOCNUM</t>
  </si>
  <si>
    <t>Data Coming from another test</t>
  </si>
  <si>
    <t>AUTODS-555</t>
  </si>
  <si>
    <t>=(T3)</t>
  </si>
  <si>
    <t>DT_VL10G_4004_OUTBOUND_DELIVERY_OCC1</t>
  </si>
  <si>
    <t>=(AH4)</t>
  </si>
  <si>
    <t>Output Data</t>
  </si>
  <si>
    <t>DT_VL10G_1020_SALES_DOCUMENT</t>
  </si>
  <si>
    <t>DT_VL10G_1030_PURCHASING_DOCUMENT</t>
  </si>
  <si>
    <t>%blank%</t>
  </si>
  <si>
    <t>7</t>
  </si>
  <si>
    <t>Formulas</t>
  </si>
  <si>
    <t>200</t>
  </si>
  <si>
    <t>XYZ</t>
  </si>
  <si>
    <t>DT_EXPECTEDVALUE</t>
  </si>
  <si>
    <t>/nVL03N</t>
  </si>
  <si>
    <t>DT_VL10G_0100_OKCD_OCC1</t>
  </si>
  <si>
    <t>DT_VL10G_0100_CHECK_TEXT_OF_TABLECELL_OUTPUT_TYPE_0_OCC1</t>
  </si>
  <si>
    <t>/nex</t>
  </si>
  <si>
    <t>DT_SAPSYSTEM</t>
  </si>
  <si>
    <t>DT_VL10G_1303_PURCHASE_ORDER_HISTORY</t>
  </si>
  <si>
    <t>DT_VL10G_4004_CHECK_TEXT_OF_STATUSBAR</t>
  </si>
  <si>
    <t>DT_VL10G_4004_OKCD</t>
  </si>
  <si>
    <t>4900505767</t>
  </si>
  <si>
    <t>DT_VL10G_0750_CHECK_GETCELLVALUE_OF_GRIDCELL_2_PRCTR</t>
  </si>
  <si>
    <t>Input Data</t>
  </si>
  <si>
    <t>DT_SAPLANGUAGE</t>
  </si>
  <si>
    <t>DT_SAPOPTIONS</t>
  </si>
  <si>
    <t>0</t>
  </si>
  <si>
    <t>S</t>
  </si>
  <si>
    <t>=(T2)</t>
  </si>
  <si>
    <t>=(AH3)</t>
  </si>
  <si>
    <t>DT_VL10G_0305_MESSAGES</t>
  </si>
  <si>
    <t>4900757090</t>
  </si>
  <si>
    <t>SCENARIO</t>
  </si>
  <si>
    <t>DT_VL10G_4004_OUTBOUND_DELIVERY_OCC2</t>
  </si>
  <si>
    <t>DT_VL10G_0750_CHECK_GETCELLVALUE_OF_GRIDCELL_1_KTONR</t>
  </si>
  <si>
    <t>30384221</t>
  </si>
  <si>
    <t>Verifications</t>
  </si>
  <si>
    <t>Execution Control Data</t>
  </si>
  <si>
    <t>VL10G</t>
  </si>
  <si>
    <t>DT_VL10G_1000_DELIV_CREATION_DATE</t>
  </si>
  <si>
    <t>DT_VL10G_0500_GRIDCELL_0__OCC1</t>
  </si>
  <si>
    <t>/nME23N</t>
  </si>
  <si>
    <t>/nVL02N</t>
  </si>
  <si>
    <t>vl03n</t>
  </si>
  <si>
    <t>DT_MIGO_YEAR</t>
  </si>
  <si>
    <t>DT_VL10G_1000_SALES_ORDERS</t>
  </si>
  <si>
    <t>DT_VL10G_0100_OKCD</t>
  </si>
  <si>
    <t>DT_VL10G_0200_DOCNR</t>
  </si>
  <si>
    <t>DT_VL10G_0001_OKCD</t>
  </si>
  <si>
    <t>EN</t>
  </si>
  <si>
    <t>1</t>
  </si>
  <si>
    <t>DT_VL10G_0014_OKCD</t>
  </si>
  <si>
    <t>=(AH2)</t>
  </si>
  <si>
    <t>ZRSB</t>
  </si>
  <si>
    <t>SZ000022</t>
  </si>
  <si>
    <t>DT_VL10G_1000_SHIPPING_POINTRECEIVING_PT</t>
  </si>
  <si>
    <t>DT_VL10G_1000_TO</t>
  </si>
  <si>
    <t>DT_VL10G_4004_OUTBOUND_DELIVERY</t>
  </si>
  <si>
    <t>DT_VL10G_4004_CHECK_MESSAGEPARAMETER_OF_STATUSBAR</t>
  </si>
  <si>
    <t>DT_VL10G_0750_CHECK_GETCELLVALUE_OF_GRIDCELL_1_PRCTR</t>
  </si>
  <si>
    <t>DT_VL10G_0500_OUTBOUND_DELIVERY_OUTPUT</t>
  </si>
  <si>
    <t>DT_VL10G_0500_OUTBOUND_DELIVERY</t>
  </si>
  <si>
    <t>ROW_NUMBER</t>
  </si>
  <si>
    <t>Procurement of consumables from DC to Headquarter_p2</t>
  </si>
  <si>
    <t>R1E - SAP RETAIL Pre-Production EUROPE</t>
  </si>
  <si>
    <t>Fixed Data</t>
  </si>
  <si>
    <t>DT_SAPPASSWORD</t>
  </si>
  <si>
    <t>DT_VL10G_0500_OKCD</t>
  </si>
  <si>
    <t>/nMIGO</t>
  </si>
  <si>
    <t>Login Information</t>
  </si>
  <si>
    <t>DT_SAPUSER</t>
  </si>
  <si>
    <t>2</t>
  </si>
  <si>
    <t>DT_VL10G_0100_CHECK_GETCELLVALUE_OF_GRIDCELL_0_BELNR</t>
  </si>
  <si>
    <t>=(T4)</t>
  </si>
  <si>
    <t>DT_VL10G_0100_ARTICLE_DOCNUM_OUTPUT</t>
  </si>
  <si>
    <t>DT_SAPCLIENT</t>
  </si>
  <si>
    <t>DT_VL10G_1000_PURCHASE_ORDERS</t>
  </si>
  <si>
    <t>DT_VL10G_0500_GRIDCELL_0_</t>
  </si>
  <si>
    <t>DT_VL10G_0003_PUR_ORDER</t>
  </si>
  <si>
    <t>6</t>
  </si>
  <si>
    <t>DT_VL10G_0100_CHECK_TEXT_OF_TABLECELL_OUTPUT_TYPE_0</t>
  </si>
  <si>
    <t>DT_VL10G_2010_GODYNPROMAT_DOC</t>
  </si>
  <si>
    <t>4900757089</t>
  </si>
</sst>
</file>

<file path=xl/styles.xml><?xml version="1.0" encoding="utf-8"?>
<styleSheet xmlns="http://schemas.openxmlformats.org/spreadsheetml/2006/main">
  <numFmts count="0"/>
  <fonts count="23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9"/>
      <color rgb="FF18722A"/>
      <name val="Arial"/>
      <family val="2"/>
    </font>
    <font>
      <sz val="11"/>
      <name val="Mic Shell Dlg"/>
      <charset val="1"/>
    </font>
    <font>
      <sz val="9"/>
      <color rgb="FF222222"/>
      <name val="Arial"/>
      <family val="2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6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3" borderId="1" xfId="0" applyFont="1" applyFill="1" applyBorder="1" applyProtection="1">
      <protection locked="0"/>
    </xf>
    <xf numFmtId="14" fontId="1" fillId="5" borderId="1" xfId="0" applyNumberFormat="1" applyFill="1" applyBorder="1" applyProtection="1"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4" fillId="7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10" borderId="1" xfId="0" applyFill="1" applyBorder="1" applyProtection="1">
      <protection locked="0"/>
    </xf>
    <xf numFmtId="0" fontId="2" fillId="3" borderId="1" xfId="0" applyNumberFormat="1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2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S\RETAIL\DT_Procurement%20of%20consumables%20from%20DC%20to%20Headquarter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T27"/>
  <sheetViews>
    <sheetView zoomScale="90" workbookViewId="0">
      <pane xSplit="1" ySplit="0" topLeftCell="O2" activePane="topRight"/>
      <selection activeCell="O2" sqref="O2"/>
      <selection pane="topRight" activeCell="O2" sqref="O2"/>
    </sheetView>
  </sheetViews>
  <sheetFormatPr defaultColWidth="9.125" defaultRowHeight="14.25"/>
  <cols>
    <col min="1" max="1" width="14.625" style="9" customWidth="1"/>
    <col min="2" max="2" width="48.875" style="9" customWidth="1"/>
    <col min="3" max="3" width="38.125" style="9" customWidth="1"/>
    <col min="4" max="4" width="15" style="9" customWidth="1"/>
    <col min="5" max="5" width="13.625" style="9" customWidth="1"/>
    <col min="6" max="6" width="26" style="9" customWidth="1"/>
    <col min="7" max="7" width="18.625" style="9" customWidth="1"/>
    <col min="8" max="8" width="16.75" style="9" customWidth="1"/>
    <col min="9" max="9" width="27.125" style="9" customWidth="1"/>
    <col min="10" max="10" width="45.5" style="9" customWidth="1"/>
    <col min="11" max="11" width="38.375" style="9" customWidth="1"/>
    <col min="12" max="12" width="18.875" style="9" customWidth="1"/>
    <col min="13" max="13" width="31.25" style="9" customWidth="1"/>
    <col min="14" max="14" width="34" style="9" customWidth="1"/>
    <col min="15" max="16" width="35.625" style="9" customWidth="1"/>
    <col min="17" max="17" width="28.375" style="9" customWidth="1"/>
    <col min="18" max="18" width="34.25" style="9" customWidth="1"/>
    <col min="19" max="19" width="20.75" style="9" customWidth="1"/>
    <col min="20" max="20" width="37.25" style="9" customWidth="1"/>
    <col min="21" max="21" width="21.375" style="9" customWidth="1"/>
    <col min="22" max="22" width="28" style="9" customWidth="1"/>
    <col min="23" max="23" width="43.75" style="9" customWidth="1"/>
    <col min="24" max="24" width="67.625" style="9" customWidth="1"/>
    <col min="25" max="25" width="21.375" style="9" customWidth="1"/>
    <col min="26" max="26" width="37.25" style="9" customWidth="1"/>
    <col min="27" max="27" width="60.25" style="9" customWidth="1"/>
    <col min="28" max="28" width="21.375" style="9" customWidth="1"/>
    <col min="29" max="29" width="43.125" style="9" customWidth="1"/>
    <col min="30" max="30" width="60.375" style="9" customWidth="1"/>
    <col min="31" max="31" width="44.375" style="9" customWidth="1"/>
    <col min="32" max="32" width="21.375" style="9" customWidth="1"/>
    <col min="33" max="33" width="43.125" style="9" customWidth="1"/>
    <col min="34" max="34" width="33.375" style="9" customWidth="1"/>
    <col min="35" max="35" width="27.25" style="9" customWidth="1"/>
    <col min="36" max="36" width="36" style="9" customWidth="1"/>
    <col min="37" max="37" width="26.625" style="9" customWidth="1"/>
    <col min="38" max="38" width="66.125" style="9" customWidth="1"/>
    <col min="39" max="39" width="23" style="9" customWidth="1"/>
    <col min="40" max="40" width="41.5" style="9" customWidth="1"/>
    <col min="41" max="44" width="61.125" style="9" customWidth="1"/>
    <col min="45" max="45" width="21.375" style="9" customWidth="1"/>
    <col min="46" max="16384" width="9.125" style="9" customWidth="1"/>
  </cols>
  <sheetData>
    <row r="1" ht="12.75" customHeight="1" customFormat="1">
      <c r="A1" t="s">
        <v>73</v>
      </c>
      <c r="B1" t="s">
        <v>43</v>
      </c>
      <c r="C1" t="s">
        <v>28</v>
      </c>
      <c r="D1" t="s">
        <v>86</v>
      </c>
      <c r="E1" t="s">
        <v>81</v>
      </c>
      <c r="F1" t="s">
        <v>77</v>
      </c>
      <c r="G1" t="s">
        <v>35</v>
      </c>
      <c r="H1" t="s">
        <v>36</v>
      </c>
      <c r="I1" t="s">
        <v>2</v>
      </c>
      <c r="J1" t="s">
        <v>66</v>
      </c>
      <c r="K1" t="s">
        <v>50</v>
      </c>
      <c r="L1" t="s">
        <v>67</v>
      </c>
      <c r="M1" t="s">
        <v>56</v>
      </c>
      <c r="N1" t="s">
        <v>16</v>
      </c>
      <c r="O1" t="s">
        <v>87</v>
      </c>
      <c r="P1" t="s">
        <v>17</v>
      </c>
      <c r="Q1" t="s">
        <v>88</v>
      </c>
      <c r="R1" t="s">
        <v>51</v>
      </c>
      <c r="S1" t="s">
        <v>23</v>
      </c>
      <c r="T1" t="s">
        <v>72</v>
      </c>
      <c r="U1" t="s">
        <v>78</v>
      </c>
      <c r="V1" t="s">
        <v>89</v>
      </c>
      <c r="W1" t="s">
        <v>29</v>
      </c>
      <c r="X1" t="s">
        <v>83</v>
      </c>
      <c r="Y1" t="s">
        <v>62</v>
      </c>
      <c r="Z1" t="s">
        <v>68</v>
      </c>
      <c r="AA1" t="s">
        <v>91</v>
      </c>
      <c r="AB1" t="s">
        <v>57</v>
      </c>
      <c r="AC1" t="s">
        <v>13</v>
      </c>
      <c r="AD1" t="s">
        <v>69</v>
      </c>
      <c r="AE1" t="s">
        <v>30</v>
      </c>
      <c r="AF1" t="s">
        <v>31</v>
      </c>
      <c r="AG1" t="s">
        <v>44</v>
      </c>
      <c r="AH1" t="s">
        <v>9</v>
      </c>
      <c r="AI1" t="s">
        <v>25</v>
      </c>
      <c r="AJ1" t="s">
        <v>92</v>
      </c>
      <c r="AK1" t="s">
        <v>41</v>
      </c>
      <c r="AL1" t="s">
        <v>26</v>
      </c>
      <c r="AM1" t="s">
        <v>58</v>
      </c>
      <c r="AN1" t="s">
        <v>5</v>
      </c>
      <c r="AO1" t="s">
        <v>45</v>
      </c>
      <c r="AP1" t="s">
        <v>6</v>
      </c>
      <c r="AQ1" t="s">
        <v>70</v>
      </c>
      <c r="AR1" t="s">
        <v>33</v>
      </c>
      <c r="AS1" t="s">
        <v>59</v>
      </c>
      <c r="AT1" t="s">
        <v>55</v>
      </c>
    </row>
    <row r="2">
      <c r="A2" s="13">
        <v>1</v>
      </c>
      <c r="B2" s="13" t="s">
        <v>74</v>
      </c>
      <c r="C2" s="5" t="s">
        <v>75</v>
      </c>
      <c r="D2" s="5" t="s">
        <v>21</v>
      </c>
      <c r="E2" s="5" t="s">
        <v>0</v>
      </c>
      <c r="F2" s="5" t="s">
        <v>11</v>
      </c>
      <c r="G2" s="5" t="s">
        <v>60</v>
      </c>
      <c r="H2" s="2" t="s">
        <v>1</v>
      </c>
      <c r="I2" s="3" t="s">
        <v>49</v>
      </c>
      <c r="J2" s="3" t="s">
        <v>3</v>
      </c>
      <c r="K2" s="11">
        <f ca="1" t="shared" si="0" ref="K2:K4">TODAY()</f>
        <v>45796</v>
      </c>
      <c r="L2" s="11">
        <f ca="1" t="shared" si="1" ref="L2:L4">TODAY()+2</f>
        <v>45798</v>
      </c>
      <c r="M2" s="2" t="s">
        <v>61</v>
      </c>
      <c r="N2" s="3" t="s">
        <v>22</v>
      </c>
      <c r="O2" s="2" t="s">
        <v>82</v>
      </c>
      <c r="P2" s="1">
        <v>5567849054</v>
      </c>
      <c r="Q2" s="2" t="s">
        <v>18</v>
      </c>
      <c r="R2" s="2" t="s">
        <v>37</v>
      </c>
      <c r="S2" s="2" t="s">
        <v>38</v>
      </c>
      <c r="T2" s="8" t="e">
        <f>[1]Output!A2</f>
        <v>#REF!</v>
      </c>
      <c r="U2" s="3" t="s">
        <v>52</v>
      </c>
      <c r="V2" s="19">
        <f t="shared" si="2" ref="V2:V4">P2</f>
        <v>5567849054</v>
      </c>
      <c r="W2" s="2" t="s">
        <v>90</v>
      </c>
      <c r="X2" s="10" t="e">
        <f t="shared" si="3" ref="X2:X4">(T2)</f>
        <v>#REF!</v>
      </c>
      <c r="Y2" s="3" t="s">
        <v>8</v>
      </c>
      <c r="Z2" s="7" t="s">
        <v>39</v>
      </c>
      <c r="AA2" s="4" t="s">
        <v>4</v>
      </c>
      <c r="AB2" s="3" t="s">
        <v>53</v>
      </c>
      <c r="AC2" s="7" t="s">
        <v>39</v>
      </c>
      <c r="AD2" s="8" t="e">
        <f t="shared" si="4" ref="AD2:AD4">T2</f>
        <v>#REF!</v>
      </c>
      <c r="AE2" s="20" t="e">
        <f t="shared" si="5" ref="AE2:AE4">CONCATENATE("Outb. del.(Intracy) ",T2," has been saved")</f>
        <v>#REF!</v>
      </c>
      <c r="AF2" s="3" t="s">
        <v>54</v>
      </c>
      <c r="AG2" s="7" t="s">
        <v>39</v>
      </c>
      <c r="AH2" s="8" t="e">
        <f>[1]Output!B2</f>
        <v>#REF!</v>
      </c>
      <c r="AI2" s="3" t="s">
        <v>79</v>
      </c>
      <c r="AJ2" s="7" t="s">
        <v>63</v>
      </c>
      <c r="AK2" s="2" t="s">
        <v>19</v>
      </c>
      <c r="AL2" s="4" t="s">
        <v>64</v>
      </c>
      <c r="AM2" s="22" t="s">
        <v>32</v>
      </c>
      <c r="AN2" s="2" t="s">
        <v>37</v>
      </c>
      <c r="AO2" s="4" t="s">
        <v>46</v>
      </c>
      <c r="AP2" s="4" t="s">
        <v>1</v>
      </c>
      <c r="AQ2" s="4" t="s">
        <v>65</v>
      </c>
      <c r="AR2" s="4" t="s">
        <v>65</v>
      </c>
      <c r="AS2" s="3" t="s">
        <v>27</v>
      </c>
      <c r="AT2" s="14">
        <f ca="1" t="shared" si="6" ref="AT2:AT4">YEAR(TODAY())</f>
        <v>2025</v>
      </c>
    </row>
    <row r="3">
      <c r="A3" s="13">
        <v>2</v>
      </c>
      <c r="B3" s="13" t="s">
        <v>74</v>
      </c>
      <c r="C3" s="5" t="s">
        <v>75</v>
      </c>
      <c r="D3" s="5" t="s">
        <v>21</v>
      </c>
      <c r="E3" s="5" t="s">
        <v>0</v>
      </c>
      <c r="F3" s="5" t="s">
        <v>11</v>
      </c>
      <c r="G3" s="5" t="s">
        <v>60</v>
      </c>
      <c r="H3" s="2" t="s">
        <v>1</v>
      </c>
      <c r="I3" s="3" t="s">
        <v>49</v>
      </c>
      <c r="J3" s="3" t="s">
        <v>3</v>
      </c>
      <c r="K3" s="11">
        <f ca="1" t="shared" si="0"/>
        <v>45796</v>
      </c>
      <c r="L3" s="11">
        <f ca="1" t="shared" si="1"/>
        <v>45798</v>
      </c>
      <c r="M3" s="2" t="s">
        <v>61</v>
      </c>
      <c r="N3" s="3" t="s">
        <v>22</v>
      </c>
      <c r="O3" s="2" t="s">
        <v>82</v>
      </c>
      <c r="P3" s="1">
        <v>5567849273</v>
      </c>
      <c r="Q3" s="2" t="s">
        <v>18</v>
      </c>
      <c r="R3" s="2" t="s">
        <v>37</v>
      </c>
      <c r="S3" s="2" t="s">
        <v>38</v>
      </c>
      <c r="T3" s="8" t="e">
        <f>[1]Output!A3</f>
        <v>#REF!</v>
      </c>
      <c r="U3" s="3" t="s">
        <v>52</v>
      </c>
      <c r="V3" s="19">
        <f t="shared" si="2"/>
        <v>5567849273</v>
      </c>
      <c r="W3" s="2" t="s">
        <v>90</v>
      </c>
      <c r="X3" s="10" t="e">
        <f t="shared" si="3"/>
        <v>#REF!</v>
      </c>
      <c r="Y3" s="3" t="s">
        <v>24</v>
      </c>
      <c r="Z3" s="7" t="s">
        <v>12</v>
      </c>
      <c r="AA3" s="4" t="s">
        <v>4</v>
      </c>
      <c r="AB3" s="3" t="s">
        <v>53</v>
      </c>
      <c r="AC3" s="7" t="s">
        <v>12</v>
      </c>
      <c r="AD3" s="8" t="e">
        <f t="shared" si="4"/>
        <v>#REF!</v>
      </c>
      <c r="AE3" s="20" t="e">
        <f t="shared" si="5"/>
        <v>#REF!</v>
      </c>
      <c r="AF3" s="3" t="s">
        <v>8</v>
      </c>
      <c r="AG3" s="7" t="s">
        <v>12</v>
      </c>
      <c r="AH3" s="8" t="e">
        <f>[1]Output!B3</f>
        <v>#REF!</v>
      </c>
      <c r="AI3" s="3" t="s">
        <v>79</v>
      </c>
      <c r="AJ3" s="7" t="s">
        <v>40</v>
      </c>
      <c r="AK3" s="2" t="s">
        <v>19</v>
      </c>
      <c r="AL3" s="4" t="s">
        <v>64</v>
      </c>
      <c r="AM3" s="22" t="s">
        <v>93</v>
      </c>
      <c r="AN3" s="2" t="s">
        <v>37</v>
      </c>
      <c r="AO3" s="4" t="s">
        <v>46</v>
      </c>
      <c r="AP3" s="4" t="s">
        <v>7</v>
      </c>
      <c r="AQ3" s="4" t="s">
        <v>65</v>
      </c>
      <c r="AR3" s="4" t="s">
        <v>65</v>
      </c>
      <c r="AS3" s="3" t="s">
        <v>27</v>
      </c>
      <c r="AT3" s="14">
        <f ca="1" t="shared" si="6"/>
        <v>2025</v>
      </c>
    </row>
    <row r="4">
      <c r="A4" s="13">
        <v>3</v>
      </c>
      <c r="B4" s="13" t="s">
        <v>74</v>
      </c>
      <c r="C4" s="5" t="s">
        <v>75</v>
      </c>
      <c r="D4" s="5" t="s">
        <v>21</v>
      </c>
      <c r="E4" s="5" t="s">
        <v>0</v>
      </c>
      <c r="F4" s="5" t="s">
        <v>11</v>
      </c>
      <c r="G4" s="5" t="s">
        <v>60</v>
      </c>
      <c r="H4" s="2" t="s">
        <v>1</v>
      </c>
      <c r="I4" s="3" t="s">
        <v>49</v>
      </c>
      <c r="J4" s="3" t="s">
        <v>3</v>
      </c>
      <c r="K4" s="11">
        <f ca="1" t="shared" si="0"/>
        <v>45796</v>
      </c>
      <c r="L4" s="11">
        <f ca="1" t="shared" si="1"/>
        <v>45798</v>
      </c>
      <c r="M4" s="2" t="s">
        <v>61</v>
      </c>
      <c r="N4" s="3" t="s">
        <v>22</v>
      </c>
      <c r="O4" s="2" t="s">
        <v>82</v>
      </c>
      <c r="P4" s="1">
        <v>5567849055</v>
      </c>
      <c r="Q4" s="2" t="s">
        <v>18</v>
      </c>
      <c r="R4" s="2" t="s">
        <v>37</v>
      </c>
      <c r="S4" s="2" t="s">
        <v>38</v>
      </c>
      <c r="T4" s="8" t="e">
        <f>[1]Output!A4</f>
        <v>#REF!</v>
      </c>
      <c r="U4" s="3" t="s">
        <v>52</v>
      </c>
      <c r="V4" s="19">
        <f t="shared" si="2"/>
        <v>5567849055</v>
      </c>
      <c r="W4" s="2" t="s">
        <v>90</v>
      </c>
      <c r="X4" s="10" t="e">
        <f t="shared" si="3"/>
        <v>#REF!</v>
      </c>
      <c r="Y4" s="3" t="s">
        <v>24</v>
      </c>
      <c r="Z4" s="7" t="s">
        <v>84</v>
      </c>
      <c r="AA4" s="4" t="s">
        <v>4</v>
      </c>
      <c r="AB4" s="3" t="s">
        <v>53</v>
      </c>
      <c r="AC4" s="7" t="s">
        <v>84</v>
      </c>
      <c r="AD4" s="8" t="e">
        <f t="shared" si="4"/>
        <v>#REF!</v>
      </c>
      <c r="AE4" s="20" t="e">
        <f t="shared" si="5"/>
        <v>#REF!</v>
      </c>
      <c r="AF4" s="3" t="s">
        <v>8</v>
      </c>
      <c r="AG4" s="7" t="s">
        <v>84</v>
      </c>
      <c r="AH4" s="8" t="e">
        <f>[1]Output!B4</f>
        <v>#REF!</v>
      </c>
      <c r="AI4" s="3" t="s">
        <v>79</v>
      </c>
      <c r="AJ4" s="7" t="s">
        <v>14</v>
      </c>
      <c r="AK4" s="2" t="s">
        <v>19</v>
      </c>
      <c r="AL4" s="4" t="s">
        <v>64</v>
      </c>
      <c r="AM4" s="22" t="s">
        <v>42</v>
      </c>
      <c r="AN4" s="2" t="s">
        <v>37</v>
      </c>
      <c r="AO4" s="4" t="s">
        <v>46</v>
      </c>
      <c r="AP4" s="4" t="s">
        <v>7</v>
      </c>
      <c r="AQ4" s="4" t="s">
        <v>65</v>
      </c>
      <c r="AR4" s="4" t="s">
        <v>65</v>
      </c>
      <c r="AS4" s="3" t="s">
        <v>27</v>
      </c>
      <c r="AT4" s="14">
        <f ca="1" t="shared" si="6"/>
        <v>2025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4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4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4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4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4"/>
    </row>
    <row r="10">
      <c r="A10" s="1"/>
      <c r="B10" s="1"/>
      <c r="C10" s="21" t="s">
        <v>80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4"/>
    </row>
    <row r="11">
      <c r="A11" s="1"/>
      <c r="B11" s="1"/>
      <c r="C11" s="16" t="s">
        <v>34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4"/>
    </row>
    <row r="12">
      <c r="A12" s="1"/>
      <c r="B12" s="1"/>
      <c r="C12" s="15" t="s">
        <v>76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4"/>
    </row>
    <row r="13">
      <c r="A13" s="1"/>
      <c r="B13" s="1"/>
      <c r="C13" s="17" t="s">
        <v>15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4"/>
    </row>
    <row r="14">
      <c r="A14" s="1"/>
      <c r="B14" s="1"/>
      <c r="C14" s="18" t="s">
        <v>20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4"/>
    </row>
    <row r="15">
      <c r="A15" s="1"/>
      <c r="B15" s="1"/>
      <c r="C15" s="10" t="s">
        <v>47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4"/>
    </row>
    <row r="16">
      <c r="A16" s="1"/>
      <c r="B16" s="1"/>
      <c r="C16" s="25" t="s">
        <v>10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4"/>
    </row>
    <row r="17">
      <c r="A17" s="1"/>
      <c r="B17" s="1"/>
      <c r="C17" s="23" t="s">
        <v>48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4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4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4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4"/>
    </row>
    <row r="21" ht="15" thickBo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2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4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4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4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4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4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4"/>
    </row>
    <row r="27" ht="15" thickBo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4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selection activeCell="A2" sqref="A2"/>
    </sheetView>
  </sheetViews>
  <sheetFormatPr defaultColWidth="9.125" defaultRowHeight="14.25"/>
  <cols>
    <col min="1" max="1" width="43.875" style="9" customWidth="1"/>
    <col min="2" max="2" width="41.75" style="9" customWidth="1"/>
    <col min="3" max="16384" width="9.125" style="9" customWidth="1"/>
  </cols>
  <sheetData>
    <row r="1" ht="12.75" customHeight="1" customFormat="1">
      <c r="A1" t="s">
        <v>71</v>
      </c>
      <c r="B1" t="s">
        <v>85</v>
      </c>
      <c r="C1" t="s">
        <v>58</v>
      </c>
    </row>
    <row r="2">
      <c r="A2" s="24"/>
      <c r="B2" s="1">
        <v>3903747959</v>
      </c>
      <c r="C2" s="14">
        <v>4900242597</v>
      </c>
    </row>
    <row r="3">
      <c r="A3" s="1"/>
      <c r="B3" s="1"/>
      <c r="C3" s="14"/>
    </row>
    <row r="4">
      <c r="A4" s="1"/>
      <c r="B4" s="1">
        <v>3900298728</v>
      </c>
      <c r="C4" s="14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