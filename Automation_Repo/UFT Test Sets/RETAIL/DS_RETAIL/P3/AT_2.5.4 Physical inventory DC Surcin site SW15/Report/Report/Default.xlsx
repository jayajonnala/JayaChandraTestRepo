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C1_PhysicalDC Surcin SW15 P1" sheetId="4" r:id="rId4"/>
    <sheet name="TC2_PhysicalDC Surcin SW15 P2" sheetId="5" r:id="rId5"/>
    <sheet name="AT {{1}RunTimeResultFolderC..00" sheetId="6" r:id="rId6"/>
  </sheets>
  <externalReferences>
    <externalReference r:id="rId10"/>
    <externalReference r:id="rId11"/>
  </externalReferences>
  <calcPr calcId="40001"/>
</workbook>
</file>

<file path=xl/sharedStrings.xml><?xml version="1.0" encoding="utf-8"?>
<sst xmlns="http://schemas.openxmlformats.org/spreadsheetml/2006/main" uniqueCount="47">
  <si>
    <t>LEGEND</t>
  </si>
  <si>
    <t>AUTODS</t>
  </si>
  <si>
    <t/>
  </si>
  <si>
    <t>DT_SAPTRANSACTIONCODE</t>
  </si>
  <si>
    <t>Data Coming from another test</t>
  </si>
  <si>
    <t>Scenario</t>
  </si>
  <si>
    <t>Output Data</t>
  </si>
  <si>
    <t>Display</t>
  </si>
  <si>
    <t>200</t>
  </si>
  <si>
    <t>DT_EXPECTEDVALUE</t>
  </si>
  <si>
    <t>DT_MI07_0701_CHECK_MESSAGEPARAMETER_OF_STATUSBAR</t>
  </si>
  <si>
    <t>MIGO</t>
  </si>
  <si>
    <t>DT_MI07_2010_GODYNPROMAT_DOC</t>
  </si>
  <si>
    <t>DT_MI07_0001_OKCD</t>
  </si>
  <si>
    <t>/nex</t>
  </si>
  <si>
    <t>DT_MI07_0750_CHECK_TEXT_OF_DOCUMENT_NUMBER_OUTPUT</t>
  </si>
  <si>
    <t>DT_SAPSYSTEM</t>
  </si>
  <si>
    <t>DT_MI07_0701_PHYS_INVENTORY_DOC</t>
  </si>
  <si>
    <t>Input Data</t>
  </si>
  <si>
    <t>5fa25a0597c8e7b484566a80ecfbd128b55089cc179ee1eef13b</t>
  </si>
  <si>
    <t>DT_SAPLANGUAGE</t>
  </si>
  <si>
    <t>DT_SAPOPTIONS</t>
  </si>
  <si>
    <t>S</t>
  </si>
  <si>
    <t>Row</t>
  </si>
  <si>
    <t>DT_MI07_0701_FISCAL_YEAR</t>
  </si>
  <si>
    <t>Verifications</t>
  </si>
  <si>
    <t>Execution Control Data</t>
  </si>
  <si>
    <t>from p1</t>
  </si>
  <si>
    <t>DT_MI07_0750_CHECK_TEXT_OF_DOCUMENT_NUMBER</t>
  </si>
  <si>
    <t>Formulae</t>
  </si>
  <si>
    <t>EN</t>
  </si>
  <si>
    <t>MI07</t>
  </si>
  <si>
    <t>DT_MI07_0701_CHECK_TEXT_OF_STATUSBAR</t>
  </si>
  <si>
    <t>DT_MI07_0100_DOC_INFO</t>
  </si>
  <si>
    <t>AT_Physical inventory DC Surcin - site SW15</t>
  </si>
  <si>
    <t>DT_MI07_0701_CHECK_MESSAGEPARAMETER_OF_STATUSBAR_OUTPUT</t>
  </si>
  <si>
    <t>Fixed Data</t>
  </si>
  <si>
    <t>R1E - SAP RETAIL Pre-Production EUROPE</t>
  </si>
  <si>
    <t>DT_SAPPASSWORD</t>
  </si>
  <si>
    <t>Article Document</t>
  </si>
  <si>
    <t>Login Information</t>
  </si>
  <si>
    <t>DT_SAPUSER</t>
  </si>
  <si>
    <t>DT_MI07_0010_GODYNPROACTION_OCC1</t>
  </si>
  <si>
    <t>2</t>
  </si>
  <si>
    <t>DT_SAPCLIENT</t>
  </si>
  <si>
    <t>DT_MI07_0701_OKCD</t>
  </si>
  <si>
    <t>DT_MI07_0010_GODYNPROACTION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</si>
</sst>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0" borderId="1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1" fillId="8" borderId="0" xfId="0" applyFill="1" applyBorder="1" applyProtection="1">
      <protection locked="0"/>
    </xf>
    <xf numFmtId="0" fontId="1" fillId="8" borderId="1" xfId="0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4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Relationship Id="rId11" Type="http://schemas.openxmlformats.org/officeDocument/2006/relationships/externalLink" Target="externalLinks/externalLink2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Physical%20inventory%20DC%20Surcin%20-%20site%20SW15%20SAP%20only_p1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Physical%20inventory%20DC%20Surcin%20-%20site%20SW15%20SAP%20only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2"/>
  <sheetViews>
    <sheetView topLeftCell="N1" workbookViewId="0">
      <selection activeCell="N2" sqref="N2"/>
    </sheetView>
  </sheetViews>
  <sheetFormatPr defaultColWidth="9.125" defaultRowHeight="14.25"/>
  <cols>
    <col min="1" max="1" width="4.875" style="6" customWidth="1"/>
    <col min="2" max="2" width="44.375" style="6" customWidth="1"/>
    <col min="3" max="3" width="38.125" style="6" customWidth="1"/>
    <col min="4" max="4" width="15" style="6" customWidth="1"/>
    <col min="5" max="5" width="13.625" style="6" customWidth="1"/>
    <col min="6" max="6" width="30" style="6" customWidth="1"/>
    <col min="7" max="7" width="18.625" style="6" customWidth="1"/>
    <col min="8" max="8" width="16.75" style="6" customWidth="1"/>
    <col min="9" max="9" width="27.125" style="6" customWidth="1"/>
    <col min="10" max="10" width="36.75" style="14" customWidth="1"/>
    <col min="11" max="11" width="27.125" style="6" customWidth="1"/>
    <col min="12" max="12" width="20.75" style="6" customWidth="1"/>
    <col min="13" max="13" width="58.75" style="6" customWidth="1"/>
    <col min="14" max="14" width="64.75" style="6" customWidth="1"/>
    <col min="15" max="15" width="19.875" style="6" customWidth="1"/>
    <col min="16" max="16" width="32.375" style="6" customWidth="1"/>
    <col min="17" max="17" width="38.25" style="6" customWidth="1"/>
    <col min="18" max="18" width="34.375" style="6" customWidth="1"/>
    <col min="19" max="19" width="24.25" style="6" customWidth="1"/>
    <col min="20" max="20" width="51.125" style="6" customWidth="1"/>
    <col min="21" max="21" width="19.875" style="6" customWidth="1"/>
    <col min="22" max="16384" width="9.125" style="6" customWidth="1"/>
  </cols>
  <sheetData>
    <row r="1" ht="12.75" customHeight="1" customFormat="1">
      <c r="A1" t="s">
        <v>23</v>
      </c>
      <c r="B1" t="s">
        <v>5</v>
      </c>
      <c r="C1" t="s">
        <v>16</v>
      </c>
      <c r="D1" t="s">
        <v>44</v>
      </c>
      <c r="E1" t="s">
        <v>41</v>
      </c>
      <c r="F1" t="s">
        <v>38</v>
      </c>
      <c r="G1" t="s">
        <v>20</v>
      </c>
      <c r="H1" t="s">
        <v>21</v>
      </c>
      <c r="I1" t="s">
        <v>3</v>
      </c>
      <c r="J1" t="s">
        <v>17</v>
      </c>
      <c r="K1" t="s">
        <v>24</v>
      </c>
      <c r="L1" t="s">
        <v>9</v>
      </c>
      <c r="M1" t="s">
        <v>10</v>
      </c>
      <c r="N1" t="s">
        <v>32</v>
      </c>
      <c r="O1" t="s">
        <v>45</v>
      </c>
      <c r="P1" t="s">
        <v>46</v>
      </c>
      <c r="Q1" t="s">
        <v>42</v>
      </c>
      <c r="R1" t="s">
        <v>12</v>
      </c>
      <c r="S1" t="s">
        <v>33</v>
      </c>
      <c r="T1" t="s">
        <v>28</v>
      </c>
      <c r="U1" t="s">
        <v>13</v>
      </c>
    </row>
    <row r="2" s="6" customFormat="1">
      <c r="A2" s="4">
        <v>1</v>
      </c>
      <c r="B2" s="4" t="s">
        <v>34</v>
      </c>
      <c r="C2" s="2" t="s">
        <v>37</v>
      </c>
      <c r="D2" s="2" t="s">
        <v>8</v>
      </c>
      <c r="E2" s="2" t="s">
        <v>1</v>
      </c>
      <c r="F2" s="2" t="s">
        <v>19</v>
      </c>
      <c r="G2" s="2" t="s">
        <v>30</v>
      </c>
      <c r="H2" s="2" t="s">
        <v>2</v>
      </c>
      <c r="I2" s="8" t="s">
        <v>31</v>
      </c>
      <c r="J2" s="18">
        <v>0</v>
      </c>
      <c r="K2" s="5">
        <f ca="1">YEAR(TODAY())</f>
        <v>2025</v>
      </c>
      <c r="L2" s="7" t="s">
        <v>22</v>
      </c>
      <c r="M2" s="9" t="e">
        <f>[2]Output!A2</f>
        <v>#REF!</v>
      </c>
      <c r="N2" s="7" t="e">
        <f>"Diffs in phys. inv. doc. "&amp;J2&amp;" posted with m. doc. "&amp;M2&amp;""</f>
        <v>#REF!</v>
      </c>
      <c r="O2" s="8" t="s">
        <v>11</v>
      </c>
      <c r="P2" s="11" t="s">
        <v>7</v>
      </c>
      <c r="Q2" s="11" t="s">
        <v>39</v>
      </c>
      <c r="R2" s="5" t="e">
        <f>M2</f>
        <v>#REF!</v>
      </c>
      <c r="S2" s="8" t="s">
        <v>43</v>
      </c>
      <c r="T2" s="9" t="e">
        <f>[2]Output!B2</f>
        <v>#REF!</v>
      </c>
      <c r="U2" s="16" t="s">
        <v>14</v>
      </c>
    </row>
    <row r="3" s="6" customFormat="1">
      <c r="A3" s="1"/>
      <c r="B3" s="1"/>
      <c r="C3" s="1"/>
      <c r="D3" s="1"/>
      <c r="E3" s="1"/>
      <c r="F3" s="1"/>
      <c r="G3" s="1"/>
      <c r="H3" s="1"/>
      <c r="I3" s="1"/>
      <c r="J3" s="15" t="s">
        <v>27</v>
      </c>
      <c r="K3" s="1"/>
      <c r="L3" s="1"/>
      <c r="M3" s="1"/>
      <c r="N3" s="1"/>
      <c r="O3" s="1"/>
      <c r="P3" s="1"/>
      <c r="Q3" s="11" t="s">
        <v>39</v>
      </c>
      <c r="R3" s="1"/>
      <c r="S3" s="1"/>
      <c r="T3" s="1"/>
      <c r="U3" s="10"/>
    </row>
    <row r="4" s="6" customFormat="1">
      <c r="A4" s="1"/>
      <c r="B4" s="12" t="s">
        <v>0</v>
      </c>
      <c r="C4" s="1"/>
      <c r="D4" s="1"/>
      <c r="E4" s="1"/>
      <c r="F4" s="1"/>
      <c r="G4" s="1"/>
      <c r="H4" s="1"/>
      <c r="I4" s="1"/>
      <c r="J4" s="15" t="e">
        <f>[1]Global!$AO$2</f>
        <v>#REF!</v>
      </c>
      <c r="K4" s="1"/>
      <c r="L4" s="1"/>
      <c r="M4" s="1"/>
      <c r="N4" s="1"/>
      <c r="O4" s="1"/>
      <c r="P4" s="1"/>
      <c r="Q4" s="1"/>
      <c r="R4" s="1"/>
      <c r="S4" s="1"/>
      <c r="T4" s="1"/>
      <c r="U4" s="10"/>
    </row>
    <row r="5" s="6" customFormat="1">
      <c r="A5" s="1"/>
      <c r="B5" s="2" t="s">
        <v>40</v>
      </c>
      <c r="C5" s="1"/>
      <c r="D5" s="1"/>
      <c r="E5" s="1"/>
      <c r="F5" s="1"/>
      <c r="G5" s="1"/>
      <c r="H5" s="1"/>
      <c r="I5" s="1"/>
      <c r="J5" s="15"/>
      <c r="K5" s="1"/>
      <c r="L5" s="1"/>
      <c r="M5" s="1"/>
      <c r="N5" s="1"/>
      <c r="O5" s="1"/>
      <c r="P5" s="1"/>
      <c r="Q5" s="1"/>
      <c r="R5" s="1"/>
      <c r="S5" s="1"/>
      <c r="T5" s="1"/>
      <c r="U5" s="10"/>
    </row>
    <row r="6" s="6" customFormat="1">
      <c r="A6" s="1"/>
      <c r="B6" s="17" t="s">
        <v>18</v>
      </c>
      <c r="C6" s="1"/>
      <c r="D6" s="1"/>
      <c r="E6" s="1"/>
      <c r="F6" s="1"/>
      <c r="G6" s="1"/>
      <c r="H6" s="1"/>
      <c r="I6" s="1"/>
      <c r="J6" s="15"/>
      <c r="K6" s="1"/>
      <c r="L6" s="1"/>
      <c r="M6" s="1"/>
      <c r="N6" s="1"/>
      <c r="O6" s="1"/>
      <c r="P6" s="1"/>
      <c r="Q6" s="1"/>
      <c r="R6" s="1"/>
      <c r="S6" s="1"/>
      <c r="T6" s="1"/>
      <c r="U6" s="10"/>
    </row>
    <row r="7" s="6" customFormat="1">
      <c r="A7" s="1"/>
      <c r="B7" s="19" t="s">
        <v>36</v>
      </c>
      <c r="C7" s="1"/>
      <c r="D7" s="1"/>
      <c r="E7" s="1"/>
      <c r="F7" s="1"/>
      <c r="G7" s="1"/>
      <c r="H7" s="1"/>
      <c r="I7" s="1"/>
      <c r="J7" s="15"/>
      <c r="K7" s="1"/>
      <c r="L7" s="1"/>
      <c r="M7" s="1"/>
      <c r="N7" s="1"/>
      <c r="O7" s="1"/>
      <c r="P7" s="1"/>
      <c r="Q7" s="1"/>
      <c r="R7" s="1"/>
      <c r="S7" s="1"/>
      <c r="T7" s="1"/>
      <c r="U7" s="10"/>
    </row>
    <row r="8" s="6" customFormat="1">
      <c r="A8" s="1"/>
      <c r="B8" s="9" t="s">
        <v>6</v>
      </c>
      <c r="C8" s="1"/>
      <c r="D8" s="1"/>
      <c r="E8" s="1"/>
      <c r="F8" s="1"/>
      <c r="G8" s="1"/>
      <c r="H8" s="1"/>
      <c r="I8" s="1"/>
      <c r="J8" s="15"/>
      <c r="K8" s="1"/>
      <c r="L8" s="1"/>
      <c r="M8" s="1"/>
      <c r="N8" s="1"/>
      <c r="O8" s="1"/>
      <c r="P8" s="1"/>
      <c r="Q8" s="1"/>
      <c r="R8" s="1"/>
      <c r="S8" s="1"/>
      <c r="T8" s="1"/>
      <c r="U8" s="10"/>
    </row>
    <row r="9" s="6" customFormat="1">
      <c r="A9" s="1"/>
      <c r="B9" s="5" t="s">
        <v>29</v>
      </c>
      <c r="C9" s="1"/>
      <c r="D9" s="1"/>
      <c r="E9" s="1"/>
      <c r="F9" s="1"/>
      <c r="G9" s="1"/>
      <c r="H9" s="1"/>
      <c r="I9" s="1"/>
      <c r="J9" s="15"/>
      <c r="K9" s="1"/>
      <c r="L9" s="1"/>
      <c r="M9" s="1"/>
      <c r="N9" s="1"/>
      <c r="O9" s="1"/>
      <c r="P9" s="1"/>
      <c r="Q9" s="1"/>
      <c r="R9" s="1"/>
      <c r="S9" s="1"/>
      <c r="T9" s="1"/>
      <c r="U9" s="10"/>
    </row>
    <row r="10" s="6" customFormat="1">
      <c r="A10" s="1"/>
      <c r="B10" s="7" t="s">
        <v>25</v>
      </c>
      <c r="C10" s="1"/>
      <c r="D10" s="1"/>
      <c r="E10" s="1"/>
      <c r="F10" s="1"/>
      <c r="G10" s="1"/>
      <c r="H10" s="1"/>
      <c r="I10" s="1"/>
      <c r="J10" s="15"/>
      <c r="K10" s="1"/>
      <c r="L10" s="1"/>
      <c r="M10" s="1"/>
      <c r="N10" s="1"/>
      <c r="O10" s="1"/>
      <c r="P10" s="1"/>
      <c r="Q10" s="1"/>
      <c r="R10" s="1"/>
      <c r="S10" s="1"/>
      <c r="T10" s="1"/>
      <c r="U10" s="10"/>
    </row>
    <row r="11" s="6" customFormat="1">
      <c r="A11" s="1"/>
      <c r="B11" s="13" t="s">
        <v>4</v>
      </c>
      <c r="C11" s="1"/>
      <c r="D11" s="1"/>
      <c r="E11" s="1"/>
      <c r="F11" s="1"/>
      <c r="G11" s="1"/>
      <c r="H11" s="1"/>
      <c r="I11" s="1"/>
      <c r="J11" s="15"/>
      <c r="K11" s="1"/>
      <c r="L11" s="1"/>
      <c r="M11" s="1"/>
      <c r="N11" s="1"/>
      <c r="O11" s="1"/>
      <c r="P11" s="1"/>
      <c r="Q11" s="1"/>
      <c r="R11" s="1"/>
      <c r="S11" s="1"/>
      <c r="T11" s="1"/>
      <c r="U11" s="10"/>
    </row>
    <row r="12" s="6" customFormat="1">
      <c r="A12" s="1"/>
      <c r="B12" s="4" t="s">
        <v>26</v>
      </c>
      <c r="C12" s="1"/>
      <c r="D12" s="1"/>
      <c r="E12" s="1"/>
      <c r="F12" s="1"/>
      <c r="G12" s="1"/>
      <c r="H12" s="1"/>
      <c r="I12" s="1"/>
      <c r="J12" s="15"/>
      <c r="K12" s="1"/>
      <c r="L12" s="1"/>
      <c r="M12" s="1"/>
      <c r="N12" s="1"/>
      <c r="O12" s="1"/>
      <c r="P12" s="1"/>
      <c r="Q12" s="1"/>
      <c r="R12" s="1"/>
      <c r="S12" s="1"/>
      <c r="T12" s="1"/>
      <c r="U12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68.875" style="6" bestFit="1" customWidth="1"/>
    <col min="2" max="2" width="61.875" style="6" bestFit="1" customWidth="1"/>
    <col min="3" max="16384" width="9.125" style="6" customWidth="1"/>
  </cols>
  <sheetData>
    <row r="1" ht="12.75" customHeight="1" customFormat="1">
      <c r="A1" t="s">
        <v>35</v>
      </c>
      <c r="B1" t="s">
        <v>15</v>
      </c>
    </row>
    <row r="2">
      <c r="A2" s="1">
        <v>2025</v>
      </c>
      <c r="B2" s="10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