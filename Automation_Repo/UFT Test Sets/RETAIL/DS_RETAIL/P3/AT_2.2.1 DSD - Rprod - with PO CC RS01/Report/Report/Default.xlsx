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ataTransfer 1" sheetId="3" r:id="rId3"/>
    <sheet name="TC1_DSD - Rprod CC RS01_p1" sheetId="4" r:id="rId4"/>
    <sheet name="TC2_DSD - Rprod CC RS01_p2" sheetId="5" r:id="rId5"/>
    <sheet name="AT {{1}RunTimeResultFolderC..00" sheetId="6" r:id="rId6"/>
  </sheets>
  <externalReferences>
    <externalReference r:id="rId10"/>
    <externalReference r:id="rId11"/>
  </externalReferences>
  <calcPr calcId="40001"/>
</workbook>
</file>

<file path=xl/sharedStrings.xml><?xml version="1.0" encoding="utf-8"?>
<sst xmlns="http://schemas.openxmlformats.org/spreadsheetml/2006/main" uniqueCount="95">
  <si>
    <t>AUTODS</t>
  </si>
  <si>
    <t>DT_SAPTRANSACTIONCODE</t>
  </si>
  <si>
    <t>DT_MIGO_0200_GRIDCELL_0_DOC_NUMBER</t>
  </si>
  <si>
    <t>zmdiv_invoice_list</t>
  </si>
  <si>
    <t>BA</t>
  </si>
  <si>
    <t/>
  </si>
  <si>
    <t>=Output!B2</t>
  </si>
  <si>
    <t>DT_MIGO_0010_AMOUNT</t>
  </si>
  <si>
    <t>AL</t>
  </si>
  <si>
    <t>Data Coming from another test</t>
  </si>
  <si>
    <t>DT_MIGO_0010_GODYNPROACTION</t>
  </si>
  <si>
    <t>DT_MIGO_0010_CALCULATE_TAX</t>
  </si>
  <si>
    <t>DT_MIGO_INVOICE</t>
  </si>
  <si>
    <t>AP</t>
  </si>
  <si>
    <t>AT</t>
  </si>
  <si>
    <t>Output Data</t>
  </si>
  <si>
    <t>DT_MIGO_2010_GODYNPROMAT_DOC</t>
  </si>
  <si>
    <t>OFF</t>
  </si>
  <si>
    <t>AX</t>
  </si>
  <si>
    <t>Formulas</t>
  </si>
  <si>
    <t>MIGO</t>
  </si>
  <si>
    <t>DT_MIGO_0100_DOC_INFO</t>
  </si>
  <si>
    <t>ON</t>
  </si>
  <si>
    <t>DT_MIGO_0100_OKCD_OCC1</t>
  </si>
  <si>
    <t>DT_MIGO_1000_INBOUND_DELIVERIES</t>
  </si>
  <si>
    <t>DT_MIGO_1000_INVOICES</t>
  </si>
  <si>
    <t>DT_MIGO_0500_CHECK_TEXT_OF_STATUSBAR</t>
  </si>
  <si>
    <t>BB</t>
  </si>
  <si>
    <t xml:space="preserve">0,00 </t>
  </si>
  <si>
    <t>C</t>
  </si>
  <si>
    <t>DT_SAPSYSTEM</t>
  </si>
  <si>
    <t>=Output!B3</t>
  </si>
  <si>
    <t>Input Data</t>
  </si>
  <si>
    <t>5fa25a0597c8e7b484566a80ecfbd128b55089cc179ee1eef13b</t>
  </si>
  <si>
    <t>DT_SAPLANGUAGE</t>
  </si>
  <si>
    <t>DT_SAPOPTIONS</t>
  </si>
  <si>
    <t>S</t>
  </si>
  <si>
    <t>AM</t>
  </si>
  <si>
    <t>AQ</t>
  </si>
  <si>
    <t>AU</t>
  </si>
  <si>
    <t>DT_MIGO_6000_CHECK_TEXT_OF_BALANCE_OUTPUT</t>
  </si>
  <si>
    <t>51.516,00-</t>
  </si>
  <si>
    <t>SCENARIO</t>
  </si>
  <si>
    <t>DT_STATUS_BAR_INVOICE</t>
  </si>
  <si>
    <t>DT_MIGO_1000_INVOICES_OCC1</t>
  </si>
  <si>
    <t>AY</t>
  </si>
  <si>
    <t>Verifications</t>
  </si>
  <si>
    <t>Execution Control Data</t>
  </si>
  <si>
    <t>from p1</t>
  </si>
  <si>
    <t>Doc. info</t>
  </si>
  <si>
    <t>DT_MIGO_1000_COMPANY_CODE_OCC1</t>
  </si>
  <si>
    <t>D</t>
  </si>
  <si>
    <t>=Output!B4</t>
  </si>
  <si>
    <t>DT_MIGO_1000_PARKED</t>
  </si>
  <si>
    <t>DT_SET_SELECTED_ROW</t>
  </si>
  <si>
    <t>Posting completed succesfully</t>
  </si>
  <si>
    <t>BC</t>
  </si>
  <si>
    <t>EN</t>
  </si>
  <si>
    <t>1</t>
  </si>
  <si>
    <t>mir7</t>
  </si>
  <si>
    <t>DT_MIGO_2010_FISCAL_YEAR</t>
  </si>
  <si>
    <t>AN</t>
  </si>
  <si>
    <t>AR</t>
  </si>
  <si>
    <t>DT_MIGO_0010_INVOICE_DATE</t>
  </si>
  <si>
    <t>DT_MIGO_6020_RM08MREFERENZBELEGTYP</t>
  </si>
  <si>
    <t>DT_MIGO_6000_CHECK_TEXT_OF_STATUSBAR</t>
  </si>
  <si>
    <t>ZMDIV_INVOIC_LIST_DS</t>
  </si>
  <si>
    <t>DT_MIGO_1000_INVOICE_DOCUMENT_NO</t>
  </si>
  <si>
    <t>AV</t>
  </si>
  <si>
    <t>AZ</t>
  </si>
  <si>
    <t>DT_MIGO_0100_OKCD</t>
  </si>
  <si>
    <t>RS01</t>
  </si>
  <si>
    <t>DT_MIGO_1000_PARKED_DELIVERIES</t>
  </si>
  <si>
    <t>ROW_NUMBER</t>
  </si>
  <si>
    <t>R1E - SAP RETAIL Pre-Production EUROPE</t>
  </si>
  <si>
    <t>Fixed Data</t>
  </si>
  <si>
    <t>DT_SAPPASSWORD</t>
  </si>
  <si>
    <t>A04</t>
  </si>
  <si>
    <t>DT_MIGO_0010_REFERENCE</t>
  </si>
  <si>
    <t>FK123/953_5</t>
  </si>
  <si>
    <t>DT_MIGO_6000_CHECK_TEXT_OF_BALANCE</t>
  </si>
  <si>
    <t>E</t>
  </si>
  <si>
    <t>Login Information</t>
  </si>
  <si>
    <t>DT_SAPUSER</t>
  </si>
  <si>
    <t>=Output!B20</t>
  </si>
  <si>
    <t>DT_MIGO_1000_PROPOSED_ACT_GDS_MVMNT_DATE</t>
  </si>
  <si>
    <t>AO</t>
  </si>
  <si>
    <t>AS</t>
  </si>
  <si>
    <t>DSD - Rprod - with PO CC RS01_p2</t>
  </si>
  <si>
    <t>DT_SAPCLIENT</t>
  </si>
  <si>
    <t>DT_MIGO_1000_COMPANY_CODE</t>
  </si>
  <si>
    <t>DT_MIGO_6211_RM08MEBELN</t>
  </si>
  <si>
    <t>FK123/943_5</t>
  </si>
  <si>
    <t>AW</t>
  </si>
  <si>
    <t>DT_MIGO_INVOICE_OUTPUT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</si>
</sst>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0" borderId="1" xfId="0" applyNumberFormat="1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2" fillId="5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14" fontId="1" fillId="0" borderId="1" xfId="0" applyNumberFormat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3" fillId="8" borderId="1" xfId="0" applyNumberFormat="1" applyFont="1" applyFill="1" applyBorder="1" applyProtection="1">
      <protection locked="0"/>
    </xf>
    <xf numFmtId="0" fontId="4" fillId="8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3" fillId="8" borderId="0" xfId="0" applyFont="1" applyFill="1" applyBorder="1" applyProtection="1">
      <protection locked="0"/>
    </xf>
    <xf numFmtId="49" fontId="1" fillId="8" borderId="1" xfId="0" applyNumberFormat="1" applyFill="1" applyBorder="1" applyProtection="1">
      <protection locked="0"/>
    </xf>
    <xf numFmtId="49" fontId="3" fillId="8" borderId="1" xfId="0" applyNumberFormat="1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" fillId="9" borderId="1" xfId="0" applyNumberFormat="1" applyFont="1" applyFill="1" applyBorder="1" applyProtection="1">
      <protection locked="0"/>
    </xf>
    <xf numFmtId="49" fontId="1" fillId="0" borderId="0" xfId="0" applyNumberFormat="1" applyBorder="1" applyProtection="1">
      <protection locked="0"/>
    </xf>
    <xf numFmtId="0" fontId="1" fillId="8" borderId="1" xfId="0" applyFill="1" applyBorder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14" fontId="1" fillId="0" borderId="2" xfId="0" applyNumberFormat="1" applyBorder="1" applyProtection="1">
      <protection locked="0"/>
    </xf>
    <xf numFmtId="0" fontId="1" fillId="8" borderId="0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Relationship Id="rId11" Type="http://schemas.openxmlformats.org/officeDocument/2006/relationships/externalLink" Target="externalLinks/externalLink2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DSD%20-%20Rprod%20-%20with%20PO%20CC%20RS01_p2_TASE.xls" TargetMode="External" /></Relationships>
</file>

<file path=xl/externalLinks/_rels/externalLink2.xml.rels>&#65279;<?xml version="1.0" encoding="utf-8"?><Relationships xmlns="http://schemas.openxmlformats.org/package/2006/relationships"><Relationship Id="rId1" Type="http://schemas.microsoft.com/office/2006/relationships/xlExternalLinkPath/xlPathMissing" Target="DT_DSD%20-%20Rprod%20-%20with%20PO%20CC%20RS01_p1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C20"/>
  <sheetViews>
    <sheetView topLeftCell="X1" workbookViewId="0">
      <selection activeCell="X2" sqref="X2"/>
    </sheetView>
  </sheetViews>
  <sheetFormatPr defaultColWidth="9.125" defaultRowHeight="14.25"/>
  <cols>
    <col min="1" max="1" width="14.625" style="10" customWidth="1"/>
    <col min="2" max="2" width="31.25" style="10" customWidth="1"/>
    <col min="3" max="3" width="38.125" style="10" customWidth="1"/>
    <col min="4" max="4" width="15" style="10" customWidth="1"/>
    <col min="5" max="5" width="13.625" style="10" customWidth="1"/>
    <col min="6" max="6" width="28.5" style="10" customWidth="1"/>
    <col min="7" max="7" width="18.625" style="10" customWidth="1"/>
    <col min="8" max="8" width="16.75" style="10" customWidth="1"/>
    <col min="9" max="9" width="27.125" style="10" customWidth="1"/>
    <col min="10" max="10" width="33.125" style="10" customWidth="1"/>
    <col min="11" max="11" width="37.5" style="28" customWidth="1"/>
    <col min="12" max="12" width="38.125" style="10" customWidth="1"/>
    <col min="13" max="13" width="43.5" style="10" customWidth="1"/>
    <col min="14" max="14" width="34.5" style="10" customWidth="1"/>
    <col min="15" max="15" width="30.875" style="10" customWidth="1"/>
    <col min="16" max="16" width="29" style="10" customWidth="1"/>
    <col min="17" max="17" width="31.125" style="10" customWidth="1"/>
    <col min="18" max="18" width="41.75" style="10" customWidth="1"/>
    <col min="19" max="19" width="27.875" style="18" customWidth="1"/>
    <col min="20" max="20" width="52.625" style="10" customWidth="1"/>
    <col min="21" max="21" width="23.5" style="10" customWidth="1"/>
    <col min="22" max="22" width="34.5" style="10" customWidth="1"/>
    <col min="23" max="23" width="39.25" style="10" customWidth="1"/>
    <col min="24" max="24" width="43.5" style="10" customWidth="1"/>
    <col min="25" max="25" width="25.625" style="10" customWidth="1"/>
    <col min="26" max="26" width="32.25" style="10" customWidth="1"/>
    <col min="27" max="27" width="36.75" style="10" customWidth="1"/>
    <col min="28" max="28" width="54.375" style="10" customWidth="1"/>
    <col min="29" max="29" width="36" style="10" customWidth="1"/>
    <col min="30" max="30" width="44.875" style="10" customWidth="1"/>
    <col min="31" max="31" width="35" style="10" customWidth="1"/>
    <col min="32" max="32" width="23" style="10" customWidth="1"/>
    <col min="33" max="33" width="30" style="10" customWidth="1"/>
    <col min="34" max="35" width="38.375" style="10" customWidth="1"/>
    <col min="36" max="36" width="44.375" style="10" customWidth="1"/>
    <col min="37" max="37" width="28" style="10" bestFit="1" customWidth="1"/>
    <col min="38" max="16384" width="9.125" style="10" customWidth="1"/>
  </cols>
  <sheetData>
    <row r="1" ht="12.75" customHeight="1" customFormat="1">
      <c r="A1" t="s">
        <v>73</v>
      </c>
      <c r="B1" t="s">
        <v>42</v>
      </c>
      <c r="C1" t="s">
        <v>30</v>
      </c>
      <c r="D1" t="s">
        <v>89</v>
      </c>
      <c r="E1" t="s">
        <v>83</v>
      </c>
      <c r="F1" t="s">
        <v>76</v>
      </c>
      <c r="G1" t="s">
        <v>34</v>
      </c>
      <c r="H1" t="s">
        <v>35</v>
      </c>
      <c r="I1" t="s">
        <v>1</v>
      </c>
      <c r="J1" t="s">
        <v>10</v>
      </c>
      <c r="K1" t="s">
        <v>16</v>
      </c>
      <c r="L1" t="s">
        <v>21</v>
      </c>
      <c r="M1" t="s">
        <v>2</v>
      </c>
      <c r="N1" t="s">
        <v>70</v>
      </c>
      <c r="O1" t="s">
        <v>90</v>
      </c>
      <c r="P1" t="s">
        <v>63</v>
      </c>
      <c r="Q1" t="s">
        <v>78</v>
      </c>
      <c r="R1" t="s">
        <v>64</v>
      </c>
      <c r="S1" t="s">
        <v>91</v>
      </c>
      <c r="T1" t="s">
        <v>80</v>
      </c>
      <c r="U1" t="s">
        <v>7</v>
      </c>
      <c r="V1" t="s">
        <v>11</v>
      </c>
      <c r="W1" t="s">
        <v>12</v>
      </c>
      <c r="X1" t="s">
        <v>65</v>
      </c>
      <c r="Y1" t="s">
        <v>43</v>
      </c>
      <c r="Z1" t="s">
        <v>23</v>
      </c>
      <c r="AA1" t="s">
        <v>50</v>
      </c>
      <c r="AB1" t="s">
        <v>85</v>
      </c>
      <c r="AC1" t="s">
        <v>24</v>
      </c>
      <c r="AD1" t="s">
        <v>25</v>
      </c>
      <c r="AE1" t="s">
        <v>72</v>
      </c>
      <c r="AF1" t="s">
        <v>53</v>
      </c>
      <c r="AG1" t="s">
        <v>44</v>
      </c>
      <c r="AH1" t="s">
        <v>67</v>
      </c>
      <c r="AI1" t="s">
        <v>54</v>
      </c>
      <c r="AJ1" t="s">
        <v>26</v>
      </c>
      <c r="AK1" t="s">
        <v>60</v>
      </c>
      <c r="AL1" t="s">
        <v>8</v>
      </c>
      <c r="AM1" t="s">
        <v>37</v>
      </c>
      <c r="AN1" t="s">
        <v>61</v>
      </c>
      <c r="AO1" t="s">
        <v>86</v>
      </c>
      <c r="AP1" t="s">
        <v>13</v>
      </c>
      <c r="AQ1" t="s">
        <v>38</v>
      </c>
      <c r="AR1" t="s">
        <v>62</v>
      </c>
      <c r="AS1" t="s">
        <v>87</v>
      </c>
      <c r="AT1" t="s">
        <v>14</v>
      </c>
      <c r="AU1" t="s">
        <v>39</v>
      </c>
      <c r="AV1" t="s">
        <v>68</v>
      </c>
      <c r="AW1" t="s">
        <v>93</v>
      </c>
      <c r="AX1" t="s">
        <v>18</v>
      </c>
      <c r="AY1" t="s">
        <v>45</v>
      </c>
      <c r="AZ1" t="s">
        <v>69</v>
      </c>
      <c r="BA1" t="s">
        <v>4</v>
      </c>
      <c r="BB1" t="s">
        <v>27</v>
      </c>
      <c r="BC1" t="s">
        <v>56</v>
      </c>
    </row>
    <row r="2" s="10" customFormat="1">
      <c r="A2" s="5">
        <v>1</v>
      </c>
      <c r="B2" s="5" t="s">
        <v>88</v>
      </c>
      <c r="C2" s="4" t="s">
        <v>74</v>
      </c>
      <c r="D2" s="4">
        <v>200</v>
      </c>
      <c r="E2" s="4" t="s">
        <v>0</v>
      </c>
      <c r="F2" s="4" t="s">
        <v>33</v>
      </c>
      <c r="G2" s="4" t="s">
        <v>57</v>
      </c>
      <c r="H2" s="4"/>
      <c r="I2" s="1" t="s">
        <v>20</v>
      </c>
      <c r="J2" s="3" t="s">
        <v>77</v>
      </c>
      <c r="K2" s="16">
        <v>5079046108</v>
      </c>
      <c r="L2" s="1" t="s">
        <v>49</v>
      </c>
      <c r="M2" s="1" t="s">
        <v>58</v>
      </c>
      <c r="N2" s="1" t="s">
        <v>59</v>
      </c>
      <c r="O2" s="3" t="s">
        <v>71</v>
      </c>
      <c r="P2" s="8">
        <f ca="1" t="shared" si="0" ref="P2:P4">TODAY()</f>
        <v>45957</v>
      </c>
      <c r="Q2" s="3">
        <v>1280</v>
      </c>
      <c r="R2" s="3">
        <v>2</v>
      </c>
      <c r="S2" s="15" t="s">
        <v>79</v>
      </c>
      <c r="T2" s="13" t="s">
        <v>6</v>
      </c>
      <c r="U2" s="9" t="str">
        <f t="shared" si="1" ref="U2:U4">LEFT(T2,LEN(T2)-1)</f>
        <v>=Output!B</v>
      </c>
      <c r="V2" s="3" t="s">
        <v>22</v>
      </c>
      <c r="W2" s="11" t="e">
        <f>[1]Output!A2</f>
        <v>#REF!</v>
      </c>
      <c r="X2" s="6" t="e">
        <f t="shared" si="2" ref="X2:X4">"Document number "&amp;W2&amp;" has been parked"</f>
        <v>#REF!</v>
      </c>
      <c r="Y2" s="1" t="s">
        <v>36</v>
      </c>
      <c r="Z2" s="1" t="s">
        <v>66</v>
      </c>
      <c r="AA2" s="3" t="s">
        <v>71</v>
      </c>
      <c r="AB2" s="8">
        <f ca="1" t="shared" si="3" ref="AB2:AB4">TODAY()</f>
        <v>45957</v>
      </c>
      <c r="AC2" s="3" t="s">
        <v>17</v>
      </c>
      <c r="AD2" s="3" t="s">
        <v>22</v>
      </c>
      <c r="AE2" s="3" t="s">
        <v>22</v>
      </c>
      <c r="AF2" s="3" t="s">
        <v>22</v>
      </c>
      <c r="AG2" s="3" t="s">
        <v>22</v>
      </c>
      <c r="AH2" s="12" t="e">
        <f t="shared" si="4" ref="AH2:AH4">W2</f>
        <v>#REF!</v>
      </c>
      <c r="AI2" s="3">
        <v>1</v>
      </c>
      <c r="AJ2" s="6" t="s">
        <v>55</v>
      </c>
      <c r="AK2" s="9">
        <f ca="1">YEAR(TODAY())</f>
        <v>2025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7"/>
    </row>
    <row r="3" s="10" customFormat="1">
      <c r="A3" s="5">
        <v>2</v>
      </c>
      <c r="B3" s="5" t="s">
        <v>88</v>
      </c>
      <c r="C3" s="4" t="s">
        <v>74</v>
      </c>
      <c r="D3" s="4">
        <v>200</v>
      </c>
      <c r="E3" s="4" t="s">
        <v>0</v>
      </c>
      <c r="F3" s="4" t="s">
        <v>33</v>
      </c>
      <c r="G3" s="4" t="s">
        <v>57</v>
      </c>
      <c r="H3" s="4"/>
      <c r="I3" s="1" t="s">
        <v>20</v>
      </c>
      <c r="J3" s="3" t="s">
        <v>77</v>
      </c>
      <c r="K3" s="16" t="e">
        <f t="shared" si="5" ref="K3:K4">K7</f>
        <v>#REF!</v>
      </c>
      <c r="L3" s="1" t="s">
        <v>49</v>
      </c>
      <c r="M3" s="1" t="s">
        <v>58</v>
      </c>
      <c r="N3" s="1" t="s">
        <v>59</v>
      </c>
      <c r="O3" s="3" t="s">
        <v>71</v>
      </c>
      <c r="P3" s="8">
        <f ca="1" t="shared" si="0"/>
        <v>45957</v>
      </c>
      <c r="Q3" s="3">
        <v>1234</v>
      </c>
      <c r="R3" s="3">
        <v>2</v>
      </c>
      <c r="S3" s="15" t="e">
        <f t="shared" si="6" ref="S3:S4">S7</f>
        <v>#REF!</v>
      </c>
      <c r="T3" s="13" t="s">
        <v>31</v>
      </c>
      <c r="U3" s="9" t="str">
        <f t="shared" si="1"/>
        <v>=Output!B</v>
      </c>
      <c r="V3" s="3" t="s">
        <v>22</v>
      </c>
      <c r="W3" s="11" t="e">
        <f>[1]Output!A3</f>
        <v>#REF!</v>
      </c>
      <c r="X3" s="6" t="e">
        <f t="shared" si="2"/>
        <v>#REF!</v>
      </c>
      <c r="Y3" s="1" t="s">
        <v>36</v>
      </c>
      <c r="Z3" s="1" t="s">
        <v>66</v>
      </c>
      <c r="AA3" s="3" t="s">
        <v>71</v>
      </c>
      <c r="AB3" s="8">
        <f ca="1" t="shared" si="3"/>
        <v>45957</v>
      </c>
      <c r="AC3" s="3" t="s">
        <v>17</v>
      </c>
      <c r="AD3" s="3" t="s">
        <v>22</v>
      </c>
      <c r="AE3" s="3" t="s">
        <v>22</v>
      </c>
      <c r="AF3" s="3" t="s">
        <v>22</v>
      </c>
      <c r="AG3" s="3" t="s">
        <v>22</v>
      </c>
      <c r="AH3" s="12" t="e">
        <f t="shared" si="4"/>
        <v>#REF!</v>
      </c>
      <c r="AI3" s="3">
        <v>1</v>
      </c>
      <c r="AJ3" s="6" t="s">
        <v>55</v>
      </c>
      <c r="AK3" s="9" t="str">
        <f ca="1" t="shared" si="7" ref="AK3:AK4">TEXT(TODAY(),"yyyy")</f>
        <v>2025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7"/>
    </row>
    <row r="4" s="10" customFormat="1">
      <c r="A4" s="5">
        <v>3</v>
      </c>
      <c r="B4" s="5" t="s">
        <v>88</v>
      </c>
      <c r="C4" s="4" t="s">
        <v>74</v>
      </c>
      <c r="D4" s="4">
        <v>200</v>
      </c>
      <c r="E4" s="4" t="s">
        <v>0</v>
      </c>
      <c r="F4" s="4" t="s">
        <v>33</v>
      </c>
      <c r="G4" s="4" t="s">
        <v>57</v>
      </c>
      <c r="H4" s="4"/>
      <c r="I4" s="1" t="s">
        <v>20</v>
      </c>
      <c r="J4" s="3" t="s">
        <v>77</v>
      </c>
      <c r="K4" s="16" t="e">
        <f t="shared" si="5"/>
        <v>#REF!</v>
      </c>
      <c r="L4" s="1" t="s">
        <v>49</v>
      </c>
      <c r="M4" s="1" t="s">
        <v>58</v>
      </c>
      <c r="N4" s="1" t="s">
        <v>59</v>
      </c>
      <c r="O4" s="3" t="s">
        <v>71</v>
      </c>
      <c r="P4" s="8">
        <f ca="1" t="shared" si="0"/>
        <v>45957</v>
      </c>
      <c r="Q4" s="3">
        <v>1234</v>
      </c>
      <c r="R4" s="3">
        <v>2</v>
      </c>
      <c r="S4" s="15" t="e">
        <f t="shared" si="6"/>
        <v>#REF!</v>
      </c>
      <c r="T4" s="13" t="s">
        <v>52</v>
      </c>
      <c r="U4" s="9" t="str">
        <f t="shared" si="1"/>
        <v>=Output!B</v>
      </c>
      <c r="V4" s="3" t="s">
        <v>22</v>
      </c>
      <c r="W4" s="11" t="e">
        <f>[1]Output!A4</f>
        <v>#REF!</v>
      </c>
      <c r="X4" s="6" t="e">
        <f t="shared" si="2"/>
        <v>#REF!</v>
      </c>
      <c r="Y4" s="1" t="s">
        <v>36</v>
      </c>
      <c r="Z4" s="1" t="s">
        <v>66</v>
      </c>
      <c r="AA4" s="3" t="s">
        <v>71</v>
      </c>
      <c r="AB4" s="8">
        <f ca="1" t="shared" si="3"/>
        <v>45957</v>
      </c>
      <c r="AC4" s="3" t="s">
        <v>17</v>
      </c>
      <c r="AD4" s="3" t="s">
        <v>22</v>
      </c>
      <c r="AE4" s="3" t="s">
        <v>22</v>
      </c>
      <c r="AF4" s="3" t="s">
        <v>22</v>
      </c>
      <c r="AG4" s="3" t="s">
        <v>22</v>
      </c>
      <c r="AH4" s="12" t="e">
        <f t="shared" si="4"/>
        <v>#REF!</v>
      </c>
      <c r="AI4" s="3">
        <v>1</v>
      </c>
      <c r="AJ4" s="6" t="s">
        <v>55</v>
      </c>
      <c r="AK4" s="9" t="str">
        <f ca="1" t="shared" si="7"/>
        <v>2025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7"/>
    </row>
    <row r="5" s="10" customFormat="1">
      <c r="A5" s="5"/>
      <c r="B5" s="5"/>
      <c r="C5" s="4"/>
      <c r="D5" s="4"/>
      <c r="E5" s="4"/>
      <c r="F5" s="4"/>
      <c r="G5" s="4"/>
      <c r="H5" s="4"/>
      <c r="I5" s="1"/>
      <c r="J5" s="1"/>
      <c r="K5" s="16" t="s">
        <v>48</v>
      </c>
      <c r="L5" s="1"/>
      <c r="M5" s="1"/>
      <c r="N5" s="1"/>
      <c r="O5" s="1"/>
      <c r="P5" s="1"/>
      <c r="Q5" s="1"/>
      <c r="R5" s="1"/>
      <c r="S5" s="15" t="s">
        <v>48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7"/>
    </row>
    <row r="6" s="10" customFormat="1">
      <c r="A6" s="5"/>
      <c r="B6" s="5"/>
      <c r="C6" s="4"/>
      <c r="D6" s="4"/>
      <c r="E6" s="4"/>
      <c r="F6" s="4"/>
      <c r="G6" s="4"/>
      <c r="H6" s="4"/>
      <c r="I6" s="1"/>
      <c r="J6" s="1"/>
      <c r="K6" s="16" t="e">
        <f>[2]Global!$AD$2</f>
        <v>#REF!</v>
      </c>
      <c r="L6" s="1"/>
      <c r="M6" s="1"/>
      <c r="N6" s="1"/>
      <c r="O6" s="1"/>
      <c r="P6" s="1"/>
      <c r="Q6" s="1"/>
      <c r="R6" s="1"/>
      <c r="S6" s="15" t="e">
        <f>[2]Global!$Z$2</f>
        <v>#REF!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7"/>
    </row>
    <row r="7" s="10" customFormat="1">
      <c r="A7" s="5"/>
      <c r="B7" s="5"/>
      <c r="C7" s="4"/>
      <c r="D7" s="4"/>
      <c r="E7" s="4"/>
      <c r="F7" s="4"/>
      <c r="G7" s="4"/>
      <c r="H7" s="4"/>
      <c r="I7" s="1"/>
      <c r="J7" s="1"/>
      <c r="K7" s="16" t="e">
        <f>[2]Global!$AD$3</f>
        <v>#REF!</v>
      </c>
      <c r="L7" s="1"/>
      <c r="M7" s="1"/>
      <c r="N7" s="1"/>
      <c r="O7" s="1"/>
      <c r="P7" s="1"/>
      <c r="Q7" s="1"/>
      <c r="R7" s="1"/>
      <c r="S7" s="15" t="e">
        <f>[2]Global!$Z$3</f>
        <v>#REF!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7"/>
    </row>
    <row r="8" s="10" customFormat="1">
      <c r="A8" s="5"/>
      <c r="B8" s="5"/>
      <c r="C8" s="4"/>
      <c r="D8" s="4"/>
      <c r="E8" s="4"/>
      <c r="F8" s="4"/>
      <c r="G8" s="4"/>
      <c r="H8" s="4"/>
      <c r="I8" s="1"/>
      <c r="J8" s="1"/>
      <c r="K8" s="16" t="e">
        <f>[2]Global!$AD$4</f>
        <v>#REF!</v>
      </c>
      <c r="L8" s="1"/>
      <c r="M8" s="1"/>
      <c r="N8" s="1"/>
      <c r="O8" s="1"/>
      <c r="P8" s="1"/>
      <c r="Q8" s="1"/>
      <c r="R8" s="1"/>
      <c r="S8" s="15" t="e">
        <f>[2]Global!$Z$4</f>
        <v>#REF!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7"/>
    </row>
    <row r="9" s="10" customFormat="1">
      <c r="A9" s="2"/>
      <c r="B9" s="2"/>
      <c r="C9" s="2"/>
      <c r="D9" s="2"/>
      <c r="E9" s="2"/>
      <c r="F9" s="2"/>
      <c r="G9" s="2"/>
      <c r="H9" s="2"/>
      <c r="I9" s="2"/>
      <c r="J9" s="2"/>
      <c r="K9" s="19"/>
      <c r="L9" s="1"/>
      <c r="M9" s="1"/>
      <c r="N9" s="1"/>
      <c r="O9" s="1"/>
      <c r="P9" s="1"/>
      <c r="Q9" s="1"/>
      <c r="R9" s="1"/>
      <c r="S9" s="20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7"/>
    </row>
    <row r="10" s="10" customFormat="1">
      <c r="A10" s="2"/>
      <c r="B10" s="2"/>
      <c r="C10" s="2"/>
      <c r="D10" s="2"/>
      <c r="E10" s="2"/>
      <c r="F10" s="2"/>
      <c r="G10" s="2"/>
      <c r="H10" s="2"/>
      <c r="I10" s="2"/>
      <c r="J10" s="2"/>
      <c r="K10" s="24"/>
      <c r="L10" s="2"/>
      <c r="M10" s="2"/>
      <c r="N10" s="2"/>
      <c r="O10" s="2"/>
      <c r="P10" s="2"/>
      <c r="Q10" s="2"/>
      <c r="R10" s="2"/>
      <c r="S10" s="21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14"/>
    </row>
    <row r="11" s="10" customFormat="1">
      <c r="A11" s="2"/>
      <c r="B11" s="2"/>
      <c r="C11" s="4" t="s">
        <v>82</v>
      </c>
      <c r="D11" s="2"/>
      <c r="E11" s="2"/>
      <c r="F11" s="2"/>
      <c r="G11" s="2"/>
      <c r="H11" s="2"/>
      <c r="I11" s="2"/>
      <c r="J11" s="2"/>
      <c r="K11" s="24"/>
      <c r="L11" s="2"/>
      <c r="M11" s="2"/>
      <c r="N11" s="2"/>
      <c r="O11" s="2"/>
      <c r="P11" s="2"/>
      <c r="Q11" s="2"/>
      <c r="R11" s="2"/>
      <c r="S11" s="21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14"/>
    </row>
    <row r="12" s="10" customFormat="1">
      <c r="A12" s="2"/>
      <c r="B12" s="2"/>
      <c r="C12" s="3" t="s">
        <v>32</v>
      </c>
      <c r="D12" s="2"/>
      <c r="E12" s="2"/>
      <c r="F12" s="2"/>
      <c r="G12" s="2"/>
      <c r="H12" s="2"/>
      <c r="I12" s="2"/>
      <c r="J12" s="2"/>
      <c r="K12" s="24"/>
      <c r="L12" s="2"/>
      <c r="M12" s="2"/>
      <c r="N12" s="2"/>
      <c r="O12" s="2"/>
      <c r="P12" s="2"/>
      <c r="Q12" s="2"/>
      <c r="R12" s="2"/>
      <c r="S12" s="21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14"/>
    </row>
    <row r="13" s="10" customFormat="1">
      <c r="A13" s="2"/>
      <c r="B13" s="2"/>
      <c r="C13" s="22" t="s">
        <v>75</v>
      </c>
      <c r="D13" s="2"/>
      <c r="E13" s="2"/>
      <c r="F13" s="2"/>
      <c r="G13" s="2"/>
      <c r="H13" s="2"/>
      <c r="I13" s="2"/>
      <c r="J13" s="2"/>
      <c r="K13" s="24"/>
      <c r="L13" s="2"/>
      <c r="M13" s="2"/>
      <c r="N13" s="2"/>
      <c r="O13" s="2"/>
      <c r="P13" s="2"/>
      <c r="Q13" s="2"/>
      <c r="R13" s="2"/>
      <c r="S13" s="21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14"/>
    </row>
    <row r="14" s="10" customFormat="1">
      <c r="A14" s="2"/>
      <c r="B14" s="2"/>
      <c r="C14" s="11" t="s">
        <v>15</v>
      </c>
      <c r="D14" s="2"/>
      <c r="E14" s="2"/>
      <c r="F14" s="2"/>
      <c r="G14" s="2"/>
      <c r="H14" s="2"/>
      <c r="I14" s="2"/>
      <c r="J14" s="2"/>
      <c r="K14" s="24"/>
      <c r="L14" s="2"/>
      <c r="M14" s="2"/>
      <c r="N14" s="2"/>
      <c r="O14" s="2"/>
      <c r="P14" s="2"/>
      <c r="Q14" s="2"/>
      <c r="R14" s="2"/>
      <c r="S14" s="21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14"/>
    </row>
    <row r="15" s="10" customFormat="1">
      <c r="A15" s="2"/>
      <c r="B15" s="2"/>
      <c r="C15" s="12" t="s">
        <v>19</v>
      </c>
      <c r="D15" s="2"/>
      <c r="E15" s="2"/>
      <c r="F15" s="2"/>
      <c r="G15" s="2"/>
      <c r="H15" s="2"/>
      <c r="I15" s="2"/>
      <c r="J15" s="2"/>
      <c r="K15" s="24"/>
      <c r="L15" s="2"/>
      <c r="M15" s="2"/>
      <c r="N15" s="2"/>
      <c r="O15" s="2"/>
      <c r="P15" s="2"/>
      <c r="Q15" s="2"/>
      <c r="R15" s="2"/>
      <c r="S15" s="21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14"/>
    </row>
    <row r="16" s="10" customFormat="1">
      <c r="A16" s="2"/>
      <c r="B16" s="2"/>
      <c r="C16" s="6" t="s">
        <v>46</v>
      </c>
      <c r="D16" s="2"/>
      <c r="E16" s="2"/>
      <c r="F16" s="2"/>
      <c r="G16" s="2"/>
      <c r="H16" s="2"/>
      <c r="I16" s="2"/>
      <c r="J16" s="2"/>
      <c r="K16" s="24"/>
      <c r="L16" s="2"/>
      <c r="M16" s="2"/>
      <c r="N16" s="2"/>
      <c r="O16" s="2"/>
      <c r="P16" s="2"/>
      <c r="Q16" s="2"/>
      <c r="R16" s="2"/>
      <c r="S16" s="21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14"/>
    </row>
    <row r="17" s="10" customFormat="1">
      <c r="A17" s="2"/>
      <c r="B17" s="2"/>
      <c r="C17" s="25" t="s">
        <v>9</v>
      </c>
      <c r="D17" s="2"/>
      <c r="E17" s="2"/>
      <c r="F17" s="2"/>
      <c r="G17" s="2"/>
      <c r="H17" s="2"/>
      <c r="I17" s="2"/>
      <c r="J17" s="2"/>
      <c r="K17" s="24"/>
      <c r="L17" s="2"/>
      <c r="M17" s="2"/>
      <c r="N17" s="2"/>
      <c r="O17" s="2"/>
      <c r="P17" s="2"/>
      <c r="Q17" s="2"/>
      <c r="R17" s="2"/>
      <c r="S17" s="21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14"/>
    </row>
    <row r="18" s="10" customFormat="1">
      <c r="A18" s="2"/>
      <c r="B18" s="2"/>
      <c r="C18" s="5" t="s">
        <v>47</v>
      </c>
      <c r="D18" s="2"/>
      <c r="E18" s="2"/>
      <c r="F18" s="2"/>
      <c r="G18" s="2"/>
      <c r="H18" s="2"/>
      <c r="I18" s="2"/>
      <c r="J18" s="2"/>
      <c r="K18" s="24"/>
      <c r="L18" s="2"/>
      <c r="M18" s="2"/>
      <c r="N18" s="2"/>
      <c r="O18" s="2"/>
      <c r="P18" s="2"/>
      <c r="Q18" s="2"/>
      <c r="R18" s="2"/>
      <c r="S18" s="21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14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4"/>
      <c r="L19" s="2"/>
      <c r="M19" s="2"/>
      <c r="N19" s="2"/>
      <c r="O19" s="2"/>
      <c r="P19" s="2"/>
      <c r="Q19" s="2"/>
      <c r="R19" s="2"/>
      <c r="S19" s="21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14"/>
    </row>
    <row r="20" s="10" customFormat="1">
      <c r="A20" s="5">
        <v>1</v>
      </c>
      <c r="B20" s="5" t="s">
        <v>88</v>
      </c>
      <c r="C20" s="4" t="s">
        <v>74</v>
      </c>
      <c r="D20" s="4">
        <v>200</v>
      </c>
      <c r="E20" s="4" t="s">
        <v>0</v>
      </c>
      <c r="F20" s="4" t="s">
        <v>33</v>
      </c>
      <c r="G20" s="4" t="s">
        <v>57</v>
      </c>
      <c r="H20" s="4"/>
      <c r="I20" s="1" t="s">
        <v>20</v>
      </c>
      <c r="J20" s="3" t="s">
        <v>77</v>
      </c>
      <c r="K20" s="16">
        <v>5079044029</v>
      </c>
      <c r="L20" s="1" t="s">
        <v>49</v>
      </c>
      <c r="M20" s="1" t="s">
        <v>58</v>
      </c>
      <c r="N20" s="1" t="s">
        <v>59</v>
      </c>
      <c r="O20" s="3" t="s">
        <v>71</v>
      </c>
      <c r="P20" s="8">
        <f ca="1">TODAY()</f>
        <v>45957</v>
      </c>
      <c r="Q20" s="3">
        <v>1270</v>
      </c>
      <c r="R20" s="3">
        <v>2</v>
      </c>
      <c r="S20" s="15" t="s">
        <v>92</v>
      </c>
      <c r="T20" s="13" t="s">
        <v>84</v>
      </c>
      <c r="U20" s="9" t="str">
        <f>LEFT(T20,LEN(T20)-1)</f>
        <v>=Output!B2</v>
      </c>
      <c r="V20" s="3" t="s">
        <v>22</v>
      </c>
      <c r="W20" s="11" t="e">
        <f>[1]Output!A20</f>
        <v>#REF!</v>
      </c>
      <c r="X20" s="6" t="e">
        <f>"Document number "&amp;W20&amp;" has been parked"</f>
        <v>#REF!</v>
      </c>
      <c r="Y20" s="1" t="s">
        <v>36</v>
      </c>
      <c r="Z20" s="1" t="s">
        <v>3</v>
      </c>
      <c r="AA20" s="3" t="s">
        <v>71</v>
      </c>
      <c r="AB20" s="8">
        <f ca="1">TODAY()</f>
        <v>45957</v>
      </c>
      <c r="AC20" s="3" t="s">
        <v>17</v>
      </c>
      <c r="AD20" s="3" t="s">
        <v>22</v>
      </c>
      <c r="AE20" s="3" t="s">
        <v>22</v>
      </c>
      <c r="AF20" s="3" t="s">
        <v>22</v>
      </c>
      <c r="AG20" s="3" t="s">
        <v>22</v>
      </c>
      <c r="AH20" s="12" t="e">
        <f>W20</f>
        <v>#REF!</v>
      </c>
      <c r="AI20" s="3">
        <v>1</v>
      </c>
      <c r="AJ20" s="6" t="s">
        <v>55</v>
      </c>
      <c r="AK20" s="9">
        <f ca="1">YEAR(TODAY())</f>
        <v>2025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7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selection activeCell="A2" sqref="A2"/>
    </sheetView>
  </sheetViews>
  <sheetFormatPr defaultColWidth="9.125" defaultRowHeight="14.25"/>
  <cols>
    <col min="1" max="1" width="27" style="23" bestFit="1" customWidth="1"/>
    <col min="2" max="2" width="50.875" style="23" bestFit="1" customWidth="1"/>
    <col min="3" max="4" width="9.125" style="10" customWidth="1"/>
    <col min="5" max="5" width="9.875" style="10" bestFit="1" customWidth="1"/>
    <col min="6" max="16384" width="9.125" style="10" customWidth="1"/>
  </cols>
  <sheetData>
    <row r="1" ht="12.75" customHeight="1" customFormat="1">
      <c r="A1" t="s">
        <v>94</v>
      </c>
      <c r="B1" t="s">
        <v>40</v>
      </c>
      <c r="C1" t="s">
        <v>29</v>
      </c>
      <c r="D1" t="s">
        <v>51</v>
      </c>
      <c r="E1" t="s">
        <v>81</v>
      </c>
    </row>
    <row r="2">
      <c r="A2" s="26">
        <v>6056580160</v>
      </c>
      <c r="B2" s="1" t="s">
        <v>41</v>
      </c>
      <c r="C2" s="2"/>
      <c r="D2" s="2"/>
      <c r="E2" s="27"/>
    </row>
    <row r="3">
      <c r="A3" s="1">
        <v>6009868997</v>
      </c>
      <c r="B3" s="1" t="s">
        <v>28</v>
      </c>
      <c r="C3" s="2"/>
      <c r="D3" s="2"/>
      <c r="E3" s="14"/>
    </row>
    <row r="4">
      <c r="A4" s="1" t="s">
        <v>5</v>
      </c>
      <c r="B4" s="1" t="s">
        <v>28</v>
      </c>
      <c r="C4" s="2"/>
      <c r="D4" s="2"/>
      <c r="E4" s="14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