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5"/>
  </bookViews>
  <sheets>
    <sheet name="Global" sheetId="1" r:id="rId1"/>
    <sheet name="RunTimeResultFolder" sheetId="2" r:id="rId2"/>
    <sheet name="DataTransfer 1" sheetId="3" r:id="rId3"/>
    <sheet name="Data Transfer 2" sheetId="4" r:id="rId4"/>
    <sheet name="Wait_1" sheetId="5" r:id="rId5"/>
    <sheet name="Data Transfer 3" sheetId="6" r:id="rId6"/>
    <sheet name="TC1_2.1.1.6CreateArticleDAP P1" sheetId="7" r:id="rId7"/>
    <sheet name="TC3_2.1.1.3.16MaintanPriceSngle" sheetId="8" r:id="rId8"/>
    <sheet name="Data Transfer 5" sheetId="9" r:id="rId9"/>
    <sheet name="Data Transfer 4" sheetId="10" r:id="rId10"/>
    <sheet name="Data Transfer 7" sheetId="11" r:id="rId11"/>
    <sheet name="Data Transfer 8" sheetId="12" r:id="rId12"/>
    <sheet name="TC2_2.1.1.6CreateArticleP2" sheetId="13" r:id="rId13"/>
    <sheet name="TC4_2.1.1.6CreateArticleDAP P1" sheetId="14" r:id="rId14"/>
    <sheet name="TC5_2.1.1.6CreateArticleP2" sheetId="15" r:id="rId15"/>
    <sheet name="Wait_2" sheetId="16" r:id="rId16"/>
  </sheets>
  <calcPr calcId="40001"/>
</workbook>
</file>

<file path=xl/sharedStrings.xml><?xml version="1.0" encoding="utf-8"?>
<sst xmlns="http://schemas.openxmlformats.org/spreadsheetml/2006/main" uniqueCount="118">
  <si>
    <t>Scripting</t>
  </si>
  <si>
    <t>AT_05 Create-Maintain Sticker products-child mother articles (BOM3-PP BOM)</t>
  </si>
  <si>
    <t>AUTODS</t>
  </si>
  <si>
    <t/>
  </si>
  <si>
    <t>DT_ARTICLE_VIEWARTC_DESCRIPTIONS0MATL_TDESCR</t>
  </si>
  <si>
    <t>1,5</t>
  </si>
  <si>
    <t>DT_REGULAR_VENDOR_FLAG</t>
  </si>
  <si>
    <t>DT_ARTICLE_VIEWARTC_BASIC_INFOVEND_SHELF_LIFE</t>
  </si>
  <si>
    <t>DT_ARTICLE_VIEWARTC_BASIC_INFOVEND_TEMP_CONDS</t>
  </si>
  <si>
    <t>L - Liter</t>
  </si>
  <si>
    <t>DT_ARTICLE_VIEWARTC_VENDOR_DATAVEND_LIFNR</t>
  </si>
  <si>
    <t>50,000</t>
  </si>
  <si>
    <t>RSD - Serbian Dinar</t>
  </si>
  <si>
    <t>DT_SAPURL</t>
  </si>
  <si>
    <t>DT_ARTICLE_VIEWARTC_DESCRIPTIONS0VEND_FUNC_NAME</t>
  </si>
  <si>
    <t>Orange 1,5L</t>
  </si>
  <si>
    <t>0,450</t>
  </si>
  <si>
    <t>3,000</t>
  </si>
  <si>
    <t>1000 - NELT CO. DOO - 0</t>
  </si>
  <si>
    <t>DT_ARTICLE_VIEWARTC_VEND_PRICING_INFOS0VEND_WAERS_ISO</t>
  </si>
  <si>
    <t>DT_CLICK</t>
  </si>
  <si>
    <t>Scenario</t>
  </si>
  <si>
    <t>AT_04 Create-Maintain DS Generic articles (BOM4 subs) - Art 1</t>
  </si>
  <si>
    <t>DT_ARTICLE_VIEWARTC_BASIC_INFOVEND_GROSS_CONT</t>
  </si>
  <si>
    <t>DT_ARTICLE_VIEWARTC_BASIC_INFOVEND_CONT_UNIT_ISO</t>
  </si>
  <si>
    <t>SH - Serbian (Latin)</t>
  </si>
  <si>
    <t>DT_ARTICLE_VIEWARTC_DESCRIPTIONS0MATL_SDESCR</t>
  </si>
  <si>
    <t>EN - English</t>
  </si>
  <si>
    <t>DT_ARTICLE_VIEWARTC_DESCRIPTIONS1MATL_LDESCR</t>
  </si>
  <si>
    <t>DT_ARTICLE_VIEWARTC_BASE_UNITS0VEND_LENGTH</t>
  </si>
  <si>
    <t>DT_ARTICLE_VIEWARTC_BASE_UNITS0VEND_WIDTH</t>
  </si>
  <si>
    <t>DT_ARTICLE_VIEWARTC_BASE_UNITS0VEND_HEIGHT</t>
  </si>
  <si>
    <t>10.0000%space%</t>
  </si>
  <si>
    <t>DT_ARTICLE_SAVED</t>
  </si>
  <si>
    <t>Generic_2 1,5KG</t>
  </si>
  <si>
    <t>DT_ARTICLE_VIEWARTC_DESCRIPTIONS0VEND_VARIANT</t>
  </si>
  <si>
    <t>Sticker Art</t>
  </si>
  <si>
    <t>ON</t>
  </si>
  <si>
    <t>Success! Article saved successfully!</t>
  </si>
  <si>
    <t>DT_STATUS</t>
  </si>
  <si>
    <t>ZFRI - Perishables Retail</t>
  </si>
  <si>
    <t>DT_ARTICLE_VIEWARTC_DESCRIPTIONS1LANGU_ISO</t>
  </si>
  <si>
    <t>DT_ARTICLE_VIEWARTC_DESCRIPTIONS1VEND_FUNC_NAME</t>
  </si>
  <si>
    <t>DT_ARTICLE_VIEWARTC_VEND_PRICING_INFOS0VEND_NETPR</t>
  </si>
  <si>
    <t>AT_03 Create- Maintain Class 1- Class 2 products - Art 1</t>
  </si>
  <si>
    <t>Iovio001!</t>
  </si>
  <si>
    <t>5fa25a0597c8e7b484566a80ecfbd128b55089cc179ee1eef13b</t>
  </si>
  <si>
    <t>DT_SAPOPTIONS</t>
  </si>
  <si>
    <t>DT_ARTICLE_VIEWARTC_BASIC_INFOHDR_MATL_CAT</t>
  </si>
  <si>
    <t>DT_ARTICLE_VIEWARTC_BASIC_INFOVEND_NET_CONT</t>
  </si>
  <si>
    <t>DT_ARTICLE_VIEWARTC_DESCRIPTIONS0LANGU_ISO</t>
  </si>
  <si>
    <t>Sinalco Orange 1,5 L, Si&amp;Si</t>
  </si>
  <si>
    <t>Carrots 0,5KG</t>
  </si>
  <si>
    <t>DT_ARTICLE_VIEWARTC_DESCRIPTIONS0MATL_LDESCR</t>
  </si>
  <si>
    <t>30,000</t>
  </si>
  <si>
    <t>DT_ARTICLE_VIEWARTC_VENDOR_DATAHDR_VEND_MAT</t>
  </si>
  <si>
    <t>Row</t>
  </si>
  <si>
    <t>AT_04 Create-Maintain DS Generic articles (BOM4 subs) - Art 2</t>
  </si>
  <si>
    <t>https://articlemd-preprod.delhaize.be/E/Article</t>
  </si>
  <si>
    <t>RS - Serbia</t>
  </si>
  <si>
    <t>00 - Single</t>
  </si>
  <si>
    <t>EA - each</t>
  </si>
  <si>
    <t>Lettuce 1KG</t>
  </si>
  <si>
    <t>Generic_3 3KG</t>
  </si>
  <si>
    <t>DT_ARTICLE_VIEWARTC_DESCRIPTIONS1MATL_VDESCR</t>
  </si>
  <si>
    <t>DT_ARTICLE_VIEWARTC_BASE_UNITS0VEND_PO_UOM_FLAG</t>
  </si>
  <si>
    <t>DT_ARTICLE_VIEWARTC_VEND_TAX_DATAS0VEND_TAX_TYPE</t>
  </si>
  <si>
    <t>No tax</t>
  </si>
  <si>
    <t>ZHAW - Trading Goods Retail</t>
  </si>
  <si>
    <t>DT_ARTICLE_VIEWARTC_BASIC_INFOVEND_REM_SHELF_LIFE</t>
  </si>
  <si>
    <t>KG - Kilogram</t>
  </si>
  <si>
    <t>AT_01 Create-Maintain Single product</t>
  </si>
  <si>
    <t>365</t>
  </si>
  <si>
    <t>270</t>
  </si>
  <si>
    <t>DT_ARTICLE_VIEWARTC_BASIC_INFOBASIC_UNIT_ISO</t>
  </si>
  <si>
    <t>XX - External supplier GTIN</t>
  </si>
  <si>
    <t>DT_ARTICLE_VIEWARTC_BASE_VEND_GTINS0VEND_GTIN</t>
  </si>
  <si>
    <t>AT_03 Create- Maintain Class 1- Class 2 products - Art 2</t>
  </si>
  <si>
    <t>AT_06 Create-Maintain Vegetables products</t>
  </si>
  <si>
    <t>DT_INCREMENT</t>
  </si>
  <si>
    <t>1</t>
  </si>
  <si>
    <t>DT_ARTICLE_VIEWARTC_BASE_VEND_GTINS0VEND_GTIN_MAIN_FLAG</t>
  </si>
  <si>
    <t>DT_ARTICLE_VIEWARTC_VEND_TAX_DATAS0VEND_TAX_RATE</t>
  </si>
  <si>
    <t>AT_04 Create-Maintain DS Generic articles (BOM4 subs) - Art 3</t>
  </si>
  <si>
    <t>DT_ARTICLE_VIEWARTC_BASIC_INFOVEND_COUNTRYORI</t>
  </si>
  <si>
    <t>02 - Fresh 2°</t>
  </si>
  <si>
    <t>DT_ARTICLE_VIEWARTC_DESCRIPTIONS0MATL_VDESCR</t>
  </si>
  <si>
    <t>Generic_1 1,5KG</t>
  </si>
  <si>
    <t>DT_ARTICLE_VIEWARTC_BASE_UNITS0VEND_DELI_UOM_FLAG</t>
  </si>
  <si>
    <t>DT_ARTICLE_VIEWARTC_BASE_UNITS0VEND_GROSS_WT</t>
  </si>
  <si>
    <t>CM - Centimeter</t>
  </si>
  <si>
    <t>DT_ARTICLE_VIEWARTC_VEND_PRICING_INFOS0VEND_ORD_PR_UOM_ISO</t>
  </si>
  <si>
    <t>Submitted</t>
  </si>
  <si>
    <t>AT_02 Create-Maintain Products with Empties - Art 1</t>
  </si>
  <si>
    <t>DT_ARTICLE_VIEWARTC_BASE_UNITS0VEND_UNIT_DIM</t>
  </si>
  <si>
    <t>20.0000%space%</t>
  </si>
  <si>
    <t>DT_ARTICLE_VIEWARTC_VEND_PRICING_INFOS0PURCH_EKGRP</t>
  </si>
  <si>
    <t>DT_SAPPASSWORD</t>
  </si>
  <si>
    <t>DT_ARTICLE_VIEWARTC_BASIC_INFOCOUNTRY_CODE_ISO</t>
  </si>
  <si>
    <t>DT_ARTICLE_VIEWARTC_BASIC_INFOHDR_MATL_TYPE</t>
  </si>
  <si>
    <t>Tomatoe 0,5KG</t>
  </si>
  <si>
    <t>Salad 1,5KG</t>
  </si>
  <si>
    <t>Sticker Article</t>
  </si>
  <si>
    <t>DT_ARTICLE_VIEWARTC_DESCRIPTIONS1VEND_VARIANT</t>
  </si>
  <si>
    <t>DT_ARTICLE_VIEWARTC_DESCRIPTIONS1MATL_TDESCR</t>
  </si>
  <si>
    <t>DT_ARTICLE_VIEWARTC_BASE_UNITS0VEND_SALES_UOM_FLAG</t>
  </si>
  <si>
    <t>DT_ARTICLE_VIEWARTC_BASE_VEND_GTINS0VEND_GTIN_CAT</t>
  </si>
  <si>
    <t>DT_ARTICLE_VIEWARTC_BASE_UNITS0VEND_UNIT_OF_WT</t>
  </si>
  <si>
    <t>DT_ARTICLE_VIEWARTC_VENDOR_DATAVEND_LTSNR</t>
  </si>
  <si>
    <t>AT_03 Create- Maintain Class 1- Class 2 products - Art 3</t>
  </si>
  <si>
    <t>DT_SAPUSER</t>
  </si>
  <si>
    <t>0,500</t>
  </si>
  <si>
    <t>DT_ARTICLE_VIEWARTC_BASE_UNITS0VEND_NET_WEIGHT</t>
  </si>
  <si>
    <t>S02 - Bezalkoholna pica</t>
  </si>
  <si>
    <t>DT_ARTICLE_VIEWARTC_DESCRIPTIONS1MATL_SDESCR</t>
  </si>
  <si>
    <t>5,000</t>
  </si>
  <si>
    <t>VAT - VAT tax</t>
  </si>
  <si>
    <t>DT__OCC1</t>
  </si>
</sst>
</file>

<file path=xl/styles.xml><?xml version="1.0" encoding="utf-8"?>
<styleSheet xmlns="http://schemas.openxmlformats.org/spreadsheetml/2006/main">
  <numFmts count="2">
    <numFmt numFmtId="164" formatCode="00"/>
    <numFmt numFmtId="165" formatCode="0.000"/>
  </numFmts>
  <fonts count="2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10"/>
      <name val="Mic Shell Dlg"/>
      <charset val="1"/>
    </font>
    <font>
      <sz val="11"/>
      <color indexed="9"/>
      <name val="Mic Shell Dlg"/>
      <charset val="1"/>
    </font>
    <font>
      <sz val="11"/>
      <color theme="1"/>
      <name val="Mic Shell Dlg"/>
      <charset val="1"/>
    </font>
    <font>
      <u/>
      <sz val="11"/>
      <color theme="1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7">
    <xf numFmtId="0" fontId="0" fillId="0" borderId="0" xfId="0"/>
    <xf numFmtId="0" fontId="2" fillId="0" borderId="1" xfId="0" applyBorder="1" applyProtection="1">
      <protection locked="0"/>
    </xf>
    <xf numFmtId="0" fontId="2" fillId="2" borderId="1" xfId="0" applyFill="1" applyBorder="1" applyProtection="1">
      <protection locked="0"/>
    </xf>
    <xf numFmtId="0" fontId="2" fillId="3" borderId="1" xfId="0" applyFill="1" applyBorder="1" applyProtection="1">
      <protection locked="0"/>
    </xf>
    <xf numFmtId="0" fontId="0" fillId="0" borderId="0" xfId="0" applyBorder="1" applyProtection="1">
      <protection locked="0"/>
    </xf>
    <xf numFmtId="0" fontId="2" fillId="2" borderId="1" xfId="0" quotePrefix="1" applyFill="1" applyBorder="1" applyProtection="1">
      <protection locked="0"/>
    </xf>
    <xf numFmtId="0" fontId="2" fillId="4" borderId="1" xfId="0" applyFill="1" applyBorder="1" applyProtection="1">
      <protection locked="0"/>
    </xf>
    <xf numFmtId="0" fontId="2" fillId="5" borderId="1" xfId="0" applyFill="1" applyBorder="1" applyProtection="1">
      <protection locked="0"/>
    </xf>
    <xf numFmtId="165" fontId="2" fillId="2" borderId="1" xfId="0" applyNumberFormat="1" applyFill="1" applyBorder="1" applyProtection="1">
      <protection locked="0"/>
    </xf>
    <xf numFmtId="1" fontId="3" fillId="2" borderId="1" xfId="0" applyNumberFormat="1" applyFont="1" applyFill="1" applyBorder="1" applyAlignment="1" applyProtection="1">
      <alignment wrapText="1"/>
      <protection locked="0"/>
    </xf>
    <xf numFmtId="0" fontId="2" fillId="0" borderId="0" xfId="0" applyBorder="1" applyProtection="1">
      <protection locked="0"/>
    </xf>
    <xf numFmtId="0" fontId="2" fillId="6" borderId="1" xfId="0" applyFill="1" applyBorder="1" applyProtection="1">
      <protection locked="0"/>
    </xf>
    <xf numFmtId="0" fontId="2" fillId="0" borderId="2" xfId="0" applyBorder="1" applyProtection="1">
      <protection locked="0"/>
    </xf>
    <xf numFmtId="0" fontId="4" fillId="6" borderId="1" xfId="0" applyFont="1" applyFill="1" applyBorder="1" applyProtection="1">
      <protection locked="0"/>
    </xf>
    <xf numFmtId="0" fontId="2" fillId="3" borderId="2" xfId="0" applyFill="1" applyBorder="1" applyProtection="1">
      <protection locked="0"/>
    </xf>
    <xf numFmtId="0" fontId="2" fillId="7" borderId="1" xfId="0" applyFont="1" applyFill="1" applyBorder="1" applyProtection="1">
      <protection locked="0"/>
    </xf>
    <xf numFmtId="1" fontId="4" fillId="6" borderId="1" xfId="0" applyNumberFormat="1" applyFont="1" applyFill="1" applyBorder="1" applyProtection="1">
      <protection locked="0"/>
    </xf>
    <xf numFmtId="164" fontId="2" fillId="2" borderId="1" xfId="0" applyNumberFormat="1" applyFill="1" applyBorder="1" applyProtection="1">
      <protection locked="0"/>
    </xf>
    <xf numFmtId="3" fontId="2" fillId="2" borderId="1" xfId="0" quotePrefix="1" applyNumberFormat="1" applyFill="1" applyBorder="1" applyProtection="1">
      <protection locked="0"/>
    </xf>
    <xf numFmtId="0" fontId="5" fillId="4" borderId="1" xfId="0" applyFont="1" applyFill="1" applyBorder="1" applyProtection="1">
      <protection locked="0"/>
    </xf>
    <xf numFmtId="0" fontId="6" fillId="5" borderId="1" xfId="1" applyFill="1" applyBorder="1" applyProtection="1">
      <protection locked="0"/>
    </xf>
    <xf numFmtId="49" fontId="2" fillId="0" borderId="1" xfId="0" applyNumberFormat="1" applyFill="1" applyBorder="1" applyAlignment="1" applyProtection="1">
      <alignment horizontal="right"/>
      <protection locked="0"/>
    </xf>
    <xf numFmtId="49" fontId="2" fillId="0" borderId="0" xfId="0" applyNumberFormat="1" applyBorder="1" applyProtection="1">
      <protection locked="0"/>
    </xf>
    <xf numFmtId="1" fontId="3" fillId="2" borderId="1" xfId="0" applyNumberFormat="1" applyFont="1" applyFill="1" applyBorder="1" applyAlignment="1" applyProtection="1">
      <alignment horizontal="right" wrapText="1"/>
      <protection locked="0"/>
    </xf>
    <xf numFmtId="0" fontId="3" fillId="2" borderId="1" xfId="0" applyFont="1" applyFill="1" applyBorder="1" applyProtection="1">
      <protection locked="0"/>
    </xf>
    <xf numFmtId="49" fontId="2" fillId="0" borderId="1" xfId="0" applyNumberFormat="1" applyBorder="1" applyAlignment="1" applyProtection="1">
      <alignment horizontal="right"/>
      <protection locked="0"/>
    </xf>
    <xf numFmtId="1" fontId="2" fillId="0" borderId="1" xfId="0" applyNumberFormat="1" applyBorder="1" applyProtection="1">
      <protection locked="0"/>
    </xf>
  </cellXfs>
  <cellStyles count="2">
    <cellStyle name="Hyperlink" xfId="1" builtinId="8"/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7" Type="http://schemas.openxmlformats.org/officeDocument/2006/relationships/theme" Target="theme/theme1.xml" /><Relationship Id="rId18" Type="http://schemas.openxmlformats.org/officeDocument/2006/relationships/styles" Target="styles.xml" /><Relationship Id="rId19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hyperlink" Target="https://articlemd-preprod.delhaize.be/E/Article" TargetMode="External" /><Relationship Id="rId2" Type="http://schemas.openxmlformats.org/officeDocument/2006/relationships/hyperlink" Target="https://articlemd-preprod.delhaize.be/E/Article" TargetMode="Externa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F23"/>
  <sheetViews>
    <sheetView topLeftCell="AK1" workbookViewId="0">
      <selection activeCell="AK2" sqref="AK2"/>
    </sheetView>
  </sheetViews>
  <sheetFormatPr defaultColWidth="9.125" defaultRowHeight="14.25"/>
  <cols>
    <col min="1" max="1" width="9.125" style="10" customWidth="1"/>
    <col min="2" max="3" width="66" style="10" customWidth="1"/>
    <col min="4" max="4" width="13.625" style="10" customWidth="1"/>
    <col min="5" max="5" width="19.25" style="10" customWidth="1"/>
    <col min="6" max="6" width="16.75" style="10" customWidth="1"/>
    <col min="7" max="7" width="15.75" style="10" customWidth="1"/>
    <col min="8" max="8" width="54.875" style="10" customWidth="1"/>
    <col min="9" max="9" width="51.375" style="10" customWidth="1"/>
    <col min="10" max="10" width="50.125" style="10" customWidth="1"/>
    <col min="11" max="11" width="54" style="10" customWidth="1"/>
    <col min="12" max="12" width="52.375" style="10" customWidth="1"/>
    <col min="13" max="13" width="57.5" style="10" customWidth="1"/>
    <col min="14" max="14" width="54.375" style="10" customWidth="1"/>
    <col min="15" max="15" width="50.375" style="10" customWidth="1"/>
    <col min="16" max="17" width="51.625" style="10" customWidth="1"/>
    <col min="18" max="18" width="56.375" style="10" customWidth="1"/>
    <col min="19" max="19" width="49.875" style="10" customWidth="1"/>
    <col min="20" max="20" width="53.125" style="10" customWidth="1"/>
    <col min="21" max="21" width="57.125" style="10" customWidth="1"/>
    <col min="22" max="22" width="53.875" style="10" customWidth="1"/>
    <col min="23" max="23" width="52.875" style="10" customWidth="1"/>
    <col min="24" max="25" width="53.125" style="10" customWidth="1"/>
    <col min="26" max="26" width="49.875" style="10" customWidth="1"/>
    <col min="27" max="27" width="53.125" style="10" customWidth="1"/>
    <col min="28" max="28" width="57.125" style="10" customWidth="1"/>
    <col min="29" max="29" width="53.875" style="10" customWidth="1"/>
    <col min="30" max="30" width="52.875" style="10" customWidth="1"/>
    <col min="31" max="32" width="53.125" style="10" customWidth="1"/>
    <col min="33" max="33" width="57" style="10" customWidth="1"/>
    <col min="34" max="34" width="58.5" style="10" customWidth="1"/>
    <col min="35" max="35" width="60.375" style="10" customWidth="1"/>
    <col min="36" max="36" width="65.5" style="10" customWidth="1"/>
    <col min="37" max="37" width="58.875" style="10" customWidth="1"/>
    <col min="38" max="38" width="54" style="22" customWidth="1"/>
    <col min="39" max="39" width="55.75" style="10" customWidth="1"/>
    <col min="40" max="40" width="54" style="10" customWidth="1"/>
    <col min="41" max="41" width="55.375" style="10" customWidth="1"/>
    <col min="42" max="42" width="51" style="10" customWidth="1"/>
    <col min="43" max="43" width="49.625" style="10" customWidth="1"/>
    <col min="44" max="44" width="50.5" style="10" customWidth="1"/>
    <col min="45" max="45" width="52.25" style="10" customWidth="1"/>
    <col min="46" max="46" width="50.125" style="10" customWidth="1"/>
    <col min="47" max="47" width="51" style="10" customWidth="1"/>
    <col min="48" max="48" width="53.875" style="10" customWidth="1"/>
    <col min="49" max="49" width="28.375" style="10" customWidth="1"/>
    <col min="50" max="50" width="58.5" style="10" customWidth="1"/>
    <col min="51" max="51" width="58.625" style="10" customWidth="1"/>
    <col min="52" max="52" width="59.875" style="10" customWidth="1"/>
    <col min="53" max="53" width="58.625" style="10" customWidth="1"/>
    <col min="54" max="54" width="63.125" style="10" customWidth="1"/>
    <col min="55" max="55" width="69.25" style="10" customWidth="1"/>
    <col min="56" max="56" width="30.5" style="10" customWidth="1"/>
    <col min="57" max="57" width="14" style="10" customWidth="1"/>
    <col min="58" max="58" width="66.625" style="10" customWidth="1"/>
    <col min="59" max="16384" width="9.125" style="10" customWidth="1"/>
  </cols>
  <sheetData>
    <row r="1" ht="12.75" customHeight="1" customFormat="1">
      <c r="A1" t="s">
        <v>56</v>
      </c>
      <c r="B1" t="s">
        <v>21</v>
      </c>
      <c r="C1" t="s">
        <v>13</v>
      </c>
      <c r="D1" t="s">
        <v>110</v>
      </c>
      <c r="E1" t="s">
        <v>97</v>
      </c>
      <c r="F1" t="s">
        <v>47</v>
      </c>
      <c r="G1" t="s">
        <v>79</v>
      </c>
      <c r="H1" t="s">
        <v>98</v>
      </c>
      <c r="I1" t="s">
        <v>99</v>
      </c>
      <c r="J1" t="s">
        <v>48</v>
      </c>
      <c r="K1" t="s">
        <v>84</v>
      </c>
      <c r="L1" t="s">
        <v>7</v>
      </c>
      <c r="M1" t="s">
        <v>69</v>
      </c>
      <c r="N1" t="s">
        <v>8</v>
      </c>
      <c r="O1" t="s">
        <v>74</v>
      </c>
      <c r="P1" t="s">
        <v>49</v>
      </c>
      <c r="Q1" t="s">
        <v>23</v>
      </c>
      <c r="R1" t="s">
        <v>24</v>
      </c>
      <c r="S1" t="s">
        <v>50</v>
      </c>
      <c r="T1" t="s">
        <v>86</v>
      </c>
      <c r="U1" t="s">
        <v>14</v>
      </c>
      <c r="V1" t="s">
        <v>35</v>
      </c>
      <c r="W1" t="s">
        <v>53</v>
      </c>
      <c r="X1" t="s">
        <v>26</v>
      </c>
      <c r="Y1" t="s">
        <v>4</v>
      </c>
      <c r="Z1" t="s">
        <v>41</v>
      </c>
      <c r="AA1" t="s">
        <v>64</v>
      </c>
      <c r="AB1" t="s">
        <v>42</v>
      </c>
      <c r="AC1" t="s">
        <v>103</v>
      </c>
      <c r="AD1" t="s">
        <v>28</v>
      </c>
      <c r="AE1" t="s">
        <v>114</v>
      </c>
      <c r="AF1" t="s">
        <v>104</v>
      </c>
      <c r="AG1" t="s">
        <v>65</v>
      </c>
      <c r="AH1" t="s">
        <v>88</v>
      </c>
      <c r="AI1" t="s">
        <v>105</v>
      </c>
      <c r="AJ1" t="s">
        <v>81</v>
      </c>
      <c r="AK1" t="s">
        <v>106</v>
      </c>
      <c r="AL1" t="s">
        <v>76</v>
      </c>
      <c r="AM1" t="s">
        <v>112</v>
      </c>
      <c r="AN1" t="s">
        <v>89</v>
      </c>
      <c r="AO1" t="s">
        <v>107</v>
      </c>
      <c r="AP1" t="s">
        <v>29</v>
      </c>
      <c r="AQ1" t="s">
        <v>30</v>
      </c>
      <c r="AR1" t="s">
        <v>31</v>
      </c>
      <c r="AS1" t="s">
        <v>94</v>
      </c>
      <c r="AT1" t="s">
        <v>10</v>
      </c>
      <c r="AU1" t="s">
        <v>108</v>
      </c>
      <c r="AV1" t="s">
        <v>55</v>
      </c>
      <c r="AW1" t="s">
        <v>6</v>
      </c>
      <c r="AX1" t="s">
        <v>66</v>
      </c>
      <c r="AY1" t="s">
        <v>82</v>
      </c>
      <c r="AZ1" t="s">
        <v>96</v>
      </c>
      <c r="BA1" t="s">
        <v>43</v>
      </c>
      <c r="BB1" t="s">
        <v>19</v>
      </c>
      <c r="BC1" t="s">
        <v>91</v>
      </c>
      <c r="BD1" t="s">
        <v>33</v>
      </c>
      <c r="BE1" t="s">
        <v>117</v>
      </c>
      <c r="BF1" t="s">
        <v>20</v>
      </c>
    </row>
    <row r="2" ht="15" customHeight="1" s="10" customFormat="1">
      <c r="A2" s="11">
        <v>1</v>
      </c>
      <c r="B2" s="11" t="s">
        <v>0</v>
      </c>
      <c r="C2" s="11"/>
      <c r="D2" s="7"/>
      <c r="E2" s="7"/>
      <c r="F2" s="7" t="s">
        <v>3</v>
      </c>
      <c r="G2" s="1">
        <v>26</v>
      </c>
      <c r="H2" s="2" t="s">
        <v>59</v>
      </c>
      <c r="I2" s="2" t="s">
        <v>68</v>
      </c>
      <c r="J2" s="2" t="s">
        <v>60</v>
      </c>
      <c r="K2" s="2" t="s">
        <v>59</v>
      </c>
      <c r="L2" s="2" t="s">
        <v>72</v>
      </c>
      <c r="M2" s="2" t="s">
        <v>73</v>
      </c>
      <c r="N2" s="17" t="s">
        <v>85</v>
      </c>
      <c r="O2" s="2" t="s">
        <v>61</v>
      </c>
      <c r="P2" s="2" t="s">
        <v>111</v>
      </c>
      <c r="Q2" s="2" t="s">
        <v>111</v>
      </c>
      <c r="R2" s="2" t="s">
        <v>9</v>
      </c>
      <c r="S2" s="2" t="s">
        <v>25</v>
      </c>
      <c r="T2" s="2" t="s">
        <v>51</v>
      </c>
      <c r="U2" s="3" t="str">
        <f t="shared" si="0" ref="U2:X2">T2</f>
        <v>Sinalco Orange 1,5 L, Si&amp;Si</v>
      </c>
      <c r="V2" s="3" t="str">
        <f t="shared" si="0"/>
        <v>Sinalco Orange 1,5 L, Si&amp;Si</v>
      </c>
      <c r="W2" s="3" t="str">
        <f t="shared" si="0"/>
        <v>Sinalco Orange 1,5 L, Si&amp;Si</v>
      </c>
      <c r="X2" s="3" t="str">
        <f t="shared" si="0"/>
        <v>Sinalco Orange 1,5 L, Si&amp;Si</v>
      </c>
      <c r="Y2" s="2" t="s">
        <v>15</v>
      </c>
      <c r="Z2" s="2" t="s">
        <v>27</v>
      </c>
      <c r="AA2" s="3" t="str">
        <f>X2</f>
        <v>Sinalco Orange 1,5 L, Si&amp;Si</v>
      </c>
      <c r="AB2" s="3" t="str">
        <f t="shared" si="1" ref="AB2:AE2">AA2</f>
        <v>Sinalco Orange 1,5 L, Si&amp;Si</v>
      </c>
      <c r="AC2" s="3" t="str">
        <f t="shared" si="1"/>
        <v>Sinalco Orange 1,5 L, Si&amp;Si</v>
      </c>
      <c r="AD2" s="3" t="str">
        <f t="shared" si="1"/>
        <v>Sinalco Orange 1,5 L, Si&amp;Si</v>
      </c>
      <c r="AE2" s="3" t="str">
        <f t="shared" si="1"/>
        <v>Sinalco Orange 1,5 L, Si&amp;Si</v>
      </c>
      <c r="AF2" s="3" t="str">
        <f>Y2</f>
        <v>Orange 1,5L</v>
      </c>
      <c r="AG2" s="2" t="s">
        <v>37</v>
      </c>
      <c r="AH2" s="2" t="s">
        <v>37</v>
      </c>
      <c r="AI2" s="2" t="s">
        <v>37</v>
      </c>
      <c r="AJ2" s="2" t="s">
        <v>37</v>
      </c>
      <c r="AK2" s="19" t="s">
        <v>75</v>
      </c>
      <c r="AL2" s="9">
        <v>7091009091001</v>
      </c>
      <c r="AM2" s="2" t="s">
        <v>16</v>
      </c>
      <c r="AN2" s="2" t="s">
        <v>16</v>
      </c>
      <c r="AO2" s="2" t="s">
        <v>70</v>
      </c>
      <c r="AP2" s="2" t="s">
        <v>115</v>
      </c>
      <c r="AQ2" s="2" t="s">
        <v>115</v>
      </c>
      <c r="AR2" s="2" t="s">
        <v>54</v>
      </c>
      <c r="AS2" s="2" t="s">
        <v>90</v>
      </c>
      <c r="AT2" s="2">
        <v>10031028</v>
      </c>
      <c r="AU2" s="2" t="s">
        <v>18</v>
      </c>
      <c r="AV2" s="24" t="str">
        <f>CONCATENATE("ASIN0",G2)</f>
        <v>ASIN026</v>
      </c>
      <c r="AW2" s="2" t="b">
        <v>1</v>
      </c>
      <c r="AX2" s="2" t="s">
        <v>116</v>
      </c>
      <c r="AY2" s="2" t="s">
        <v>95</v>
      </c>
      <c r="AZ2" s="2" t="s">
        <v>113</v>
      </c>
      <c r="BA2" s="2" t="s">
        <v>11</v>
      </c>
      <c r="BB2" s="2" t="s">
        <v>12</v>
      </c>
      <c r="BC2" s="2" t="s">
        <v>80</v>
      </c>
      <c r="BD2" s="13" t="s">
        <v>38</v>
      </c>
      <c r="BE2" s="16">
        <f>AL2</f>
        <v>7091009091001</v>
      </c>
      <c r="BF2" s="14" t="str">
        <f>CONCATENATE("windowId=1; tag=TD; innerText=",AL2,"; parentTag=TR")</f>
        <v>windowId=1; tag=TD; innerText=7091009091001; parentTag=TR</v>
      </c>
    </row>
    <row r="3" s="10" customForma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24"/>
      <c r="AW3" s="1"/>
      <c r="AX3" s="1"/>
      <c r="AY3" s="1"/>
      <c r="AZ3" s="1"/>
      <c r="BA3" s="1"/>
      <c r="BB3" s="1"/>
      <c r="BC3" s="1"/>
      <c r="BD3" s="1"/>
      <c r="BE3" s="1"/>
      <c r="BF3" s="12"/>
    </row>
    <row r="4" ht="15" customHeight="1" s="10" customFormat="1">
      <c r="A4" s="15">
        <v>3</v>
      </c>
      <c r="B4" s="15" t="s">
        <v>71</v>
      </c>
      <c r="C4" s="20" t="s">
        <v>58</v>
      </c>
      <c r="D4" s="7" t="s">
        <v>2</v>
      </c>
      <c r="E4" s="7" t="s">
        <v>45</v>
      </c>
      <c r="F4" s="7" t="s">
        <v>3</v>
      </c>
      <c r="G4" s="1">
        <v>526</v>
      </c>
      <c r="H4" s="2" t="s">
        <v>59</v>
      </c>
      <c r="I4" s="2" t="s">
        <v>68</v>
      </c>
      <c r="J4" s="2" t="s">
        <v>60</v>
      </c>
      <c r="K4" s="2" t="s">
        <v>59</v>
      </c>
      <c r="L4" s="6">
        <v>365</v>
      </c>
      <c r="M4" s="6">
        <v>270</v>
      </c>
      <c r="N4" s="17" t="s">
        <v>85</v>
      </c>
      <c r="O4" s="2" t="s">
        <v>61</v>
      </c>
      <c r="P4" s="6">
        <v>0.5</v>
      </c>
      <c r="Q4" s="6">
        <v>0.5</v>
      </c>
      <c r="R4" s="2" t="s">
        <v>9</v>
      </c>
      <c r="S4" s="2" t="s">
        <v>25</v>
      </c>
      <c r="T4" s="2" t="s">
        <v>51</v>
      </c>
      <c r="U4" s="2" t="str">
        <f t="shared" si="2" ref="U4:X13">T4</f>
        <v>Sinalco Orange 1,5 L, Si&amp;Si</v>
      </c>
      <c r="V4" s="2" t="str">
        <f t="shared" si="2"/>
        <v>Sinalco Orange 1,5 L, Si&amp;Si</v>
      </c>
      <c r="W4" s="2" t="str">
        <f t="shared" si="2"/>
        <v>Sinalco Orange 1,5 L, Si&amp;Si</v>
      </c>
      <c r="X4" s="2" t="str">
        <f t="shared" si="2"/>
        <v>Sinalco Orange 1,5 L, Si&amp;Si</v>
      </c>
      <c r="Y4" s="2" t="s">
        <v>34</v>
      </c>
      <c r="Z4" s="2" t="s">
        <v>27</v>
      </c>
      <c r="AA4" s="3" t="str">
        <f t="shared" si="3" ref="AA4:AA13">X4</f>
        <v>Sinalco Orange 1,5 L, Si&amp;Si</v>
      </c>
      <c r="AB4" s="3" t="str">
        <f t="shared" si="4" ref="AB4:AE13">AA4</f>
        <v>Sinalco Orange 1,5 L, Si&amp;Si</v>
      </c>
      <c r="AC4" s="3" t="str">
        <f t="shared" si="4"/>
        <v>Sinalco Orange 1,5 L, Si&amp;Si</v>
      </c>
      <c r="AD4" s="3" t="str">
        <f t="shared" si="4"/>
        <v>Sinalco Orange 1,5 L, Si&amp;Si</v>
      </c>
      <c r="AE4" s="3" t="str">
        <f t="shared" si="4"/>
        <v>Sinalco Orange 1,5 L, Si&amp;Si</v>
      </c>
      <c r="AF4" s="3" t="str">
        <f t="shared" si="5" ref="AF4:AF13">Y4</f>
        <v>Generic_2 1,5KG</v>
      </c>
      <c r="AG4" s="2" t="s">
        <v>37</v>
      </c>
      <c r="AH4" s="2" t="s">
        <v>37</v>
      </c>
      <c r="AI4" s="2" t="s">
        <v>37</v>
      </c>
      <c r="AJ4" s="2" t="s">
        <v>37</v>
      </c>
      <c r="AK4" s="19" t="s">
        <v>75</v>
      </c>
      <c r="AL4" s="9">
        <v>8632912362086</v>
      </c>
      <c r="AM4" s="5">
        <v>0.45000000000000001</v>
      </c>
      <c r="AN4" s="5">
        <v>0.45000000000000001</v>
      </c>
      <c r="AO4" s="2" t="s">
        <v>70</v>
      </c>
      <c r="AP4" s="2" t="s">
        <v>115</v>
      </c>
      <c r="AQ4" s="2" t="s">
        <v>115</v>
      </c>
      <c r="AR4" s="2" t="s">
        <v>54</v>
      </c>
      <c r="AS4" s="2" t="s">
        <v>90</v>
      </c>
      <c r="AT4" s="2">
        <v>10031028</v>
      </c>
      <c r="AU4" s="2" t="s">
        <v>18</v>
      </c>
      <c r="AV4" s="24" t="str">
        <f>CONCATENATE("ASIN0",G4)</f>
        <v>ASIN0526</v>
      </c>
      <c r="AW4" s="2" t="b">
        <v>1</v>
      </c>
      <c r="AX4" s="2" t="s">
        <v>116</v>
      </c>
      <c r="AY4" s="2" t="s">
        <v>95</v>
      </c>
      <c r="AZ4" s="2" t="s">
        <v>113</v>
      </c>
      <c r="BA4" s="2">
        <v>50</v>
      </c>
      <c r="BB4" s="2" t="s">
        <v>12</v>
      </c>
      <c r="BC4" s="2" t="s">
        <v>80</v>
      </c>
      <c r="BD4" s="13" t="s">
        <v>38</v>
      </c>
      <c r="BE4" s="16">
        <f t="shared" si="6" ref="BE4:BE13">AL4</f>
        <v>8632912362086</v>
      </c>
      <c r="BF4" s="14" t="str">
        <f t="shared" si="7" ref="BF4:BF13">CONCATENATE("windowId=1; tag=TD; innerText=",AL4,"; parentTag=TR")</f>
        <v>windowId=1; tag=TD; innerText=8632912362086; parentTag=TR</v>
      </c>
    </row>
    <row r="5" ht="15" customHeight="1" s="10" customFormat="1">
      <c r="A5" s="15">
        <v>4</v>
      </c>
      <c r="B5" s="15" t="s">
        <v>93</v>
      </c>
      <c r="C5" s="20" t="s">
        <v>58</v>
      </c>
      <c r="D5" s="7" t="s">
        <v>2</v>
      </c>
      <c r="E5" s="7" t="s">
        <v>45</v>
      </c>
      <c r="F5" s="7" t="s">
        <v>3</v>
      </c>
      <c r="G5" s="1">
        <v>12</v>
      </c>
      <c r="H5" s="2" t="s">
        <v>59</v>
      </c>
      <c r="I5" s="2" t="s">
        <v>68</v>
      </c>
      <c r="J5" s="2" t="s">
        <v>60</v>
      </c>
      <c r="K5" s="2" t="s">
        <v>59</v>
      </c>
      <c r="L5" s="2">
        <v>365</v>
      </c>
      <c r="M5" s="2">
        <v>270</v>
      </c>
      <c r="N5" s="17" t="s">
        <v>85</v>
      </c>
      <c r="O5" s="2" t="s">
        <v>61</v>
      </c>
      <c r="P5" s="2" t="s">
        <v>111</v>
      </c>
      <c r="Q5" s="2" t="s">
        <v>111</v>
      </c>
      <c r="R5" s="2" t="s">
        <v>9</v>
      </c>
      <c r="S5" s="2" t="s">
        <v>25</v>
      </c>
      <c r="T5" s="2" t="s">
        <v>51</v>
      </c>
      <c r="U5" s="3" t="str">
        <f t="shared" si="2"/>
        <v>Sinalco Orange 1,5 L, Si&amp;Si</v>
      </c>
      <c r="V5" s="3" t="str">
        <f t="shared" si="2"/>
        <v>Sinalco Orange 1,5 L, Si&amp;Si</v>
      </c>
      <c r="W5" s="3" t="str">
        <f t="shared" si="2"/>
        <v>Sinalco Orange 1,5 L, Si&amp;Si</v>
      </c>
      <c r="X5" s="3" t="str">
        <f t="shared" si="2"/>
        <v>Sinalco Orange 1,5 L, Si&amp;Si</v>
      </c>
      <c r="Y5" s="2" t="s">
        <v>15</v>
      </c>
      <c r="Z5" s="2" t="s">
        <v>27</v>
      </c>
      <c r="AA5" s="3" t="str">
        <f t="shared" si="3"/>
        <v>Sinalco Orange 1,5 L, Si&amp;Si</v>
      </c>
      <c r="AB5" s="3" t="str">
        <f t="shared" si="4"/>
        <v>Sinalco Orange 1,5 L, Si&amp;Si</v>
      </c>
      <c r="AC5" s="3" t="str">
        <f t="shared" si="4"/>
        <v>Sinalco Orange 1,5 L, Si&amp;Si</v>
      </c>
      <c r="AD5" s="3" t="str">
        <f t="shared" si="4"/>
        <v>Sinalco Orange 1,5 L, Si&amp;Si</v>
      </c>
      <c r="AE5" s="3" t="str">
        <f t="shared" si="4"/>
        <v>Sinalco Orange 1,5 L, Si&amp;Si</v>
      </c>
      <c r="AF5" s="3" t="str">
        <f t="shared" si="5"/>
        <v>Orange 1,5L</v>
      </c>
      <c r="AG5" s="2" t="s">
        <v>37</v>
      </c>
      <c r="AH5" s="2" t="s">
        <v>37</v>
      </c>
      <c r="AI5" s="2" t="s">
        <v>37</v>
      </c>
      <c r="AJ5" s="2" t="s">
        <v>37</v>
      </c>
      <c r="AK5" s="19" t="s">
        <v>75</v>
      </c>
      <c r="AL5" s="9">
        <v>8632912362093</v>
      </c>
      <c r="AM5" s="2" t="s">
        <v>16</v>
      </c>
      <c r="AN5" s="2" t="s">
        <v>16</v>
      </c>
      <c r="AO5" s="2" t="s">
        <v>70</v>
      </c>
      <c r="AP5" s="2" t="s">
        <v>115</v>
      </c>
      <c r="AQ5" s="2" t="s">
        <v>115</v>
      </c>
      <c r="AR5" s="2" t="s">
        <v>54</v>
      </c>
      <c r="AS5" s="2" t="s">
        <v>90</v>
      </c>
      <c r="AT5" s="2">
        <v>10031028</v>
      </c>
      <c r="AU5" s="2" t="s">
        <v>18</v>
      </c>
      <c r="AV5" s="24" t="str">
        <f>CONCATENATE("ASIN1",G5)</f>
        <v>ASIN112</v>
      </c>
      <c r="AW5" s="2" t="b">
        <v>1</v>
      </c>
      <c r="AX5" s="2" t="s">
        <v>116</v>
      </c>
      <c r="AY5" s="2" t="s">
        <v>95</v>
      </c>
      <c r="AZ5" s="2" t="s">
        <v>113</v>
      </c>
      <c r="BA5" s="2" t="s">
        <v>11</v>
      </c>
      <c r="BB5" s="2" t="s">
        <v>12</v>
      </c>
      <c r="BC5" s="2" t="s">
        <v>80</v>
      </c>
      <c r="BD5" s="13" t="s">
        <v>38</v>
      </c>
      <c r="BE5" s="16">
        <f t="shared" si="6"/>
        <v>8632912362093</v>
      </c>
      <c r="BF5" s="14" t="str">
        <f t="shared" si="7"/>
        <v>windowId=1; tag=TD; innerText=8632912362093; parentTag=TR</v>
      </c>
    </row>
    <row r="6" ht="15" customHeight="1" s="10" customFormat="1">
      <c r="A6" s="15">
        <v>5</v>
      </c>
      <c r="B6" s="15" t="s">
        <v>44</v>
      </c>
      <c r="C6" s="20" t="s">
        <v>58</v>
      </c>
      <c r="D6" s="7" t="s">
        <v>2</v>
      </c>
      <c r="E6" s="7" t="s">
        <v>46</v>
      </c>
      <c r="F6" s="7" t="s">
        <v>3</v>
      </c>
      <c r="G6" s="1">
        <v>92</v>
      </c>
      <c r="H6" s="2" t="s">
        <v>59</v>
      </c>
      <c r="I6" s="2" t="s">
        <v>40</v>
      </c>
      <c r="J6" s="2" t="s">
        <v>60</v>
      </c>
      <c r="K6" s="2" t="s">
        <v>59</v>
      </c>
      <c r="L6" s="2">
        <v>10</v>
      </c>
      <c r="M6" s="2">
        <v>5</v>
      </c>
      <c r="N6" s="17" t="s">
        <v>85</v>
      </c>
      <c r="O6" s="2" t="s">
        <v>70</v>
      </c>
      <c r="P6" s="5" t="s">
        <v>80</v>
      </c>
      <c r="Q6" s="5" t="s">
        <v>80</v>
      </c>
      <c r="R6" s="2" t="s">
        <v>70</v>
      </c>
      <c r="S6" s="2" t="s">
        <v>25</v>
      </c>
      <c r="T6" s="2" t="s">
        <v>62</v>
      </c>
      <c r="U6" s="3" t="str">
        <f t="shared" si="2"/>
        <v>Lettuce 1KG</v>
      </c>
      <c r="V6" s="3" t="str">
        <f t="shared" si="2"/>
        <v>Lettuce 1KG</v>
      </c>
      <c r="W6" s="3" t="str">
        <f t="shared" si="2"/>
        <v>Lettuce 1KG</v>
      </c>
      <c r="X6" s="3" t="str">
        <f t="shared" si="2"/>
        <v>Lettuce 1KG</v>
      </c>
      <c r="Y6" s="2" t="s">
        <v>62</v>
      </c>
      <c r="Z6" s="2" t="s">
        <v>27</v>
      </c>
      <c r="AA6" s="3" t="str">
        <f t="shared" si="3"/>
        <v>Lettuce 1KG</v>
      </c>
      <c r="AB6" s="3" t="str">
        <f t="shared" si="4"/>
        <v>Lettuce 1KG</v>
      </c>
      <c r="AC6" s="3" t="str">
        <f t="shared" si="4"/>
        <v>Lettuce 1KG</v>
      </c>
      <c r="AD6" s="3" t="str">
        <f t="shared" si="4"/>
        <v>Lettuce 1KG</v>
      </c>
      <c r="AE6" s="3" t="str">
        <f t="shared" si="4"/>
        <v>Lettuce 1KG</v>
      </c>
      <c r="AF6" s="3" t="str">
        <f t="shared" si="5"/>
        <v>Lettuce 1KG</v>
      </c>
      <c r="AG6" s="2" t="s">
        <v>37</v>
      </c>
      <c r="AH6" s="2" t="s">
        <v>37</v>
      </c>
      <c r="AI6" s="2" t="s">
        <v>37</v>
      </c>
      <c r="AJ6" s="2" t="s">
        <v>37</v>
      </c>
      <c r="AK6" s="19" t="s">
        <v>75</v>
      </c>
      <c r="AL6" s="9">
        <v>8632912362109</v>
      </c>
      <c r="AM6" s="5" t="s">
        <v>80</v>
      </c>
      <c r="AN6" s="5" t="s">
        <v>80</v>
      </c>
      <c r="AO6" s="2" t="s">
        <v>70</v>
      </c>
      <c r="AP6" s="2" t="s">
        <v>115</v>
      </c>
      <c r="AQ6" s="2" t="s">
        <v>115</v>
      </c>
      <c r="AR6" s="2" t="s">
        <v>54</v>
      </c>
      <c r="AS6" s="2" t="s">
        <v>90</v>
      </c>
      <c r="AT6" s="2">
        <v>10032894</v>
      </c>
      <c r="AU6" s="2" t="s">
        <v>18</v>
      </c>
      <c r="AV6" s="24" t="str">
        <f>CONCATENATE("MESN4",G6)</f>
        <v>MESN492</v>
      </c>
      <c r="AW6" s="2" t="b">
        <v>1</v>
      </c>
      <c r="AX6" s="2" t="s">
        <v>116</v>
      </c>
      <c r="AY6" s="2" t="s">
        <v>67</v>
      </c>
      <c r="AZ6" s="2" t="s">
        <v>113</v>
      </c>
      <c r="BA6" s="8">
        <v>250</v>
      </c>
      <c r="BB6" s="2" t="s">
        <v>12</v>
      </c>
      <c r="BC6" s="2" t="s">
        <v>80</v>
      </c>
      <c r="BD6" s="13" t="s">
        <v>38</v>
      </c>
      <c r="BE6" s="16">
        <f t="shared" si="6"/>
        <v>8632912362109</v>
      </c>
      <c r="BF6" s="14" t="str">
        <f t="shared" si="7"/>
        <v>windowId=1; tag=TD; innerText=8632912362109; parentTag=TR</v>
      </c>
    </row>
    <row r="7" ht="15" customHeight="1" s="10" customFormat="1">
      <c r="A7" s="15">
        <v>6</v>
      </c>
      <c r="B7" s="15" t="s">
        <v>77</v>
      </c>
      <c r="C7" s="20" t="s">
        <v>58</v>
      </c>
      <c r="D7" s="7" t="s">
        <v>2</v>
      </c>
      <c r="E7" s="7" t="s">
        <v>45</v>
      </c>
      <c r="F7" s="7" t="s">
        <v>3</v>
      </c>
      <c r="G7" s="1">
        <v>62</v>
      </c>
      <c r="H7" s="2" t="s">
        <v>59</v>
      </c>
      <c r="I7" s="2" t="s">
        <v>40</v>
      </c>
      <c r="J7" s="2" t="s">
        <v>60</v>
      </c>
      <c r="K7" s="2" t="s">
        <v>59</v>
      </c>
      <c r="L7" s="2">
        <v>10</v>
      </c>
      <c r="M7" s="2">
        <v>5</v>
      </c>
      <c r="N7" s="17" t="s">
        <v>85</v>
      </c>
      <c r="O7" s="2" t="s">
        <v>70</v>
      </c>
      <c r="P7" s="2" t="s">
        <v>111</v>
      </c>
      <c r="Q7" s="2" t="s">
        <v>111</v>
      </c>
      <c r="R7" s="2" t="s">
        <v>70</v>
      </c>
      <c r="S7" s="2" t="s">
        <v>25</v>
      </c>
      <c r="T7" s="2" t="s">
        <v>100</v>
      </c>
      <c r="U7" s="3" t="str">
        <f t="shared" si="2"/>
        <v>Tomatoe 0,5KG</v>
      </c>
      <c r="V7" s="3" t="str">
        <f t="shared" si="2"/>
        <v>Tomatoe 0,5KG</v>
      </c>
      <c r="W7" s="3" t="str">
        <f t="shared" si="2"/>
        <v>Tomatoe 0,5KG</v>
      </c>
      <c r="X7" s="3" t="str">
        <f t="shared" si="2"/>
        <v>Tomatoe 0,5KG</v>
      </c>
      <c r="Y7" s="2" t="s">
        <v>100</v>
      </c>
      <c r="Z7" s="2" t="s">
        <v>27</v>
      </c>
      <c r="AA7" s="3" t="str">
        <f t="shared" si="3"/>
        <v>Tomatoe 0,5KG</v>
      </c>
      <c r="AB7" s="3" t="str">
        <f t="shared" si="4"/>
        <v>Tomatoe 0,5KG</v>
      </c>
      <c r="AC7" s="3" t="str">
        <f t="shared" si="4"/>
        <v>Tomatoe 0,5KG</v>
      </c>
      <c r="AD7" s="3" t="str">
        <f t="shared" si="4"/>
        <v>Tomatoe 0,5KG</v>
      </c>
      <c r="AE7" s="3" t="str">
        <f t="shared" si="4"/>
        <v>Tomatoe 0,5KG</v>
      </c>
      <c r="AF7" s="3" t="str">
        <f t="shared" si="5"/>
        <v>Tomatoe 0,5KG</v>
      </c>
      <c r="AG7" s="2" t="s">
        <v>37</v>
      </c>
      <c r="AH7" s="2" t="s">
        <v>37</v>
      </c>
      <c r="AI7" s="2" t="s">
        <v>37</v>
      </c>
      <c r="AJ7" s="2" t="s">
        <v>37</v>
      </c>
      <c r="AK7" s="19" t="s">
        <v>75</v>
      </c>
      <c r="AL7" s="23">
        <v>8632912362116</v>
      </c>
      <c r="AM7" s="2" t="s">
        <v>111</v>
      </c>
      <c r="AN7" s="8" t="s">
        <v>111</v>
      </c>
      <c r="AO7" s="2" t="s">
        <v>70</v>
      </c>
      <c r="AP7" s="2" t="s">
        <v>115</v>
      </c>
      <c r="AQ7" s="2" t="s">
        <v>115</v>
      </c>
      <c r="AR7" s="2" t="s">
        <v>54</v>
      </c>
      <c r="AS7" s="2" t="s">
        <v>90</v>
      </c>
      <c r="AT7" s="2">
        <v>10032894</v>
      </c>
      <c r="AU7" s="2" t="s">
        <v>18</v>
      </c>
      <c r="AV7" s="24" t="str">
        <f>CONCATENATE("MESN5",G7)</f>
        <v>MESN562</v>
      </c>
      <c r="AW7" s="2" t="b">
        <v>1</v>
      </c>
      <c r="AX7" s="2" t="s">
        <v>116</v>
      </c>
      <c r="AY7" s="2" t="s">
        <v>32</v>
      </c>
      <c r="AZ7" s="2" t="s">
        <v>113</v>
      </c>
      <c r="BA7" s="8">
        <v>250</v>
      </c>
      <c r="BB7" s="2" t="s">
        <v>12</v>
      </c>
      <c r="BC7" s="2" t="s">
        <v>80</v>
      </c>
      <c r="BD7" s="13" t="s">
        <v>38</v>
      </c>
      <c r="BE7" s="16">
        <f t="shared" si="6"/>
        <v>8632912362116</v>
      </c>
      <c r="BF7" s="14" t="str">
        <f t="shared" si="7"/>
        <v>windowId=1; tag=TD; innerText=8632912362116; parentTag=TR</v>
      </c>
    </row>
    <row r="8" ht="15" customHeight="1" s="10" customFormat="1">
      <c r="A8" s="15">
        <v>7</v>
      </c>
      <c r="B8" s="15" t="s">
        <v>109</v>
      </c>
      <c r="C8" s="20" t="s">
        <v>58</v>
      </c>
      <c r="D8" s="7" t="s">
        <v>2</v>
      </c>
      <c r="E8" s="7" t="s">
        <v>45</v>
      </c>
      <c r="F8" s="7" t="s">
        <v>3</v>
      </c>
      <c r="G8" s="1">
        <v>111</v>
      </c>
      <c r="H8" s="2" t="s">
        <v>59</v>
      </c>
      <c r="I8" s="2" t="s">
        <v>40</v>
      </c>
      <c r="J8" s="2" t="s">
        <v>60</v>
      </c>
      <c r="K8" s="2" t="s">
        <v>59</v>
      </c>
      <c r="L8" s="2">
        <v>10</v>
      </c>
      <c r="M8" s="2">
        <v>5</v>
      </c>
      <c r="N8" s="17" t="s">
        <v>85</v>
      </c>
      <c r="O8" s="2" t="s">
        <v>70</v>
      </c>
      <c r="P8" s="2" t="s">
        <v>111</v>
      </c>
      <c r="Q8" s="2" t="s">
        <v>111</v>
      </c>
      <c r="R8" s="2" t="s">
        <v>70</v>
      </c>
      <c r="S8" s="2" t="s">
        <v>25</v>
      </c>
      <c r="T8" s="2" t="s">
        <v>101</v>
      </c>
      <c r="U8" s="3" t="str">
        <f t="shared" si="2"/>
        <v>Salad 1,5KG</v>
      </c>
      <c r="V8" s="3" t="str">
        <f t="shared" si="2"/>
        <v>Salad 1,5KG</v>
      </c>
      <c r="W8" s="3" t="str">
        <f t="shared" si="2"/>
        <v>Salad 1,5KG</v>
      </c>
      <c r="X8" s="3" t="str">
        <f t="shared" si="2"/>
        <v>Salad 1,5KG</v>
      </c>
      <c r="Y8" s="2" t="s">
        <v>101</v>
      </c>
      <c r="Z8" s="2" t="s">
        <v>27</v>
      </c>
      <c r="AA8" s="3" t="str">
        <f t="shared" si="3"/>
        <v>Salad 1,5KG</v>
      </c>
      <c r="AB8" s="3" t="str">
        <f t="shared" si="4"/>
        <v>Salad 1,5KG</v>
      </c>
      <c r="AC8" s="3" t="str">
        <f t="shared" si="4"/>
        <v>Salad 1,5KG</v>
      </c>
      <c r="AD8" s="3" t="str">
        <f t="shared" si="4"/>
        <v>Salad 1,5KG</v>
      </c>
      <c r="AE8" s="3" t="str">
        <f t="shared" si="4"/>
        <v>Salad 1,5KG</v>
      </c>
      <c r="AF8" s="3" t="str">
        <f t="shared" si="5"/>
        <v>Salad 1,5KG</v>
      </c>
      <c r="AG8" s="2" t="s">
        <v>37</v>
      </c>
      <c r="AH8" s="2" t="s">
        <v>37</v>
      </c>
      <c r="AI8" s="2" t="s">
        <v>37</v>
      </c>
      <c r="AJ8" s="2" t="s">
        <v>37</v>
      </c>
      <c r="AK8" s="19" t="s">
        <v>75</v>
      </c>
      <c r="AL8" s="23">
        <v>8632912362123</v>
      </c>
      <c r="AM8" s="5" t="s">
        <v>5</v>
      </c>
      <c r="AN8" s="5" t="s">
        <v>5</v>
      </c>
      <c r="AO8" s="2" t="s">
        <v>70</v>
      </c>
      <c r="AP8" s="2" t="s">
        <v>115</v>
      </c>
      <c r="AQ8" s="2" t="s">
        <v>115</v>
      </c>
      <c r="AR8" s="2" t="s">
        <v>54</v>
      </c>
      <c r="AS8" s="2" t="s">
        <v>90</v>
      </c>
      <c r="AT8" s="2">
        <v>10032894</v>
      </c>
      <c r="AU8" s="2" t="s">
        <v>18</v>
      </c>
      <c r="AV8" s="24" t="str">
        <f>CONCATENATE("MESN6",G8)</f>
        <v>MESN6111</v>
      </c>
      <c r="AW8" s="2" t="b">
        <v>1</v>
      </c>
      <c r="AX8" s="2" t="s">
        <v>116</v>
      </c>
      <c r="AY8" s="2" t="s">
        <v>32</v>
      </c>
      <c r="AZ8" s="2" t="s">
        <v>113</v>
      </c>
      <c r="BA8" s="8">
        <v>500</v>
      </c>
      <c r="BB8" s="2" t="s">
        <v>12</v>
      </c>
      <c r="BC8" s="2" t="s">
        <v>80</v>
      </c>
      <c r="BD8" s="13" t="s">
        <v>38</v>
      </c>
      <c r="BE8" s="16">
        <f t="shared" si="6"/>
        <v>8632912362123</v>
      </c>
      <c r="BF8" s="14" t="str">
        <f t="shared" si="7"/>
        <v>windowId=1; tag=TD; innerText=8632912362123; parentTag=TR</v>
      </c>
    </row>
    <row r="9" ht="15" customHeight="1" s="10" customFormat="1">
      <c r="A9" s="15">
        <v>8</v>
      </c>
      <c r="B9" s="15" t="s">
        <v>22</v>
      </c>
      <c r="C9" s="20" t="s">
        <v>58</v>
      </c>
      <c r="D9" s="7" t="s">
        <v>2</v>
      </c>
      <c r="E9" s="7" t="s">
        <v>45</v>
      </c>
      <c r="F9" s="7" t="s">
        <v>3</v>
      </c>
      <c r="G9" s="1">
        <v>101</v>
      </c>
      <c r="H9" s="2" t="s">
        <v>59</v>
      </c>
      <c r="I9" s="2" t="s">
        <v>40</v>
      </c>
      <c r="J9" s="2" t="s">
        <v>60</v>
      </c>
      <c r="K9" s="2" t="s">
        <v>59</v>
      </c>
      <c r="L9" s="2">
        <v>10</v>
      </c>
      <c r="M9" s="2">
        <v>5</v>
      </c>
      <c r="N9" s="17" t="s">
        <v>85</v>
      </c>
      <c r="O9" s="2" t="s">
        <v>70</v>
      </c>
      <c r="P9" s="2" t="s">
        <v>111</v>
      </c>
      <c r="Q9" s="2" t="s">
        <v>111</v>
      </c>
      <c r="R9" s="2" t="s">
        <v>70</v>
      </c>
      <c r="S9" s="2" t="s">
        <v>25</v>
      </c>
      <c r="T9" s="2" t="s">
        <v>87</v>
      </c>
      <c r="U9" s="3" t="str">
        <f t="shared" si="2"/>
        <v>Generic_1 1,5KG</v>
      </c>
      <c r="V9" s="3" t="str">
        <f t="shared" si="2"/>
        <v>Generic_1 1,5KG</v>
      </c>
      <c r="W9" s="3" t="str">
        <f t="shared" si="2"/>
        <v>Generic_1 1,5KG</v>
      </c>
      <c r="X9" s="3" t="str">
        <f t="shared" si="2"/>
        <v>Generic_1 1,5KG</v>
      </c>
      <c r="Y9" s="2" t="s">
        <v>87</v>
      </c>
      <c r="Z9" s="2" t="s">
        <v>27</v>
      </c>
      <c r="AA9" s="3" t="str">
        <f t="shared" si="3"/>
        <v>Generic_1 1,5KG</v>
      </c>
      <c r="AB9" s="3" t="str">
        <f t="shared" si="4"/>
        <v>Generic_1 1,5KG</v>
      </c>
      <c r="AC9" s="3" t="str">
        <f t="shared" si="4"/>
        <v>Generic_1 1,5KG</v>
      </c>
      <c r="AD9" s="3" t="str">
        <f t="shared" si="4"/>
        <v>Generic_1 1,5KG</v>
      </c>
      <c r="AE9" s="3" t="str">
        <f t="shared" si="4"/>
        <v>Generic_1 1,5KG</v>
      </c>
      <c r="AF9" s="3" t="str">
        <f t="shared" si="5"/>
        <v>Generic_1 1,5KG</v>
      </c>
      <c r="AG9" s="2" t="s">
        <v>37</v>
      </c>
      <c r="AH9" s="2" t="s">
        <v>37</v>
      </c>
      <c r="AI9" s="2" t="s">
        <v>37</v>
      </c>
      <c r="AJ9" s="2" t="s">
        <v>37</v>
      </c>
      <c r="AK9" s="19" t="s">
        <v>75</v>
      </c>
      <c r="AL9" s="23">
        <v>8632912362130</v>
      </c>
      <c r="AM9" s="5" t="s">
        <v>5</v>
      </c>
      <c r="AN9" s="5" t="s">
        <v>5</v>
      </c>
      <c r="AO9" s="2" t="s">
        <v>70</v>
      </c>
      <c r="AP9" s="2" t="s">
        <v>115</v>
      </c>
      <c r="AQ9" s="2" t="s">
        <v>115</v>
      </c>
      <c r="AR9" s="2" t="s">
        <v>54</v>
      </c>
      <c r="AS9" s="2" t="s">
        <v>90</v>
      </c>
      <c r="AT9" s="2">
        <v>10032894</v>
      </c>
      <c r="AU9" s="2" t="s">
        <v>18</v>
      </c>
      <c r="AV9" s="24" t="str">
        <f t="shared" si="8" ref="AV9:AV11">CONCATENATE("MESN2",G9)</f>
        <v>MESN2101</v>
      </c>
      <c r="AW9" s="2" t="b">
        <v>1</v>
      </c>
      <c r="AX9" s="2" t="s">
        <v>116</v>
      </c>
      <c r="AY9" s="2" t="s">
        <v>32</v>
      </c>
      <c r="AZ9" s="2" t="s">
        <v>113</v>
      </c>
      <c r="BA9" s="8">
        <v>500</v>
      </c>
      <c r="BB9" s="2" t="s">
        <v>12</v>
      </c>
      <c r="BC9" s="2" t="s">
        <v>80</v>
      </c>
      <c r="BD9" s="13" t="s">
        <v>38</v>
      </c>
      <c r="BE9" s="16">
        <f t="shared" si="6"/>
        <v>8632912362130</v>
      </c>
      <c r="BF9" s="14" t="str">
        <f t="shared" si="7"/>
        <v>windowId=1; tag=TD; innerText=8632912362130; parentTag=TR</v>
      </c>
    </row>
    <row r="10" ht="15" customHeight="1" s="10" customFormat="1">
      <c r="A10" s="15">
        <v>9</v>
      </c>
      <c r="B10" s="15" t="s">
        <v>57</v>
      </c>
      <c r="C10" s="20" t="s">
        <v>58</v>
      </c>
      <c r="D10" s="7" t="s">
        <v>2</v>
      </c>
      <c r="E10" s="7" t="s">
        <v>45</v>
      </c>
      <c r="F10" s="7" t="s">
        <v>3</v>
      </c>
      <c r="G10" s="1">
        <v>133</v>
      </c>
      <c r="H10" s="2" t="s">
        <v>59</v>
      </c>
      <c r="I10" s="2" t="s">
        <v>40</v>
      </c>
      <c r="J10" s="2" t="s">
        <v>60</v>
      </c>
      <c r="K10" s="2" t="s">
        <v>59</v>
      </c>
      <c r="L10" s="2">
        <v>10</v>
      </c>
      <c r="M10" s="2">
        <v>5</v>
      </c>
      <c r="N10" s="17" t="s">
        <v>85</v>
      </c>
      <c r="O10" s="2" t="s">
        <v>70</v>
      </c>
      <c r="P10" s="2" t="s">
        <v>111</v>
      </c>
      <c r="Q10" s="2" t="s">
        <v>111</v>
      </c>
      <c r="R10" s="2" t="s">
        <v>70</v>
      </c>
      <c r="S10" s="2" t="s">
        <v>25</v>
      </c>
      <c r="T10" s="2" t="s">
        <v>34</v>
      </c>
      <c r="U10" s="3" t="str">
        <f t="shared" si="2"/>
        <v>Generic_2 1,5KG</v>
      </c>
      <c r="V10" s="3" t="str">
        <f t="shared" si="2"/>
        <v>Generic_2 1,5KG</v>
      </c>
      <c r="W10" s="3" t="str">
        <f t="shared" si="2"/>
        <v>Generic_2 1,5KG</v>
      </c>
      <c r="X10" s="3" t="str">
        <f t="shared" si="2"/>
        <v>Generic_2 1,5KG</v>
      </c>
      <c r="Y10" s="2" t="s">
        <v>34</v>
      </c>
      <c r="Z10" s="2" t="s">
        <v>27</v>
      </c>
      <c r="AA10" s="3" t="str">
        <f t="shared" si="3"/>
        <v>Generic_2 1,5KG</v>
      </c>
      <c r="AB10" s="3" t="str">
        <f t="shared" si="4"/>
        <v>Generic_2 1,5KG</v>
      </c>
      <c r="AC10" s="3" t="str">
        <f t="shared" si="4"/>
        <v>Generic_2 1,5KG</v>
      </c>
      <c r="AD10" s="3" t="str">
        <f t="shared" si="4"/>
        <v>Generic_2 1,5KG</v>
      </c>
      <c r="AE10" s="3" t="str">
        <f t="shared" si="4"/>
        <v>Generic_2 1,5KG</v>
      </c>
      <c r="AF10" s="3" t="str">
        <f t="shared" si="5"/>
        <v>Generic_2 1,5KG</v>
      </c>
      <c r="AG10" s="2" t="s">
        <v>37</v>
      </c>
      <c r="AH10" s="2" t="s">
        <v>37</v>
      </c>
      <c r="AI10" s="2" t="s">
        <v>37</v>
      </c>
      <c r="AJ10" s="2" t="s">
        <v>37</v>
      </c>
      <c r="AK10" s="19" t="s">
        <v>75</v>
      </c>
      <c r="AL10" s="23">
        <v>8632912362147</v>
      </c>
      <c r="AM10" s="5" t="s">
        <v>5</v>
      </c>
      <c r="AN10" s="5" t="s">
        <v>5</v>
      </c>
      <c r="AO10" s="2" t="s">
        <v>70</v>
      </c>
      <c r="AP10" s="2" t="s">
        <v>115</v>
      </c>
      <c r="AQ10" s="2" t="s">
        <v>115</v>
      </c>
      <c r="AR10" s="2" t="s">
        <v>54</v>
      </c>
      <c r="AS10" s="2" t="s">
        <v>90</v>
      </c>
      <c r="AT10" s="2">
        <v>10032894</v>
      </c>
      <c r="AU10" s="2" t="s">
        <v>18</v>
      </c>
      <c r="AV10" s="24" t="str">
        <f t="shared" si="8"/>
        <v>MESN2133</v>
      </c>
      <c r="AW10" s="2" t="b">
        <v>1</v>
      </c>
      <c r="AX10" s="2" t="s">
        <v>116</v>
      </c>
      <c r="AY10" s="2" t="s">
        <v>32</v>
      </c>
      <c r="AZ10" s="2" t="s">
        <v>113</v>
      </c>
      <c r="BA10" s="8">
        <v>500</v>
      </c>
      <c r="BB10" s="2" t="s">
        <v>12</v>
      </c>
      <c r="BC10" s="2" t="s">
        <v>80</v>
      </c>
      <c r="BD10" s="13" t="s">
        <v>38</v>
      </c>
      <c r="BE10" s="16">
        <f t="shared" si="6"/>
        <v>8632912362147</v>
      </c>
      <c r="BF10" s="14" t="str">
        <f t="shared" si="7"/>
        <v>windowId=1; tag=TD; innerText=8632912362147; parentTag=TR</v>
      </c>
    </row>
    <row r="11" ht="15" customHeight="1" s="10" customFormat="1">
      <c r="A11" s="15">
        <v>10</v>
      </c>
      <c r="B11" s="15" t="s">
        <v>83</v>
      </c>
      <c r="C11" s="20" t="s">
        <v>58</v>
      </c>
      <c r="D11" s="7" t="s">
        <v>2</v>
      </c>
      <c r="E11" s="7" t="s">
        <v>45</v>
      </c>
      <c r="F11" s="7" t="s">
        <v>3</v>
      </c>
      <c r="G11" s="1">
        <v>159</v>
      </c>
      <c r="H11" s="2" t="s">
        <v>59</v>
      </c>
      <c r="I11" s="2" t="s">
        <v>40</v>
      </c>
      <c r="J11" s="2" t="s">
        <v>60</v>
      </c>
      <c r="K11" s="2" t="s">
        <v>59</v>
      </c>
      <c r="L11" s="2">
        <v>10</v>
      </c>
      <c r="M11" s="2">
        <v>5</v>
      </c>
      <c r="N11" s="17" t="s">
        <v>85</v>
      </c>
      <c r="O11" s="2" t="s">
        <v>70</v>
      </c>
      <c r="P11" s="2" t="s">
        <v>111</v>
      </c>
      <c r="Q11" s="2" t="s">
        <v>111</v>
      </c>
      <c r="R11" s="2" t="s">
        <v>70</v>
      </c>
      <c r="S11" s="2" t="s">
        <v>25</v>
      </c>
      <c r="T11" s="2" t="s">
        <v>63</v>
      </c>
      <c r="U11" s="3" t="str">
        <f t="shared" si="2"/>
        <v>Generic_3 3KG</v>
      </c>
      <c r="V11" s="3" t="str">
        <f t="shared" si="2"/>
        <v>Generic_3 3KG</v>
      </c>
      <c r="W11" s="3" t="str">
        <f t="shared" si="2"/>
        <v>Generic_3 3KG</v>
      </c>
      <c r="X11" s="3" t="str">
        <f t="shared" si="2"/>
        <v>Generic_3 3KG</v>
      </c>
      <c r="Y11" s="2" t="s">
        <v>63</v>
      </c>
      <c r="Z11" s="2" t="s">
        <v>27</v>
      </c>
      <c r="AA11" s="3" t="str">
        <f t="shared" si="3"/>
        <v>Generic_3 3KG</v>
      </c>
      <c r="AB11" s="3" t="str">
        <f t="shared" si="4"/>
        <v>Generic_3 3KG</v>
      </c>
      <c r="AC11" s="3" t="str">
        <f t="shared" si="4"/>
        <v>Generic_3 3KG</v>
      </c>
      <c r="AD11" s="3" t="str">
        <f t="shared" si="4"/>
        <v>Generic_3 3KG</v>
      </c>
      <c r="AE11" s="3" t="str">
        <f t="shared" si="4"/>
        <v>Generic_3 3KG</v>
      </c>
      <c r="AF11" s="3" t="str">
        <f t="shared" si="5"/>
        <v>Generic_3 3KG</v>
      </c>
      <c r="AG11" s="2" t="s">
        <v>37</v>
      </c>
      <c r="AH11" s="2" t="s">
        <v>37</v>
      </c>
      <c r="AI11" s="2" t="s">
        <v>37</v>
      </c>
      <c r="AJ11" s="2" t="s">
        <v>37</v>
      </c>
      <c r="AK11" s="19" t="s">
        <v>75</v>
      </c>
      <c r="AL11" s="23">
        <v>8632912362154</v>
      </c>
      <c r="AM11" s="18" t="s">
        <v>17</v>
      </c>
      <c r="AN11" s="18" t="s">
        <v>17</v>
      </c>
      <c r="AO11" s="2" t="s">
        <v>70</v>
      </c>
      <c r="AP11" s="2" t="s">
        <v>115</v>
      </c>
      <c r="AQ11" s="2" t="s">
        <v>115</v>
      </c>
      <c r="AR11" s="2" t="s">
        <v>54</v>
      </c>
      <c r="AS11" s="2" t="s">
        <v>90</v>
      </c>
      <c r="AT11" s="2">
        <v>10032894</v>
      </c>
      <c r="AU11" s="2" t="s">
        <v>18</v>
      </c>
      <c r="AV11" s="24" t="str">
        <f t="shared" si="8"/>
        <v>MESN2159</v>
      </c>
      <c r="AW11" s="2" t="b">
        <v>1</v>
      </c>
      <c r="AX11" s="2" t="s">
        <v>116</v>
      </c>
      <c r="AY11" s="2" t="s">
        <v>32</v>
      </c>
      <c r="AZ11" s="2" t="s">
        <v>113</v>
      </c>
      <c r="BA11" s="8">
        <v>500</v>
      </c>
      <c r="BB11" s="2" t="s">
        <v>12</v>
      </c>
      <c r="BC11" s="2" t="s">
        <v>80</v>
      </c>
      <c r="BD11" s="13" t="s">
        <v>38</v>
      </c>
      <c r="BE11" s="16">
        <f t="shared" si="6"/>
        <v>8632912362154</v>
      </c>
      <c r="BF11" s="14" t="str">
        <f t="shared" si="7"/>
        <v>windowId=1; tag=TD; innerText=8632912362154; parentTag=TR</v>
      </c>
    </row>
    <row r="12" ht="15" customHeight="1" s="10" customFormat="1">
      <c r="A12" s="15">
        <v>11</v>
      </c>
      <c r="B12" s="15" t="s">
        <v>1</v>
      </c>
      <c r="C12" s="20" t="s">
        <v>58</v>
      </c>
      <c r="D12" s="7" t="s">
        <v>2</v>
      </c>
      <c r="E12" s="7" t="s">
        <v>45</v>
      </c>
      <c r="F12" s="7" t="s">
        <v>3</v>
      </c>
      <c r="G12" s="1">
        <v>193</v>
      </c>
      <c r="H12" s="2" t="s">
        <v>59</v>
      </c>
      <c r="I12" s="2" t="s">
        <v>68</v>
      </c>
      <c r="J12" s="2" t="s">
        <v>60</v>
      </c>
      <c r="K12" s="2" t="s">
        <v>59</v>
      </c>
      <c r="L12" s="6">
        <v>365</v>
      </c>
      <c r="M12" s="6">
        <v>270</v>
      </c>
      <c r="N12" s="17">
        <v>2</v>
      </c>
      <c r="O12" s="2" t="s">
        <v>61</v>
      </c>
      <c r="P12" s="2" t="s">
        <v>111</v>
      </c>
      <c r="Q12" s="2" t="s">
        <v>111</v>
      </c>
      <c r="R12" s="2" t="s">
        <v>9</v>
      </c>
      <c r="S12" s="2" t="s">
        <v>25</v>
      </c>
      <c r="T12" s="2" t="s">
        <v>102</v>
      </c>
      <c r="U12" s="3" t="str">
        <f t="shared" si="2"/>
        <v>Sticker Article</v>
      </c>
      <c r="V12" s="3" t="str">
        <f t="shared" si="2"/>
        <v>Sticker Article</v>
      </c>
      <c r="W12" s="3" t="str">
        <f t="shared" si="2"/>
        <v>Sticker Article</v>
      </c>
      <c r="X12" s="3" t="str">
        <f t="shared" si="2"/>
        <v>Sticker Article</v>
      </c>
      <c r="Y12" s="2" t="s">
        <v>36</v>
      </c>
      <c r="Z12" s="2" t="s">
        <v>27</v>
      </c>
      <c r="AA12" s="3" t="str">
        <f t="shared" si="3"/>
        <v>Sticker Article</v>
      </c>
      <c r="AB12" s="3" t="str">
        <f t="shared" si="4"/>
        <v>Sticker Article</v>
      </c>
      <c r="AC12" s="3" t="str">
        <f t="shared" si="4"/>
        <v>Sticker Article</v>
      </c>
      <c r="AD12" s="3" t="str">
        <f t="shared" si="4"/>
        <v>Sticker Article</v>
      </c>
      <c r="AE12" s="3" t="str">
        <f t="shared" si="4"/>
        <v>Sticker Article</v>
      </c>
      <c r="AF12" s="3" t="str">
        <f t="shared" si="5"/>
        <v>Sticker Art</v>
      </c>
      <c r="AG12" s="2" t="s">
        <v>37</v>
      </c>
      <c r="AH12" s="2" t="s">
        <v>37</v>
      </c>
      <c r="AI12" s="2" t="s">
        <v>37</v>
      </c>
      <c r="AJ12" s="2" t="s">
        <v>37</v>
      </c>
      <c r="AK12" s="19" t="s">
        <v>75</v>
      </c>
      <c r="AL12" s="23">
        <v>8632912362161</v>
      </c>
      <c r="AM12" s="2" t="s">
        <v>16</v>
      </c>
      <c r="AN12" s="2" t="s">
        <v>16</v>
      </c>
      <c r="AO12" s="2" t="s">
        <v>70</v>
      </c>
      <c r="AP12" s="2" t="s">
        <v>115</v>
      </c>
      <c r="AQ12" s="2" t="s">
        <v>115</v>
      </c>
      <c r="AR12" s="2" t="s">
        <v>54</v>
      </c>
      <c r="AS12" s="2" t="s">
        <v>90</v>
      </c>
      <c r="AT12" s="2">
        <v>10031028</v>
      </c>
      <c r="AU12" s="2" t="s">
        <v>18</v>
      </c>
      <c r="AV12" s="24" t="str">
        <f>CONCATENATE("ASIM0",G12)</f>
        <v>ASIM0193</v>
      </c>
      <c r="AW12" s="2" t="b">
        <v>1</v>
      </c>
      <c r="AX12" s="2" t="s">
        <v>116</v>
      </c>
      <c r="AY12" s="2" t="s">
        <v>95</v>
      </c>
      <c r="AZ12" s="2" t="s">
        <v>113</v>
      </c>
      <c r="BA12" s="2" t="s">
        <v>11</v>
      </c>
      <c r="BB12" s="2" t="s">
        <v>12</v>
      </c>
      <c r="BC12" s="2" t="s">
        <v>80</v>
      </c>
      <c r="BD12" s="13" t="s">
        <v>38</v>
      </c>
      <c r="BE12" s="16">
        <f t="shared" si="6"/>
        <v>8632912362161</v>
      </c>
      <c r="BF12" s="14" t="str">
        <f t="shared" si="7"/>
        <v>windowId=1; tag=TD; innerText=8632912362161; parentTag=TR</v>
      </c>
    </row>
    <row r="13" ht="15" customHeight="1" s="10" customFormat="1">
      <c r="A13" s="15">
        <v>12</v>
      </c>
      <c r="B13" s="15" t="s">
        <v>78</v>
      </c>
      <c r="C13" s="20" t="s">
        <v>58</v>
      </c>
      <c r="D13" s="7" t="s">
        <v>2</v>
      </c>
      <c r="E13" s="7" t="s">
        <v>46</v>
      </c>
      <c r="F13" s="7" t="s">
        <v>3</v>
      </c>
      <c r="G13" s="1">
        <v>332</v>
      </c>
      <c r="H13" s="2" t="s">
        <v>59</v>
      </c>
      <c r="I13" s="2" t="s">
        <v>68</v>
      </c>
      <c r="J13" s="2" t="s">
        <v>60</v>
      </c>
      <c r="K13" s="2" t="s">
        <v>59</v>
      </c>
      <c r="L13" s="5">
        <v>10</v>
      </c>
      <c r="M13" s="5">
        <v>5</v>
      </c>
      <c r="N13" s="17" t="s">
        <v>85</v>
      </c>
      <c r="O13" s="2" t="s">
        <v>70</v>
      </c>
      <c r="P13" s="2" t="s">
        <v>111</v>
      </c>
      <c r="Q13" s="2" t="s">
        <v>111</v>
      </c>
      <c r="R13" s="2" t="s">
        <v>70</v>
      </c>
      <c r="S13" s="2" t="s">
        <v>25</v>
      </c>
      <c r="T13" s="2" t="s">
        <v>52</v>
      </c>
      <c r="U13" s="3" t="str">
        <f t="shared" si="2"/>
        <v>Carrots 0,5KG</v>
      </c>
      <c r="V13" s="3" t="str">
        <f t="shared" si="2"/>
        <v>Carrots 0,5KG</v>
      </c>
      <c r="W13" s="3" t="str">
        <f t="shared" si="2"/>
        <v>Carrots 0,5KG</v>
      </c>
      <c r="X13" s="3" t="str">
        <f t="shared" si="2"/>
        <v>Carrots 0,5KG</v>
      </c>
      <c r="Y13" s="2" t="s">
        <v>52</v>
      </c>
      <c r="Z13" s="2" t="s">
        <v>27</v>
      </c>
      <c r="AA13" s="3" t="str">
        <f t="shared" si="3"/>
        <v>Carrots 0,5KG</v>
      </c>
      <c r="AB13" s="3" t="str">
        <f t="shared" si="4"/>
        <v>Carrots 0,5KG</v>
      </c>
      <c r="AC13" s="3" t="str">
        <f t="shared" si="4"/>
        <v>Carrots 0,5KG</v>
      </c>
      <c r="AD13" s="3" t="str">
        <f t="shared" si="4"/>
        <v>Carrots 0,5KG</v>
      </c>
      <c r="AE13" s="3" t="str">
        <f t="shared" si="4"/>
        <v>Carrots 0,5KG</v>
      </c>
      <c r="AF13" s="3" t="str">
        <f t="shared" si="5"/>
        <v>Carrots 0,5KG</v>
      </c>
      <c r="AG13" s="2" t="s">
        <v>37</v>
      </c>
      <c r="AH13" s="2" t="s">
        <v>37</v>
      </c>
      <c r="AI13" s="2" t="s">
        <v>37</v>
      </c>
      <c r="AJ13" s="2" t="s">
        <v>37</v>
      </c>
      <c r="AK13" s="19" t="s">
        <v>75</v>
      </c>
      <c r="AL13" s="9">
        <v>8632912362178</v>
      </c>
      <c r="AM13" s="8">
        <v>0.5</v>
      </c>
      <c r="AN13" s="8">
        <v>0.5</v>
      </c>
      <c r="AO13" s="2" t="s">
        <v>70</v>
      </c>
      <c r="AP13" s="2" t="s">
        <v>115</v>
      </c>
      <c r="AQ13" s="2" t="s">
        <v>115</v>
      </c>
      <c r="AR13" s="2" t="s">
        <v>54</v>
      </c>
      <c r="AS13" s="2" t="s">
        <v>90</v>
      </c>
      <c r="AT13" s="2">
        <v>10031028</v>
      </c>
      <c r="AU13" s="2" t="s">
        <v>18</v>
      </c>
      <c r="AV13" s="24" t="str">
        <f>CONCATENATE("MESN7",G13)</f>
        <v>MESN7332</v>
      </c>
      <c r="AW13" s="2" t="b">
        <v>1</v>
      </c>
      <c r="AX13" s="2" t="s">
        <v>116</v>
      </c>
      <c r="AY13" s="2" t="s">
        <v>32</v>
      </c>
      <c r="AZ13" s="2" t="s">
        <v>113</v>
      </c>
      <c r="BA13" s="8">
        <v>500</v>
      </c>
      <c r="BB13" s="2" t="s">
        <v>12</v>
      </c>
      <c r="BC13" s="2" t="s">
        <v>80</v>
      </c>
      <c r="BD13" s="13" t="s">
        <v>38</v>
      </c>
      <c r="BE13" s="16">
        <f t="shared" si="6"/>
        <v>8632912362178</v>
      </c>
      <c r="BF13" s="14" t="str">
        <f t="shared" si="7"/>
        <v>windowId=1; tag=TD; innerText=8632912362178; parentTag=TR</v>
      </c>
    </row>
    <row r="14" s="10" customForma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9">
        <v>5940530000710</v>
      </c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2"/>
    </row>
    <row r="15" s="10" customForma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2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2"/>
    </row>
    <row r="16" s="10" customForma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25" t="s">
        <v>3</v>
      </c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2"/>
    </row>
    <row r="17" s="10" customForma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2"/>
    </row>
    <row r="18" s="10" customForma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9">
        <v>8606107442020</v>
      </c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2"/>
    </row>
    <row r="19" s="10" customForma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9">
        <v>5940998710190</v>
      </c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2"/>
    </row>
    <row r="20" s="10" customForma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26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2"/>
    </row>
    <row r="21" s="10" customForma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26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2"/>
    </row>
    <row r="22" s="10" customForma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26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2"/>
    </row>
    <row r="23" s="10" customForma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26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2"/>
    </row>
  </sheetData>
  <hyperlinks>
    <hyperlink ref="C4" r:id="rId1" display="https://articlemd-preprod.delhaize.be/E/Article"/>
    <hyperlink ref="C5:C13" r:id="rId2" display="https://articlemd-preprod.delhaize.be/E/Article"/>
  </hyperlinks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A13"/>
  <sheetViews>
    <sheetView workbookViewId="0">
      <selection activeCell="A2" sqref="A2"/>
    </sheetView>
  </sheetViews>
  <sheetFormatPr defaultColWidth="9.125" defaultRowHeight="14.25"/>
  <cols>
    <col min="1" max="16384" width="9.125" style="10" customWidth="1"/>
  </cols>
  <sheetData>
    <row r="1" ht="12.75" customHeight="1" customFormat="1">
      <c r="A1" t="s">
        <v>39</v>
      </c>
    </row>
    <row r="2">
      <c r="A2" s="12"/>
    </row>
    <row r="3">
      <c r="A3" s="12"/>
    </row>
    <row r="4">
      <c r="A4" s="12" t="s">
        <v>92</v>
      </c>
    </row>
    <row r="5">
      <c r="A5" s="12"/>
    </row>
    <row r="6">
      <c r="A6" s="12" t="s">
        <v>92</v>
      </c>
    </row>
    <row r="7">
      <c r="A7" s="12" t="s">
        <v>92</v>
      </c>
    </row>
    <row r="8">
      <c r="A8" s="12" t="s">
        <v>92</v>
      </c>
    </row>
    <row r="9">
      <c r="A9" s="12" t="s">
        <v>92</v>
      </c>
    </row>
    <row r="10">
      <c r="A10" s="12" t="s">
        <v>92</v>
      </c>
    </row>
    <row r="11">
      <c r="A11" s="12" t="s">
        <v>92</v>
      </c>
    </row>
    <row r="12">
      <c r="A12" s="12" t="s">
        <v>92</v>
      </c>
    </row>
    <row r="13">
      <c r="A13" s="12" t="s">
        <v>92</v>
      </c>
    </row>
  </sheetData>
  <printOptions gridLines="1"/>
  <pageMargins left="0.75" right="0.75" top="1" bottom="1" header="0.5" footer="0.5"/>
  <pageSetup paperSize="9"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5.1"/>
  <cols>
    <col min="1" max="16384" width="9.078125" style="4" customWidth="1"/>
  </cols>
  <sheetData>
    <row r="1" customFormat="1"/>
  </sheetData>
  <pageMargins left="0.7" right="0.7" top="0.75" bottom="0.75" header="0.3" footer="0.3"/>
</worksheet>
</file>