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PRE_01_06Export custom_TASE" sheetId="3" r:id="rId3"/>
    <sheet name="DataTransfer_1" sheetId="4" r:id="rId4"/>
    <sheet name="TC2_06Interco flow without site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<sst xmlns="http://schemas.openxmlformats.org/spreadsheetml/2006/main" uniqueCount="123">
  <si>
    <t/>
  </si>
  <si>
    <t>DT_SAPTRANSACTIONCODE</t>
  </si>
  <si>
    <t>DT_VL02N_1104_TABLECELL_PICKED_QTY_1</t>
  </si>
  <si>
    <t>DT_VL02N_0100_COMPANY_CODE</t>
  </si>
  <si>
    <t>DT_VL02N_0750_CHECK_GETCELLVALUE_OF_GRIDCELL_1_ZUONR</t>
  </si>
  <si>
    <t>DT_VL02N_0750_CHECK_GETCELLVALUE_OF_GRIDCELL_0_KOSTL</t>
  </si>
  <si>
    <t>DT_VL02N_0750_CHECK_GETCELLVALUE_OF_GRIDCELL_0_HKONT</t>
  </si>
  <si>
    <t>DT_VL02N_0100_OKCD</t>
  </si>
  <si>
    <t>DT_VL02N_0750_CHECK_GETCELLVALUE_OF_GRIDCELL_0_MWSKZ</t>
  </si>
  <si>
    <t>DT_VL02N_0750_CHECK_GETCELLVALUE_OF_GRIDCELL_1_VBUND</t>
  </si>
  <si>
    <t>DT_VL02N_0750_CHECK_GETCELLVALUE_OF_GRIDCELL_1_FILKD</t>
  </si>
  <si>
    <t>DT_VL02N_1710_CHECK_TEXT_OF_DOCUMENT_TYPE</t>
  </si>
  <si>
    <t>Data Coming from another test</t>
  </si>
  <si>
    <t>DT_VL02N_0102_CHECK_TEXT_OF_TABLECELL_DOCUMENT_0</t>
  </si>
  <si>
    <t>DT_VL02N_0100_FISCAL_YEAR</t>
  </si>
  <si>
    <t>Branch account</t>
  </si>
  <si>
    <t>DT_VL02N_0841_SEARCH_TERM_OCC1</t>
  </si>
  <si>
    <t>DT_VL02N_0750_CHECK_GETCELLVALUE_OF_GRIDCELL_2_PRCTR</t>
  </si>
  <si>
    <t>Scenario</t>
  </si>
  <si>
    <t>Output Data</t>
  </si>
  <si>
    <t>AUTOFDLL</t>
  </si>
  <si>
    <t>3</t>
  </si>
  <si>
    <t>%blank%</t>
  </si>
  <si>
    <t>Formulas</t>
  </si>
  <si>
    <t>200</t>
  </si>
  <si>
    <t>DT_VL02N_1104_TABLECELL_PICKED_QTY_2</t>
  </si>
  <si>
    <t>ON</t>
  </si>
  <si>
    <t>DT_DOC_NO</t>
  </si>
  <si>
    <t>0000006136</t>
  </si>
  <si>
    <t>Trading Partner</t>
  </si>
  <si>
    <t>01</t>
  </si>
  <si>
    <t>DT_VL02N_0750_CHECK_GETCELLVALUE_OF_GRIDCELL_1_KTONR</t>
  </si>
  <si>
    <t>DT_VL02N_0750_CHECK_GETCELLVALUE_OF_GRIDCELL_2_MWSKZ</t>
  </si>
  <si>
    <t>DT_VL02N_0750_CHECK_GETCELLVALUE_OF_GRIDCELL_1_GSBER</t>
  </si>
  <si>
    <t>DT_VL02N_0750_CHECK_GETCELLVALUE_OF_GRIDCELL_2_KOSTL</t>
  </si>
  <si>
    <t>DT_VL02N_0750_CHECK_GETCELLVALUE_OF_GRIDCELL_2_HKONT</t>
  </si>
  <si>
    <t>800</t>
  </si>
  <si>
    <t>DT_SAPSYSTEM</t>
  </si>
  <si>
    <t>5559b8f479d3f367c2b4b0bd</t>
  </si>
  <si>
    <t>559b7a99b6045d3d980a37d43ec480121e26112488b2</t>
  </si>
  <si>
    <t>VL02N</t>
  </si>
  <si>
    <t>/nvf01</t>
  </si>
  <si>
    <t>BE10</t>
  </si>
  <si>
    <t>DT_VL02N_0750_CHECK_GETCELLVALUE_OF_GRIDCELL_0_BSCHL</t>
  </si>
  <si>
    <t>today</t>
  </si>
  <si>
    <t>Input Data</t>
  </si>
  <si>
    <t>DT_SAPLANGUAGE</t>
  </si>
  <si>
    <t>DT_SAPOPTIONS</t>
  </si>
  <si>
    <t>DT_EXPECTEDTRANSACTIONCODE_OCC1</t>
  </si>
  <si>
    <t>DT_VL02N_0841_SEARCH_TERM_OCC2</t>
  </si>
  <si>
    <t>DT_VL02N_0750_CHECK_GETCELLVALUE_OF_GRIDCELL_0_ZUONR</t>
  </si>
  <si>
    <t>4A</t>
  </si>
  <si>
    <t>A001</t>
  </si>
  <si>
    <t>Row</t>
  </si>
  <si>
    <t>VF03</t>
  </si>
  <si>
    <t>=Y2</t>
  </si>
  <si>
    <t>30113101</t>
  </si>
  <si>
    <t>DT_VL02N_0750_CHECK_GETCELLVALUE_OF_GRIDCELL_0_VBUND</t>
  </si>
  <si>
    <t>DT_VL02N_0750_CHECK_GETCELLVALUE_OF_GRIDCELL_0_FILKD</t>
  </si>
  <si>
    <t>Verifications</t>
  </si>
  <si>
    <t>Execution Control Data</t>
  </si>
  <si>
    <t>DT_VL02N_0750_CHECK_GETCELLVALUE_OF_GRIDCELL_2_BSCHL</t>
  </si>
  <si>
    <t>DT_VL02N_0750_CHECK_GETCELLVALUE_OF_GRIDCELL_1_PRCTR</t>
  </si>
  <si>
    <t>DT_VL02N_0101_BILLING_DOCUMENT</t>
  </si>
  <si>
    <t>FB03</t>
  </si>
  <si>
    <t>ECG90800</t>
  </si>
  <si>
    <t>DT_VL02N_0750_CHECK_GETCELLVALUE_OF_GRIDCELL_2_ZUONR</t>
  </si>
  <si>
    <t>70043101</t>
  </si>
  <si>
    <t>RV</t>
  </si>
  <si>
    <t>DT_OP_VL02N_0100_CHECK_GETCELLVALUE_OF_GRIDCELL_0_DOCNUM</t>
  </si>
  <si>
    <t>591606</t>
  </si>
  <si>
    <t>AT_06. Interco flow without site - AB - MI - - Export customer</t>
  </si>
  <si>
    <t>MGEORGIA</t>
  </si>
  <si>
    <t>AUTOFICO</t>
  </si>
  <si>
    <t>EN</t>
  </si>
  <si>
    <t>1</t>
  </si>
  <si>
    <t>DT_VL02N_0102_CHECK_TEXT_OF_STATUSBAR</t>
  </si>
  <si>
    <t>DT_EXPECTEDTRANSACTIONCODE_OCC2</t>
  </si>
  <si>
    <t>DT_VL02N_0750_CHECK_GETCELLVALUE_OF_GRIDCELL_0_KTONR</t>
  </si>
  <si>
    <t>K001</t>
  </si>
  <si>
    <t>DT_VL02N_0750_CHECK_GETCELLVALUE_OF_GRIDCELL_1_KOSTL</t>
  </si>
  <si>
    <t>DT_VL02N_0750_CHECK_GETCELLVALUE_OF_GRIDCELL_1_HKONT</t>
  </si>
  <si>
    <t>DT_VL02N_0750_CHECK_GETCELLVALUE_OF_GRIDCELL_2_FILKD</t>
  </si>
  <si>
    <t>DT_EXPECTEDTRANSACTIONCODE</t>
  </si>
  <si>
    <t>Outb. del.(Affiilia) 9148412512 has been saved</t>
  </si>
  <si>
    <t>DT_VL02N_0102_OKCD</t>
  </si>
  <si>
    <t>DT_VL02N_0750_CHECK_GETCELLVALUE_OF_GRIDCELL_1_MWSKZ</t>
  </si>
  <si>
    <t>DT_VL02N_0750_CHECK_GETCELLVALUE_OF_GRIDCELL_0_GSBER</t>
  </si>
  <si>
    <t>DT_VL02N_0750_CHECK_GETCELLVALUE_OF_GRIDCELL_2_VBUND</t>
  </si>
  <si>
    <t>DT_OP_DOC_NO</t>
  </si>
  <si>
    <t>Test</t>
  </si>
  <si>
    <t>DT_VL02N_1104_TABLECELL_PICKED_QTY_0</t>
  </si>
  <si>
    <t>DT_VL02N_4004_OKCD</t>
  </si>
  <si>
    <t>50</t>
  </si>
  <si>
    <t>BS001107</t>
  </si>
  <si>
    <t>R1E - SAP RETAIL Pre-Production EUROPE</t>
  </si>
  <si>
    <t>Fixed Data</t>
  </si>
  <si>
    <t>DT_SAPPASSWORD</t>
  </si>
  <si>
    <t>56337c51819e0dc98371aede9f32615511f6afb03273</t>
  </si>
  <si>
    <t>DT_VL02N_4004_OUTBOUND_DELIVERY</t>
  </si>
  <si>
    <t>DT_VL02N_4004_CHECK_TEXT_OF_STATUSBAR</t>
  </si>
  <si>
    <t>/nvf03</t>
  </si>
  <si>
    <t>DT_VL02N_0100_DOCUMENT_NUMBER</t>
  </si>
  <si>
    <t>Login Information</t>
  </si>
  <si>
    <t>DT_SAPUSER</t>
  </si>
  <si>
    <t>2</t>
  </si>
  <si>
    <t>DT_VL02N_0102_SAPMV60ATCTRL_ERF_FAKT</t>
  </si>
  <si>
    <t>DT_VL02N_0100_CHECK_GETCELLVALUE_OF_GRIDCELL_0_DOCNUM</t>
  </si>
  <si>
    <t>DT_EXPECTEDTRANSACTIONCODE_OCC3</t>
  </si>
  <si>
    <t>DT_VL02N_0841_SEARCH_TERM</t>
  </si>
  <si>
    <t>DT_VL02N_0750_CHECK_GETCELLVALUE_OF_GRIDCELL_2_KTONR</t>
  </si>
  <si>
    <t>DT_VL02N_0750_CHECK_GETCELLVALUE_OF_GRIDCELL_2_GSBER</t>
  </si>
  <si>
    <t>40001011</t>
  </si>
  <si>
    <t>DT_SAPCLIENT</t>
  </si>
  <si>
    <t>VF01</t>
  </si>
  <si>
    <t>True</t>
  </si>
  <si>
    <t>/nfb03</t>
  </si>
  <si>
    <t>=Y4</t>
  </si>
  <si>
    <t>G/L Account</t>
  </si>
  <si>
    <t>DT_VL02N_0750_CHECK_GETCELLVALUE_OF_GRIDCELL_1_BSCHL</t>
  </si>
  <si>
    <t>G001</t>
  </si>
  <si>
    <t>DT_VL02N_0750_CHECK_GETCELLVALUE_OF_GRIDCELL_0_PRCTR</t>
  </si>
  <si>
    <t>11611011</t>
  </si>
</sst>
</file>

<file path=xl/styles.xml><?xml version="1.0" encoding="utf-8"?>
<styleSheet xmlns="http://schemas.openxmlformats.org/spreadsheetml/2006/main">
  <numFmts count="1">
    <numFmt numFmtId="164" formatCode="yyyymmdd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8.8"/>
      <color rgb="FF000000"/>
      <name val="Arial"/>
      <family val="2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1" fillId="0" borderId="0" xfId="0" applyBorder="1" applyProtection="1">
      <protection locked="0"/>
    </xf>
    <xf numFmtId="0" fontId="4" fillId="3" borderId="1" xfId="0" applyFont="1" applyFill="1" applyBorder="1" applyProtection="1">
      <protection locked="0"/>
    </xf>
    <xf numFmtId="49" fontId="1" fillId="3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4" fillId="3" borderId="1" xfId="0" quotePrefix="1" applyNumberFormat="1" applyFont="1" applyFill="1" applyBorder="1" applyProtection="1">
      <protection locked="0"/>
    </xf>
    <xf numFmtId="0" fontId="1" fillId="0" borderId="1" xfId="0" quotePrefix="1" applyBorder="1" applyProtection="1">
      <protection locked="0"/>
    </xf>
    <xf numFmtId="0" fontId="1" fillId="0" borderId="2" xfId="0" quotePrefix="1" applyBorder="1" applyProtection="1">
      <protection locked="0"/>
    </xf>
    <xf numFmtId="0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LL\RETAIL\TASE_DT_06.%20Interco%20flow%20without%20site%20-%20AB%20-%20MI%20--Export%20customer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L16"/>
  <sheetViews>
    <sheetView topLeftCell="AN1" workbookViewId="0">
      <selection activeCell="AN2" sqref="AN2"/>
    </sheetView>
  </sheetViews>
  <sheetFormatPr defaultColWidth="9.125" defaultRowHeight="14.25"/>
  <cols>
    <col min="1" max="1" width="9.125" style="14" customWidth="1"/>
    <col min="2" max="2" width="62" style="14" customWidth="1"/>
    <col min="3" max="3" width="38.125" style="14" customWidth="1"/>
    <col min="4" max="4" width="15" style="14" customWidth="1"/>
    <col min="5" max="5" width="13.625" style="14" customWidth="1"/>
    <col min="6" max="6" width="46" style="14" customWidth="1"/>
    <col min="7" max="7" width="18.625" style="14" customWidth="1"/>
    <col min="8" max="8" width="16.75" style="14" customWidth="1"/>
    <col min="9" max="9" width="27.125" style="14" customWidth="1"/>
    <col min="10" max="10" width="33.375" style="14" customWidth="1"/>
    <col min="11" max="11" width="37.25" style="14" customWidth="1"/>
    <col min="12" max="14" width="41.375" style="14" customWidth="1"/>
    <col min="15" max="15" width="44.375" style="14" customWidth="1"/>
    <col min="16" max="16" width="21.375" style="14" customWidth="1"/>
    <col min="17" max="17" width="39.25" style="14" customWidth="1"/>
    <col min="18" max="18" width="57.125" style="14" customWidth="1"/>
    <col min="19" max="19" width="42.625" style="14" customWidth="1"/>
    <col min="20" max="20" width="41.25" style="14" customWidth="1"/>
    <col min="21" max="21" width="44.375" style="14" customWidth="1"/>
    <col min="22" max="22" width="21.375" style="14" customWidth="1"/>
    <col min="23" max="23" width="39.25" style="14" customWidth="1"/>
    <col min="24" max="24" width="35" style="14" customWidth="1"/>
    <col min="25" max="25" width="62.875" style="14" customWidth="1"/>
    <col min="26" max="26" width="21.375" style="14" customWidth="1"/>
    <col min="27" max="27" width="39.25" style="14" customWidth="1"/>
    <col min="28" max="28" width="36.125" style="14" customWidth="1"/>
    <col min="29" max="29" width="31.75" style="14" customWidth="1"/>
    <col min="30" max="30" width="28.75" style="14" customWidth="1"/>
    <col min="31" max="31" width="30.375" style="14" customWidth="1"/>
    <col min="32" max="33" width="36.25" style="14" customWidth="1"/>
    <col min="34" max="36" width="60.75" style="14" customWidth="1"/>
    <col min="37" max="39" width="61.125" style="14" customWidth="1"/>
    <col min="40" max="42" width="61.25" style="14" customWidth="1"/>
    <col min="43" max="45" width="61.375" style="14" customWidth="1"/>
    <col min="46" max="48" width="61.125" style="14" customWidth="1"/>
    <col min="49" max="51" width="60.625" style="14" customWidth="1"/>
    <col min="52" max="57" width="61.125" style="14" customWidth="1"/>
    <col min="58" max="60" width="61.25" style="14" customWidth="1"/>
    <col min="61" max="63" width="59.75" style="14" customWidth="1"/>
    <col min="64" max="64" width="49.625" style="14" customWidth="1"/>
    <col min="65" max="16384" width="9.125" style="14" customWidth="1"/>
  </cols>
  <sheetData>
    <row r="1" ht="12.75" customHeight="1" customFormat="1">
      <c r="A1" t="s">
        <v>53</v>
      </c>
      <c r="B1" t="s">
        <v>18</v>
      </c>
      <c r="C1" t="s">
        <v>37</v>
      </c>
      <c r="D1" t="s">
        <v>113</v>
      </c>
      <c r="E1" t="s">
        <v>104</v>
      </c>
      <c r="F1" t="s">
        <v>97</v>
      </c>
      <c r="G1" t="s">
        <v>46</v>
      </c>
      <c r="H1" t="s">
        <v>47</v>
      </c>
      <c r="I1" t="s">
        <v>1</v>
      </c>
      <c r="J1" t="s">
        <v>83</v>
      </c>
      <c r="K1" t="s">
        <v>99</v>
      </c>
      <c r="L1" t="s">
        <v>91</v>
      </c>
      <c r="M1" t="s">
        <v>2</v>
      </c>
      <c r="N1" t="s">
        <v>25</v>
      </c>
      <c r="O1" t="s">
        <v>100</v>
      </c>
      <c r="P1" t="s">
        <v>92</v>
      </c>
      <c r="Q1" t="s">
        <v>48</v>
      </c>
      <c r="R1" t="s">
        <v>13</v>
      </c>
      <c r="S1" t="s">
        <v>106</v>
      </c>
      <c r="T1" t="s">
        <v>27</v>
      </c>
      <c r="U1" t="s">
        <v>76</v>
      </c>
      <c r="V1" t="s">
        <v>85</v>
      </c>
      <c r="W1" t="s">
        <v>77</v>
      </c>
      <c r="X1" t="s">
        <v>63</v>
      </c>
      <c r="Y1" t="s">
        <v>107</v>
      </c>
      <c r="Z1" t="s">
        <v>7</v>
      </c>
      <c r="AA1" t="s">
        <v>108</v>
      </c>
      <c r="AB1" t="s">
        <v>102</v>
      </c>
      <c r="AC1" t="s">
        <v>3</v>
      </c>
      <c r="AD1" t="s">
        <v>14</v>
      </c>
      <c r="AE1" t="s">
        <v>109</v>
      </c>
      <c r="AF1" t="s">
        <v>16</v>
      </c>
      <c r="AG1" t="s">
        <v>49</v>
      </c>
      <c r="AH1" t="s">
        <v>43</v>
      </c>
      <c r="AI1" t="s">
        <v>119</v>
      </c>
      <c r="AJ1" t="s">
        <v>61</v>
      </c>
      <c r="AK1" t="s">
        <v>78</v>
      </c>
      <c r="AL1" t="s">
        <v>31</v>
      </c>
      <c r="AM1" t="s">
        <v>110</v>
      </c>
      <c r="AN1" t="s">
        <v>50</v>
      </c>
      <c r="AO1" t="s">
        <v>4</v>
      </c>
      <c r="AP1" t="s">
        <v>66</v>
      </c>
      <c r="AQ1" t="s">
        <v>8</v>
      </c>
      <c r="AR1" t="s">
        <v>86</v>
      </c>
      <c r="AS1" t="s">
        <v>32</v>
      </c>
      <c r="AT1" t="s">
        <v>87</v>
      </c>
      <c r="AU1" t="s">
        <v>33</v>
      </c>
      <c r="AV1" t="s">
        <v>111</v>
      </c>
      <c r="AW1" t="s">
        <v>5</v>
      </c>
      <c r="AX1" t="s">
        <v>80</v>
      </c>
      <c r="AY1" t="s">
        <v>34</v>
      </c>
      <c r="AZ1" t="s">
        <v>121</v>
      </c>
      <c r="BA1" t="s">
        <v>62</v>
      </c>
      <c r="BB1" t="s">
        <v>17</v>
      </c>
      <c r="BC1" t="s">
        <v>6</v>
      </c>
      <c r="BD1" t="s">
        <v>81</v>
      </c>
      <c r="BE1" t="s">
        <v>35</v>
      </c>
      <c r="BF1" t="s">
        <v>57</v>
      </c>
      <c r="BG1" t="s">
        <v>9</v>
      </c>
      <c r="BH1" t="s">
        <v>88</v>
      </c>
      <c r="BI1" t="s">
        <v>58</v>
      </c>
      <c r="BJ1" t="s">
        <v>10</v>
      </c>
      <c r="BK1" t="s">
        <v>82</v>
      </c>
      <c r="BL1" t="s">
        <v>11</v>
      </c>
    </row>
    <row r="2">
      <c r="A2" s="1">
        <v>2</v>
      </c>
      <c r="B2" s="1" t="s">
        <v>90</v>
      </c>
      <c r="C2" s="4" t="s">
        <v>95</v>
      </c>
      <c r="D2" s="4" t="s">
        <v>24</v>
      </c>
      <c r="E2" s="4" t="s">
        <v>72</v>
      </c>
      <c r="F2" s="4" t="s">
        <v>38</v>
      </c>
      <c r="G2" s="5" t="s">
        <v>74</v>
      </c>
      <c r="H2" s="5" t="s">
        <v>0</v>
      </c>
      <c r="I2" s="5" t="s">
        <v>40</v>
      </c>
      <c r="J2" s="2" t="s">
        <v>40</v>
      </c>
      <c r="K2" s="15">
        <v>9200131887</v>
      </c>
      <c r="L2" s="3" t="s">
        <v>75</v>
      </c>
      <c r="M2" s="3" t="s">
        <v>105</v>
      </c>
      <c r="N2" s="3" t="s">
        <v>21</v>
      </c>
      <c r="O2" s="2" t="e">
        <f>CONCATENATE("Outb. del.(Affiilia) ",#REF!," has been saved")</f>
        <v>#REF!</v>
      </c>
      <c r="P2" s="3" t="s">
        <v>41</v>
      </c>
      <c r="Q2" s="2" t="s">
        <v>114</v>
      </c>
      <c r="R2" s="2" t="e">
        <f>#REF!</f>
        <v>#REF!</v>
      </c>
      <c r="S2" s="5" t="s">
        <v>115</v>
      </c>
      <c r="T2" s="7">
        <v>9000206639</v>
      </c>
      <c r="U2" s="2" t="str">
        <f>CONCATENATE("Document ",T2," has been saved")</f>
        <v>Document 9000206639 has been saved</v>
      </c>
      <c r="V2" s="3" t="s">
        <v>101</v>
      </c>
      <c r="W2" s="2" t="s">
        <v>54</v>
      </c>
      <c r="X2" s="3">
        <f>T2</f>
        <v>9000206639</v>
      </c>
      <c r="Y2" s="5" t="s">
        <v>28</v>
      </c>
      <c r="Z2" s="3" t="s">
        <v>116</v>
      </c>
      <c r="AA2" s="2" t="s">
        <v>64</v>
      </c>
      <c r="AB2" s="16" t="s">
        <v>55</v>
      </c>
      <c r="AC2" s="3" t="s">
        <v>42</v>
      </c>
      <c r="AD2" s="10">
        <f ca="1">YEAR(TODAY())</f>
        <v>2025</v>
      </c>
      <c r="AE2" s="3" t="s">
        <v>118</v>
      </c>
      <c r="AF2" s="3" t="s">
        <v>29</v>
      </c>
      <c r="AG2" s="3" t="s">
        <v>15</v>
      </c>
      <c r="AH2" s="2" t="s">
        <v>30</v>
      </c>
      <c r="AI2" s="2" t="s">
        <v>93</v>
      </c>
      <c r="AJ2" s="2" t="s">
        <v>93</v>
      </c>
      <c r="AK2" s="2" t="s">
        <v>65</v>
      </c>
      <c r="AL2" s="2" t="s">
        <v>56</v>
      </c>
      <c r="AM2" s="2" t="s">
        <v>56</v>
      </c>
      <c r="AN2" s="2">
        <f>T2</f>
        <v>9000206639</v>
      </c>
      <c r="AO2" s="6">
        <f ca="1" t="shared" si="0" ref="AO2:AP2">TODAY()</f>
        <v>45832</v>
      </c>
      <c r="AP2" s="6">
        <f ca="1" t="shared" si="0"/>
        <v>45832</v>
      </c>
      <c r="AQ2" s="2" t="s">
        <v>51</v>
      </c>
      <c r="AR2" s="2" t="s">
        <v>51</v>
      </c>
      <c r="AS2" s="2" t="s">
        <v>51</v>
      </c>
      <c r="AT2" s="2" t="s">
        <v>52</v>
      </c>
      <c r="AU2" s="2" t="s">
        <v>120</v>
      </c>
      <c r="AV2" s="2" t="s">
        <v>79</v>
      </c>
      <c r="AW2" s="2" t="s">
        <v>94</v>
      </c>
      <c r="AX2" s="2" t="s">
        <v>94</v>
      </c>
      <c r="AY2" s="2" t="s">
        <v>94</v>
      </c>
      <c r="AZ2" s="2" t="s">
        <v>94</v>
      </c>
      <c r="BA2" s="2" t="s">
        <v>94</v>
      </c>
      <c r="BB2" s="2" t="s">
        <v>94</v>
      </c>
      <c r="BC2" s="2" t="s">
        <v>122</v>
      </c>
      <c r="BD2" s="2" t="s">
        <v>56</v>
      </c>
      <c r="BE2" s="2" t="s">
        <v>56</v>
      </c>
      <c r="BF2" s="2" t="s">
        <v>36</v>
      </c>
      <c r="BG2" s="2" t="s">
        <v>36</v>
      </c>
      <c r="BH2" s="2" t="s">
        <v>36</v>
      </c>
      <c r="BI2" s="2" t="s">
        <v>22</v>
      </c>
      <c r="BJ2" s="2" t="s">
        <v>22</v>
      </c>
      <c r="BK2" s="2" t="s">
        <v>22</v>
      </c>
      <c r="BL2" s="12" t="s">
        <v>68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8"/>
    </row>
    <row r="4">
      <c r="A4" s="1">
        <v>4</v>
      </c>
      <c r="B4" s="1" t="s">
        <v>71</v>
      </c>
      <c r="C4" s="4" t="s">
        <v>95</v>
      </c>
      <c r="D4" s="4" t="s">
        <v>24</v>
      </c>
      <c r="E4" s="4" t="s">
        <v>20</v>
      </c>
      <c r="F4" s="4" t="s">
        <v>98</v>
      </c>
      <c r="G4" s="5" t="s">
        <v>74</v>
      </c>
      <c r="H4" s="5" t="s">
        <v>0</v>
      </c>
      <c r="I4" s="5" t="s">
        <v>40</v>
      </c>
      <c r="J4" s="2" t="s">
        <v>40</v>
      </c>
      <c r="K4" s="20">
        <v>9208843787</v>
      </c>
      <c r="L4" s="3" t="s">
        <v>75</v>
      </c>
      <c r="M4" s="3" t="s">
        <v>105</v>
      </c>
      <c r="N4" s="3" t="s">
        <v>21</v>
      </c>
      <c r="O4" s="2" t="str">
        <f>CONCATENATE("Outb. del.(Affiilia) ",K4," has been saved")</f>
        <v>Outb. del.(Affiilia) 9208843787 has been saved</v>
      </c>
      <c r="P4" s="3" t="s">
        <v>41</v>
      </c>
      <c r="Q4" s="2" t="s">
        <v>114</v>
      </c>
      <c r="R4" s="2">
        <f>K4</f>
        <v>9208843787</v>
      </c>
      <c r="S4" s="5" t="s">
        <v>26</v>
      </c>
      <c r="T4" s="7" t="e">
        <f>[1]Output!D4</f>
        <v>#REF!</v>
      </c>
      <c r="U4" s="2" t="e">
        <f>CONCATENATE("Document ",T4," has been saved")</f>
        <v>#REF!</v>
      </c>
      <c r="V4" s="3" t="s">
        <v>101</v>
      </c>
      <c r="W4" s="2" t="s">
        <v>54</v>
      </c>
      <c r="X4" s="3" t="e">
        <f>T4</f>
        <v>#REF!</v>
      </c>
      <c r="Y4" s="23" t="e">
        <f>[1]Output!C4</f>
        <v>#REF!</v>
      </c>
      <c r="Z4" s="3" t="s">
        <v>116</v>
      </c>
      <c r="AA4" s="2" t="s">
        <v>64</v>
      </c>
      <c r="AB4" s="16" t="s">
        <v>117</v>
      </c>
      <c r="AC4" s="3" t="s">
        <v>42</v>
      </c>
      <c r="AD4" s="10">
        <f ca="1">YEAR(TODAY())</f>
        <v>2025</v>
      </c>
      <c r="AE4" s="3" t="s">
        <v>15</v>
      </c>
      <c r="AF4" s="3" t="s">
        <v>118</v>
      </c>
      <c r="AG4" s="3" t="s">
        <v>29</v>
      </c>
      <c r="AH4" s="2" t="s">
        <v>30</v>
      </c>
      <c r="AI4" s="2" t="s">
        <v>93</v>
      </c>
      <c r="AJ4" s="2" t="s">
        <v>93</v>
      </c>
      <c r="AK4" s="2" t="s">
        <v>65</v>
      </c>
      <c r="AL4" s="2" t="s">
        <v>56</v>
      </c>
      <c r="AM4" s="2" t="s">
        <v>56</v>
      </c>
      <c r="AN4" s="2" t="e">
        <f>T4</f>
        <v>#REF!</v>
      </c>
      <c r="AO4" s="18" t="str">
        <f ca="1" t="shared" si="1" ref="AO4:AP4">TEXT(TODAY(),"yyyymmdd")</f>
        <v>20250624</v>
      </c>
      <c r="AP4" s="6" t="str">
        <f ca="1" t="shared" si="1"/>
        <v>20250624</v>
      </c>
      <c r="AQ4" s="2" t="s">
        <v>51</v>
      </c>
      <c r="AR4" s="2" t="s">
        <v>51</v>
      </c>
      <c r="AS4" s="2" t="s">
        <v>51</v>
      </c>
      <c r="AT4" s="2" t="s">
        <v>52</v>
      </c>
      <c r="AU4" s="2" t="s">
        <v>120</v>
      </c>
      <c r="AV4" s="2" t="s">
        <v>79</v>
      </c>
      <c r="AW4" s="2" t="s">
        <v>94</v>
      </c>
      <c r="AX4" s="2" t="s">
        <v>94</v>
      </c>
      <c r="AY4" s="2" t="s">
        <v>94</v>
      </c>
      <c r="AZ4" s="2" t="s">
        <v>94</v>
      </c>
      <c r="BA4" s="2" t="s">
        <v>94</v>
      </c>
      <c r="BB4" s="2" t="s">
        <v>94</v>
      </c>
      <c r="BC4" s="11" t="s">
        <v>112</v>
      </c>
      <c r="BD4" s="11" t="s">
        <v>67</v>
      </c>
      <c r="BE4" s="11" t="s">
        <v>67</v>
      </c>
      <c r="BF4" s="2" t="s">
        <v>36</v>
      </c>
      <c r="BG4" s="2" t="s">
        <v>36</v>
      </c>
      <c r="BH4" s="2">
        <v>800</v>
      </c>
      <c r="BI4" s="2" t="s">
        <v>22</v>
      </c>
      <c r="BJ4" s="2" t="s">
        <v>22</v>
      </c>
      <c r="BK4" s="2" t="s">
        <v>22</v>
      </c>
      <c r="BL4" s="12" t="s">
        <v>68</v>
      </c>
    </row>
    <row r="5">
      <c r="A5" s="1"/>
      <c r="B5" s="1"/>
      <c r="C5" s="1"/>
      <c r="D5" s="1"/>
      <c r="E5" s="4" t="s">
        <v>73</v>
      </c>
      <c r="F5" s="4" t="s">
        <v>39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 t="s">
        <v>44</v>
      </c>
      <c r="AP5" s="1" t="s">
        <v>44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8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8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8"/>
    </row>
    <row r="9">
      <c r="A9" s="1"/>
      <c r="B9" s="1"/>
      <c r="C9" s="4" t="s">
        <v>103</v>
      </c>
      <c r="D9" s="1"/>
      <c r="E9" s="1"/>
      <c r="F9" s="1"/>
      <c r="G9" s="1"/>
      <c r="H9" s="1"/>
      <c r="I9" s="1"/>
      <c r="J9" s="1"/>
      <c r="K9" s="1"/>
      <c r="L9" s="1"/>
      <c r="M9" s="1"/>
      <c r="N9" s="13" t="s">
        <v>84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8"/>
    </row>
    <row r="10">
      <c r="A10" s="1"/>
      <c r="B10" s="1"/>
      <c r="C10" s="3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8"/>
    </row>
    <row r="11">
      <c r="A11" s="1"/>
      <c r="B11" s="1"/>
      <c r="C11" s="17" t="s">
        <v>96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8"/>
    </row>
    <row r="12">
      <c r="A12" s="1"/>
      <c r="B12" s="1"/>
      <c r="C12" s="7" t="s">
        <v>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>
      <c r="A13" s="1"/>
      <c r="B13" s="1"/>
      <c r="C13" s="10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>
      <c r="A14" s="1"/>
      <c r="B14" s="1"/>
      <c r="C14" s="2" t="s">
        <v>59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>
      <c r="A15" s="1"/>
      <c r="B15" s="1"/>
      <c r="C15" s="15" t="s">
        <v>12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>
      <c r="A16" s="1"/>
      <c r="B16" s="1"/>
      <c r="C16" s="19" t="s">
        <v>60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selection activeCell="A2" sqref="A2"/>
    </sheetView>
  </sheetViews>
  <sheetFormatPr defaultColWidth="9.125" defaultRowHeight="14.25"/>
  <cols>
    <col min="1" max="1" width="9.125" style="14" customWidth="1"/>
    <col min="2" max="2" width="50.5" style="14" customWidth="1"/>
    <col min="3" max="3" width="9.125" style="14" customWidth="1"/>
    <col min="4" max="4" width="48" style="14" customWidth="1"/>
    <col min="5" max="16384" width="9.125" style="14" customWidth="1"/>
  </cols>
  <sheetData>
    <row r="1" ht="12.75" customHeight="1" customFormat="1">
      <c r="A1" t="s">
        <v>53</v>
      </c>
      <c r="B1" t="s">
        <v>18</v>
      </c>
      <c r="C1" t="s">
        <v>69</v>
      </c>
      <c r="D1" t="s">
        <v>89</v>
      </c>
      <c r="E1" t="s">
        <v>107</v>
      </c>
    </row>
    <row r="2">
      <c r="A2" s="1"/>
      <c r="B2" s="1"/>
      <c r="C2" s="1"/>
      <c r="D2" s="1"/>
      <c r="E2" s="8"/>
    </row>
    <row r="3">
      <c r="A3" s="1"/>
      <c r="B3" s="1"/>
      <c r="C3" s="1"/>
      <c r="D3" s="1"/>
      <c r="E3" s="8"/>
    </row>
    <row r="4">
      <c r="A4" s="1">
        <v>4</v>
      </c>
      <c r="B4" s="1" t="s">
        <v>71</v>
      </c>
      <c r="C4" s="21">
        <v>99102</v>
      </c>
      <c r="D4" s="13">
        <v>9045302260</v>
      </c>
      <c r="E4" s="22" t="s">
        <v>70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