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 _manual Po in SAP_TASE" sheetId="3" r:id="rId3"/>
    <sheet name="DataTransfer_1" sheetId="4" r:id="rId4"/>
    <sheet name="TC2_Sloc1  goods  pallet_TASE" sheetId="5" r:id="rId5"/>
    <sheet name="TC3_Gold_check in SAP_TASE" sheetId="6" r:id="rId6"/>
    <sheet name="TC4_WMS code R_TASE" sheetId="7" r:id="rId7"/>
    <sheet name="Wait_TASE" sheetId="8" r:id="rId8"/>
    <sheet name="TC5_bloc (WMS code R)_P2_TASE" sheetId="9" r:id="rId9"/>
    <sheet name="TC6 _GET_PALLETE_NO_TASE" sheetId="10" r:id="rId10"/>
  </sheets>
  <externalReferences>
    <externalReference r:id="rId14"/>
  </externalReferences>
  <calcPr calcId="40001"/>
</workbook>
</file>

<file path=xl/sharedStrings.xml><?xml version="1.0" encoding="utf-8"?>
<sst xmlns="http://schemas.openxmlformats.org/spreadsheetml/2006/main" uniqueCount="133">
  <si>
    <t>AUTODLL</t>
  </si>
  <si>
    <t>DT_P_SEND_KEY_C3</t>
  </si>
  <si>
    <t>DT_P_FIELD_ID_VAL_DLV_C28</t>
  </si>
  <si>
    <t>DT_P_FIELD_ID_VAL_QUANTITY_C24</t>
  </si>
  <si>
    <t>1527</t>
  </si>
  <si>
    <t>DT_P_SEND_KEY_C7</t>
  </si>
  <si>
    <t>DT_P_FIELD_NAME_C3</t>
  </si>
  <si>
    <t>DT_P_FIELD_ID_VAL_PO_C11</t>
  </si>
  <si>
    <t>DT_P_FIELD_NAME_C7</t>
  </si>
  <si>
    <t>80</t>
  </si>
  <si>
    <t>DT_P_FIELD_NAME_C41</t>
  </si>
  <si>
    <t>DT_P_KEY_C11</t>
  </si>
  <si>
    <t>Data Coming from another test</t>
  </si>
  <si>
    <t>DT_USERNAME</t>
  </si>
  <si>
    <t>DT_P_FIELD_ID_C2</t>
  </si>
  <si>
    <t>DT_P_KEY_C2</t>
  </si>
  <si>
    <t>887</t>
  </si>
  <si>
    <t>DT_DESC_1</t>
  </si>
  <si>
    <t>DT_P_FIELD_ID_C11</t>
  </si>
  <si>
    <t>Scenario</t>
  </si>
  <si>
    <t>Output Data</t>
  </si>
  <si>
    <t>S:\SAPTAORTL\TE Libraries\GOLD Profiles\WH77X_PREPROD.WS</t>
  </si>
  <si>
    <t>DT_P_FIELD_ID_VAL_CHOICE_C1</t>
  </si>
  <si>
    <t>DT_P_FIELD_ID_VAL_CHOICE_C5</t>
  </si>
  <si>
    <t>DT_P_FIELD_ID_C6</t>
  </si>
  <si>
    <t>DT_P_FIELD_ID_VAL_DLV_C14</t>
  </si>
  <si>
    <t>19/11/2025</t>
  </si>
  <si>
    <t>Formulas</t>
  </si>
  <si>
    <t>DT_P_SEND_KEY_C4</t>
  </si>
  <si>
    <t>Value of field Limite de peremption</t>
  </si>
  <si>
    <t>DT_P_FIELD_ID_VAL_DLV_C29</t>
  </si>
  <si>
    <t>DT_P_FIELD_NAME</t>
  </si>
  <si>
    <t>262</t>
  </si>
  <si>
    <t>742</t>
  </si>
  <si>
    <t>1062</t>
  </si>
  <si>
    <t>DT_P_SEND_KEY_C8</t>
  </si>
  <si>
    <t>1044</t>
  </si>
  <si>
    <t>906</t>
  </si>
  <si>
    <t>DT_P_FIELD_NAME_C4</t>
  </si>
  <si>
    <t>DT_P_SEND_KEY_C10</t>
  </si>
  <si>
    <t>DT_P_KEY_C12</t>
  </si>
  <si>
    <t>CC</t>
  </si>
  <si>
    <t>Input Data</t>
  </si>
  <si>
    <t>DT_P_FIELD_ID_C3</t>
  </si>
  <si>
    <t>368</t>
  </si>
  <si>
    <t>DT_P_FIELD_ID_VAL_QUANTITY_ARTICLE_C13</t>
  </si>
  <si>
    <t>DT_DESC</t>
  </si>
  <si>
    <t>1st Article Quantity</t>
  </si>
  <si>
    <t>DT_P_FIELD_ID_QUANTITY_C21</t>
  </si>
  <si>
    <t>@1</t>
  </si>
  <si>
    <t>DT_P_FIELD_NAME_C71</t>
  </si>
  <si>
    <t>Row</t>
  </si>
  <si>
    <t>DT_P_FIELD_ID_VAL_CHOICE_C2</t>
  </si>
  <si>
    <t>DT_P_FIELD_ID_VAL_CHOICE_C6</t>
  </si>
  <si>
    <t>DT_P_FIELD_ID_C7</t>
  </si>
  <si>
    <t>DT_P_KEY_C3</t>
  </si>
  <si>
    <t>4</t>
  </si>
  <si>
    <t>field1124</t>
  </si>
  <si>
    <t>DT_P_FIELD_ID_VAL_ARTICLE_C15</t>
  </si>
  <si>
    <t>DT_OP_GET_DATE</t>
  </si>
  <si>
    <t>Verifications</t>
  </si>
  <si>
    <t>Execution Control Data</t>
  </si>
  <si>
    <t>@E</t>
  </si>
  <si>
    <t>DT_P_SEND_KEY_C1</t>
  </si>
  <si>
    <t>1550</t>
  </si>
  <si>
    <t>D</t>
  </si>
  <si>
    <t>DT_P_SEND_KEY_C5</t>
  </si>
  <si>
    <t>DT_P_FIELD_NAME_C1</t>
  </si>
  <si>
    <t>Quai</t>
  </si>
  <si>
    <t>1532</t>
  </si>
  <si>
    <t>field1059</t>
  </si>
  <si>
    <t>DT_P_FIELD_ID_VAL_QUANTITY_C26</t>
  </si>
  <si>
    <t>field1139</t>
  </si>
  <si>
    <t>field1044</t>
  </si>
  <si>
    <t>DT_P_SEND_KEY</t>
  </si>
  <si>
    <t>DT_P_FIELD_ID_VAL_PALLET_C8</t>
  </si>
  <si>
    <t>DT_P_SEND_KEY_C9</t>
  </si>
  <si>
    <t>1049</t>
  </si>
  <si>
    <t>DT_P_FIELD_NAME_C9</t>
  </si>
  <si>
    <t>DT_DATE_INCREMENT</t>
  </si>
  <si>
    <t>DT_P_FIELD_NAME_C10</t>
  </si>
  <si>
    <t>64</t>
  </si>
  <si>
    <t>DT_P_FIELD_NAME_C61</t>
  </si>
  <si>
    <t>CD</t>
  </si>
  <si>
    <t>DT_PASSWORD</t>
  </si>
  <si>
    <t>1</t>
  </si>
  <si>
    <t>40101A1</t>
  </si>
  <si>
    <t>DT_P_FIELD_ID_QUANTITY_C22</t>
  </si>
  <si>
    <t>AT_04-06-02-00-01-Goods receipt-Dc Grocery_HBC_Manual reception_non valorized support packaging_move goods to another zone_Broken pallets</t>
  </si>
  <si>
    <t>DT_P_FIELD_ID_VAL_CHOICE_C3</t>
  </si>
  <si>
    <t>DT_P_FIELD_ID_C4</t>
  </si>
  <si>
    <t>DT_P_FIELD_ID_VAL_CHOICE_C7</t>
  </si>
  <si>
    <t>DT_P_KEY_C4</t>
  </si>
  <si>
    <t>DT_P_FIELD_ID_C8</t>
  </si>
  <si>
    <t>DT_P_FIELD_ID_VAL_ARTICLE_C12</t>
  </si>
  <si>
    <t>DT_GET_DATE</t>
  </si>
  <si>
    <t>DT_P_KEY_C8</t>
  </si>
  <si>
    <t>DT_P_SEND_KEY_C91</t>
  </si>
  <si>
    <t>@6</t>
  </si>
  <si>
    <t>Row1</t>
  </si>
  <si>
    <t>AUTODL83</t>
  </si>
  <si>
    <t>1202</t>
  </si>
  <si>
    <t>10</t>
  </si>
  <si>
    <t>DT_P_SEND_KEY_C2</t>
  </si>
  <si>
    <t>25</t>
  </si>
  <si>
    <t>DT_P_SEND_KEY_C6</t>
  </si>
  <si>
    <t>DT_P_FIELD_NAME_C2</t>
  </si>
  <si>
    <t>DT_P_FIELD_ID_VAL_QUAI_C9</t>
  </si>
  <si>
    <t>field1129</t>
  </si>
  <si>
    <t>DT_P_FIELD_ID_VAL_QUANTITY_C27</t>
  </si>
  <si>
    <t>DT_P_FIELD_ID_VAL_QUANTITY_C23</t>
  </si>
  <si>
    <t>field1049</t>
  </si>
  <si>
    <t>Fixed Data</t>
  </si>
  <si>
    <t>DT_ENVIRONMENT</t>
  </si>
  <si>
    <t>DT_P_FIELD_ID_VAL_CHOICE</t>
  </si>
  <si>
    <t>DT_P_FIELD_ID_VAL_PO_C10</t>
  </si>
  <si>
    <t>DT_P_FIELD_NAME_C6</t>
  </si>
  <si>
    <t>25/05/2022</t>
  </si>
  <si>
    <t>DT_P_FIELD_NAME_C11</t>
  </si>
  <si>
    <t>DT_P_KEY_C10</t>
  </si>
  <si>
    <t>Login Information</t>
  </si>
  <si>
    <t>DT_P_KEY</t>
  </si>
  <si>
    <t>DT_P_KEY_C1</t>
  </si>
  <si>
    <t>DT_P_FIELD_ID_C1</t>
  </si>
  <si>
    <t>Option</t>
  </si>
  <si>
    <t>DT_P_FIELD_ID_C10</t>
  </si>
  <si>
    <t>U</t>
  </si>
  <si>
    <t>@3</t>
  </si>
  <si>
    <t>2</t>
  </si>
  <si>
    <t>DT_P_FIELD_ID</t>
  </si>
  <si>
    <t>DT_P_FIELD_ID_VAL_CHOICE_C4</t>
  </si>
  <si>
    <t>DT_P_FIELD_ID_C5</t>
  </si>
  <si>
    <t>DT_P_FIELD_ID_C9</t>
  </si>
</sst>
</file>

<file path=xl/styles.xml><?xml version="1.0" encoding="utf-8"?>
<styleSheet xmlns="http://schemas.openxmlformats.org/spreadsheetml/2006/main">
  <numFmts count="1">
    <numFmt numFmtId="164" formatCode="ddmm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theme="1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Border="1" applyProtection="1">
      <protection locked="0"/>
    </xf>
    <xf numFmtId="0" fontId="1" fillId="2" borderId="1" xfId="0" quotePrefix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4" borderId="1" xfId="0" quotePrefix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3" fillId="2" borderId="1" xfId="0" quotePrefix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1" fillId="4" borderId="1" xfId="0" quotePrefix="1" applyNumberFormat="1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ill="1" applyBorder="1" applyProtection="1">
      <protection locked="0"/>
    </xf>
    <xf numFmtId="164" fontId="1" fillId="3" borderId="2" xfId="0" applyNumberForma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1" fillId="8" borderId="2" xfId="0" applyNumberFormat="1" applyFill="1" applyBorder="1" applyProtection="1">
      <protection locked="0"/>
    </xf>
    <xf numFmtId="164" fontId="3" fillId="2" borderId="1" xfId="0" applyNumberFormat="1" applyFont="1" applyFill="1" applyBorder="1" applyProtection="1">
      <protection locked="0"/>
    </xf>
    <xf numFmtId="14" fontId="1" fillId="0" borderId="2" xfId="0" applyNumberFormat="1" applyBorder="1" applyProtection="1">
      <protection locked="0"/>
    </xf>
    <xf numFmtId="14" fontId="1" fillId="8" borderId="1" xfId="0" applyNumberForma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0" fontId="1" fillId="0" borderId="1" xfId="0" quotePrefix="1" applyBorder="1" applyProtection="1">
      <protection locked="0"/>
    </xf>
    <xf numFmtId="0" fontId="1" fillId="0" borderId="1" xfId="0" applyBorder="1" applyAlignment="1" applyProtection="1">
      <alignment wrapText="1"/>
      <protection locked="0"/>
    </xf>
    <xf numFmtId="0" fontId="1" fillId="10" borderId="1" xfId="0" applyFill="1" applyBorder="1" applyProtection="1">
      <protection locked="0"/>
    </xf>
    <xf numFmtId="0" fontId="1" fillId="5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4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6-09-02-Full%20Gr%20on%20Sloc1%20(goods%20+pallet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2"/>
  <sheetViews>
    <sheetView topLeftCell="B1" zoomScale="80"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2" width="9.125" style="12" customWidth="1"/>
    <col min="3" max="3" width="24.75" style="12" customWidth="1"/>
    <col min="4" max="4" width="14.25" style="12" customWidth="1"/>
    <col min="5" max="5" width="14.625" style="12" customWidth="1"/>
    <col min="6" max="6" width="53.375" style="12" customWidth="1"/>
    <col min="7" max="13" width="12.125" style="12" customWidth="1"/>
    <col min="14" max="38" width="13" style="12" customWidth="1"/>
    <col min="39" max="39" width="17.375" style="12" customWidth="1"/>
    <col min="40" max="40" width="9.125" style="12" customWidth="1"/>
    <col min="41" max="41" width="16.5" style="12" customWidth="1"/>
    <col min="42" max="46" width="9.125" style="12" customWidth="1"/>
    <col min="47" max="49" width="12" style="12" customWidth="1"/>
    <col min="50" max="50" width="16.375" style="12" customWidth="1"/>
    <col min="51" max="54" width="12.875" style="12" customWidth="1"/>
    <col min="55" max="56" width="23.875" style="12" customWidth="1"/>
    <col min="57" max="58" width="13.75" style="12" customWidth="1"/>
    <col min="59" max="82" width="21.125" style="12" customWidth="1"/>
    <col min="83" max="16384" width="9.125" style="12" customWidth="1"/>
  </cols>
  <sheetData>
    <row r="1" ht="12.75" customHeight="1" customFormat="1">
      <c r="A1" t="s">
        <v>51</v>
      </c>
      <c r="B1" t="s">
        <v>99</v>
      </c>
      <c r="C1" t="s">
        <v>19</v>
      </c>
      <c r="D1" t="s">
        <v>13</v>
      </c>
      <c r="E1" t="s">
        <v>84</v>
      </c>
      <c r="F1" t="s">
        <v>113</v>
      </c>
      <c r="G1" t="s">
        <v>121</v>
      </c>
      <c r="H1" t="s">
        <v>122</v>
      </c>
      <c r="I1" t="s">
        <v>129</v>
      </c>
      <c r="J1" t="s">
        <v>114</v>
      </c>
      <c r="K1" t="s">
        <v>74</v>
      </c>
      <c r="L1" t="s">
        <v>123</v>
      </c>
      <c r="M1" t="s">
        <v>22</v>
      </c>
      <c r="N1" t="s">
        <v>63</v>
      </c>
      <c r="O1" t="s">
        <v>14</v>
      </c>
      <c r="P1" t="s">
        <v>52</v>
      </c>
      <c r="Q1" t="s">
        <v>103</v>
      </c>
      <c r="R1" t="s">
        <v>15</v>
      </c>
      <c r="S1" t="s">
        <v>43</v>
      </c>
      <c r="T1" t="s">
        <v>89</v>
      </c>
      <c r="U1" t="s">
        <v>1</v>
      </c>
      <c r="V1" t="s">
        <v>90</v>
      </c>
      <c r="W1" t="s">
        <v>130</v>
      </c>
      <c r="X1" t="s">
        <v>28</v>
      </c>
      <c r="Y1" t="s">
        <v>31</v>
      </c>
      <c r="Z1" t="s">
        <v>23</v>
      </c>
      <c r="AA1" t="s">
        <v>66</v>
      </c>
      <c r="AB1" t="s">
        <v>67</v>
      </c>
      <c r="AC1" t="s">
        <v>53</v>
      </c>
      <c r="AD1" t="s">
        <v>105</v>
      </c>
      <c r="AE1" t="s">
        <v>106</v>
      </c>
      <c r="AF1" t="s">
        <v>91</v>
      </c>
      <c r="AG1" t="s">
        <v>5</v>
      </c>
      <c r="AH1" t="s">
        <v>131</v>
      </c>
      <c r="AI1" t="s">
        <v>75</v>
      </c>
      <c r="AJ1" t="s">
        <v>6</v>
      </c>
      <c r="AK1" t="s">
        <v>107</v>
      </c>
      <c r="AL1" t="s">
        <v>24</v>
      </c>
      <c r="AM1" t="s">
        <v>115</v>
      </c>
      <c r="AN1" t="s">
        <v>54</v>
      </c>
      <c r="AO1" t="s">
        <v>7</v>
      </c>
      <c r="AP1" t="s">
        <v>35</v>
      </c>
      <c r="AQ1" t="s">
        <v>55</v>
      </c>
      <c r="AR1" t="s">
        <v>92</v>
      </c>
      <c r="AS1" t="s">
        <v>93</v>
      </c>
      <c r="AT1" t="s">
        <v>94</v>
      </c>
      <c r="AU1" t="s">
        <v>76</v>
      </c>
      <c r="AV1" t="s">
        <v>132</v>
      </c>
      <c r="AW1" t="s">
        <v>45</v>
      </c>
      <c r="AX1" t="s">
        <v>46</v>
      </c>
      <c r="AY1" t="s">
        <v>116</v>
      </c>
      <c r="AZ1" t="s">
        <v>48</v>
      </c>
      <c r="BA1" t="s">
        <v>8</v>
      </c>
      <c r="BB1" t="s">
        <v>87</v>
      </c>
      <c r="BC1" t="s">
        <v>125</v>
      </c>
      <c r="BD1" t="s">
        <v>17</v>
      </c>
      <c r="BE1" t="s">
        <v>95</v>
      </c>
      <c r="BF1" t="s">
        <v>38</v>
      </c>
      <c r="BG1" t="s">
        <v>25</v>
      </c>
      <c r="BH1" t="s">
        <v>78</v>
      </c>
      <c r="BI1" t="s">
        <v>79</v>
      </c>
      <c r="BJ1" t="s">
        <v>71</v>
      </c>
      <c r="BK1" t="s">
        <v>80</v>
      </c>
      <c r="BL1" t="s">
        <v>109</v>
      </c>
      <c r="BM1" t="s">
        <v>118</v>
      </c>
      <c r="BN1" t="s">
        <v>2</v>
      </c>
      <c r="BO1" t="s">
        <v>96</v>
      </c>
      <c r="BP1" t="s">
        <v>39</v>
      </c>
      <c r="BQ1" t="s">
        <v>119</v>
      </c>
      <c r="BR1" t="s">
        <v>18</v>
      </c>
      <c r="BS1" t="s">
        <v>58</v>
      </c>
      <c r="BT1" t="s">
        <v>97</v>
      </c>
      <c r="BU1" t="s">
        <v>82</v>
      </c>
      <c r="BV1" t="s">
        <v>110</v>
      </c>
      <c r="BW1" t="s">
        <v>50</v>
      </c>
      <c r="BX1" t="s">
        <v>3</v>
      </c>
      <c r="BY1" t="s">
        <v>10</v>
      </c>
      <c r="BZ1" t="s">
        <v>30</v>
      </c>
      <c r="CA1" t="s">
        <v>11</v>
      </c>
      <c r="CB1" t="s">
        <v>40</v>
      </c>
      <c r="CC1" t="s">
        <v>41</v>
      </c>
      <c r="CD1" t="s">
        <v>83</v>
      </c>
    </row>
    <row r="2" ht="28.5">
      <c r="A2" s="7">
        <v>1</v>
      </c>
      <c r="B2" s="7">
        <v>2</v>
      </c>
      <c r="C2" s="7" t="s">
        <v>88</v>
      </c>
      <c r="D2" s="14" t="s">
        <v>0</v>
      </c>
      <c r="E2" s="14" t="s">
        <v>100</v>
      </c>
      <c r="F2" s="18" t="s">
        <v>21</v>
      </c>
      <c r="G2" s="2" t="s">
        <v>62</v>
      </c>
      <c r="H2" s="2" t="s">
        <v>62</v>
      </c>
      <c r="I2" s="2" t="s">
        <v>4</v>
      </c>
      <c r="J2" s="2" t="s">
        <v>85</v>
      </c>
      <c r="K2" s="2" t="s">
        <v>62</v>
      </c>
      <c r="L2" s="2" t="s">
        <v>101</v>
      </c>
      <c r="M2" s="2" t="s">
        <v>85</v>
      </c>
      <c r="N2" s="2" t="s">
        <v>62</v>
      </c>
      <c r="O2" s="2" t="s">
        <v>4</v>
      </c>
      <c r="P2" s="2" t="s">
        <v>102</v>
      </c>
      <c r="Q2" s="2" t="s">
        <v>62</v>
      </c>
      <c r="R2" s="2" t="s">
        <v>62</v>
      </c>
      <c r="S2" s="2" t="s">
        <v>4</v>
      </c>
      <c r="T2" s="2" t="s">
        <v>102</v>
      </c>
      <c r="U2" s="2" t="s">
        <v>62</v>
      </c>
      <c r="V2" s="2" t="s">
        <v>64</v>
      </c>
      <c r="W2" s="2" t="s">
        <v>65</v>
      </c>
      <c r="X2" s="2" t="s">
        <v>62</v>
      </c>
      <c r="Y2" s="6" t="s">
        <v>124</v>
      </c>
      <c r="Z2" s="2" t="s">
        <v>85</v>
      </c>
      <c r="AA2" s="2" t="s">
        <v>62</v>
      </c>
      <c r="AB2" s="6" t="s">
        <v>124</v>
      </c>
      <c r="AC2" s="2" t="s">
        <v>104</v>
      </c>
      <c r="AD2" s="2" t="s">
        <v>62</v>
      </c>
      <c r="AE2" s="6" t="s">
        <v>124</v>
      </c>
      <c r="AF2" s="2" t="s">
        <v>85</v>
      </c>
      <c r="AG2" s="2" t="s">
        <v>62</v>
      </c>
      <c r="AH2" s="2" t="s">
        <v>32</v>
      </c>
      <c r="AI2" s="2" t="s">
        <v>16</v>
      </c>
      <c r="AJ2" s="6" t="s">
        <v>68</v>
      </c>
      <c r="AK2" s="2" t="s">
        <v>86</v>
      </c>
      <c r="AL2" s="2" t="s">
        <v>33</v>
      </c>
      <c r="AM2" s="13">
        <v>4309530093</v>
      </c>
      <c r="AN2" s="2" t="s">
        <v>34</v>
      </c>
      <c r="AO2" s="13">
        <v>4309530093</v>
      </c>
      <c r="AP2" s="2" t="s">
        <v>62</v>
      </c>
      <c r="AQ2" s="2" t="s">
        <v>62</v>
      </c>
      <c r="AR2" s="2" t="s">
        <v>62</v>
      </c>
      <c r="AS2" s="2" t="s">
        <v>44</v>
      </c>
      <c r="AT2" s="9">
        <v>7153829</v>
      </c>
      <c r="AU2" s="2" t="s">
        <v>62</v>
      </c>
      <c r="AV2" s="2" t="s">
        <v>69</v>
      </c>
      <c r="AW2" s="9">
        <v>384</v>
      </c>
      <c r="AX2" s="2" t="s">
        <v>47</v>
      </c>
      <c r="AY2" s="2" t="s">
        <v>36</v>
      </c>
      <c r="AZ2" s="2" t="s">
        <v>56</v>
      </c>
      <c r="BA2" s="2" t="s">
        <v>77</v>
      </c>
      <c r="BB2" s="2" t="s">
        <v>9</v>
      </c>
      <c r="BC2" s="2" t="s">
        <v>37</v>
      </c>
      <c r="BD2" s="2" t="s">
        <v>29</v>
      </c>
      <c r="BE2" s="26" t="e">
        <f>[1]OUTPUT!C2</f>
        <v>#REF!</v>
      </c>
      <c r="BF2" s="4" t="s">
        <v>70</v>
      </c>
      <c r="BG2" s="17" t="e">
        <f>BE2+5</f>
        <v>#REF!</v>
      </c>
      <c r="BH2" s="4" t="s">
        <v>57</v>
      </c>
      <c r="BI2" s="4">
        <v>5</v>
      </c>
      <c r="BJ2" s="16" t="s">
        <v>85</v>
      </c>
      <c r="BK2" s="4" t="s">
        <v>108</v>
      </c>
      <c r="BL2" s="16" t="s">
        <v>81</v>
      </c>
      <c r="BM2" s="4" t="s">
        <v>72</v>
      </c>
      <c r="BN2" s="17" t="e">
        <f>BG2</f>
        <v>#REF!</v>
      </c>
      <c r="BO2" s="8" t="s">
        <v>62</v>
      </c>
      <c r="BP2" s="8" t="s">
        <v>62</v>
      </c>
      <c r="BQ2" s="8" t="s">
        <v>49</v>
      </c>
      <c r="BR2" s="8" t="s">
        <v>44</v>
      </c>
      <c r="BS2" s="9">
        <v>7162023</v>
      </c>
      <c r="BT2" s="8" t="s">
        <v>62</v>
      </c>
      <c r="BU2" s="4" t="s">
        <v>73</v>
      </c>
      <c r="BV2" s="9">
        <v>160</v>
      </c>
      <c r="BW2" s="4" t="s">
        <v>111</v>
      </c>
      <c r="BX2" s="11" t="s">
        <v>9</v>
      </c>
      <c r="BY2" s="4" t="s">
        <v>70</v>
      </c>
      <c r="BZ2" s="24" t="e">
        <f>BN2</f>
        <v>#REF!</v>
      </c>
      <c r="CA2" s="11" t="s">
        <v>98</v>
      </c>
      <c r="CB2" s="11" t="s">
        <v>127</v>
      </c>
      <c r="CC2" s="1"/>
      <c r="CD2" s="15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3">
        <v>4306156692</v>
      </c>
      <c r="AN3" s="1"/>
      <c r="AO3" s="13">
        <v>4306156692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27" t="s">
        <v>117</v>
      </c>
      <c r="BF3" s="1"/>
      <c r="BG3" s="10" t="e">
        <f>BE2+5</f>
        <v>#REF!</v>
      </c>
      <c r="BH3" s="3"/>
      <c r="BI3" s="3"/>
      <c r="BJ3" s="3"/>
      <c r="BK3" s="3"/>
      <c r="BL3" s="3"/>
      <c r="BM3" s="3"/>
      <c r="BN3" s="10">
        <f t="shared" si="0" ref="BN3:BN4">BM3+5</f>
        <v>5</v>
      </c>
      <c r="BO3" s="10"/>
      <c r="BP3" s="3"/>
      <c r="BQ3" s="3"/>
      <c r="BR3" s="3"/>
      <c r="BS3" s="3"/>
      <c r="BT3" s="3"/>
      <c r="BU3" s="3"/>
      <c r="BV3" s="3"/>
      <c r="BW3" s="3"/>
      <c r="BX3" s="3"/>
      <c r="BY3" s="3"/>
      <c r="BZ3" s="10">
        <f t="shared" si="1" ref="BZ3:BZ4">BX3+5</f>
        <v>5</v>
      </c>
      <c r="CA3" s="3"/>
      <c r="CB3" s="3"/>
      <c r="CC3" s="3"/>
      <c r="CD3" s="20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3">
        <v>4306580117</v>
      </c>
      <c r="AN4" s="1"/>
      <c r="AO4" s="13">
        <v>4306580117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0">
        <f>BE4+5</f>
        <v>5</v>
      </c>
      <c r="BH4" s="3"/>
      <c r="BI4" s="3"/>
      <c r="BJ4" s="3"/>
      <c r="BK4" s="3"/>
      <c r="BL4" s="3"/>
      <c r="BM4" s="3"/>
      <c r="BN4" s="10">
        <f t="shared" si="0"/>
        <v>5</v>
      </c>
      <c r="BO4" s="10"/>
      <c r="BP4" s="3"/>
      <c r="BQ4" s="3"/>
      <c r="BR4" s="3"/>
      <c r="BS4" s="3"/>
      <c r="BT4" s="3"/>
      <c r="BU4" s="3"/>
      <c r="BV4" s="3"/>
      <c r="BW4" s="3"/>
      <c r="BX4" s="3"/>
      <c r="BY4" s="3"/>
      <c r="BZ4" s="10">
        <f t="shared" si="1"/>
        <v>5</v>
      </c>
      <c r="CA4" s="3"/>
      <c r="CB4" s="3"/>
      <c r="CC4" s="3"/>
      <c r="CD4" s="20"/>
    </row>
    <row r="5">
      <c r="A5" s="1"/>
      <c r="B5" s="1"/>
      <c r="C5" s="14" t="s">
        <v>120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3">
        <v>4306580123</v>
      </c>
      <c r="AN5" s="1"/>
      <c r="AO5" s="13">
        <v>4306580123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5"/>
    </row>
    <row r="6">
      <c r="A6" s="1"/>
      <c r="B6" s="1"/>
      <c r="C6" s="6" t="s">
        <v>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5"/>
    </row>
    <row r="7">
      <c r="A7" s="1"/>
      <c r="B7" s="1"/>
      <c r="C7" s="19" t="s">
        <v>112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5"/>
    </row>
    <row r="8">
      <c r="A8" s="1"/>
      <c r="B8" s="1"/>
      <c r="C8" s="21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5"/>
    </row>
    <row r="9">
      <c r="A9" s="1"/>
      <c r="B9" s="1"/>
      <c r="C9" s="30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 t="s">
        <v>46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5"/>
    </row>
    <row r="10">
      <c r="A10" s="1"/>
      <c r="B10" s="1"/>
      <c r="C10" s="22" t="s">
        <v>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2" t="s">
        <v>47</v>
      </c>
      <c r="BD10" s="2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5"/>
    </row>
    <row r="11">
      <c r="A11" s="1"/>
      <c r="B11" s="1"/>
      <c r="C11" s="13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126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5"/>
    </row>
    <row r="12">
      <c r="A12" s="1"/>
      <c r="B12" s="1"/>
      <c r="C12" s="7" t="s">
        <v>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29">
        <f ca="1">IF(MONTH(TODAY())+2&lt;10,0&amp;MONTH(TODAY())+2,MONTH(TODAY())+2)</f>
        <v>12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14.5" style="12" customWidth="1"/>
    <col min="3" max="3" width="32.5" style="12" customWidth="1"/>
    <col min="4" max="16384" width="9.125" style="12" customWidth="1"/>
  </cols>
  <sheetData>
    <row r="1" ht="12.75" customHeight="1" customFormat="1">
      <c r="A1" t="s">
        <v>51</v>
      </c>
      <c r="B1" t="s">
        <v>19</v>
      </c>
      <c r="C1" t="s">
        <v>59</v>
      </c>
    </row>
    <row r="2" ht="30" customHeight="1">
      <c r="A2" s="28" t="s">
        <v>128</v>
      </c>
      <c r="B2" s="1"/>
      <c r="C2" s="25" t="s">
        <v>26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42578125" defaultRowHeight="14.25"/>
  <cols>
    <col min="1" max="16384" width="9.42578125" style="12" customWidth="1"/>
  </cols>
  <sheetData>
    <row r="1" ht="14.85" customFormat="1">
      <c r="A1" t="s">
        <v>51</v>
      </c>
      <c r="B1" t="s">
        <v>19</v>
      </c>
      <c r="C1" t="s">
        <v>59</v>
      </c>
    </row>
    <row r="2" ht="270.75">
      <c r="A2" s="7">
        <v>2</v>
      </c>
      <c r="B2" s="31" t="s">
        <v>88</v>
      </c>
      <c r="C2" s="23" t="s">
        <v>117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