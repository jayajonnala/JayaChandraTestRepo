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Maintain sales price_TASE" sheetId="3" r:id="rId3"/>
    <sheet name="TC2_Maintain Markup_TASE" sheetId="4" r:id="rId4"/>
    <sheet name="TC3 Manual V2_TASE" sheetId="5" r:id="rId5"/>
    <sheet name="Test_Merging of word documents" sheetId="6" r:id="rId6"/>
  </sheets>
  <externalReferences>
    <externalReference r:id="rId10"/>
  </externalReferences>
  <calcPr calcId="40001"/>
</workbook>
</file>

<file path=xl/sharedStrings.xml><?xml version="1.0" encoding="utf-8"?>
<sst xmlns="http://schemas.openxmlformats.org/spreadsheetml/2006/main" uniqueCount="96">
  <si>
    <t>AUTODLL</t>
  </si>
  <si>
    <t/>
  </si>
  <si>
    <t>DT_SAPTRANSACTIONCODE</t>
  </si>
  <si>
    <t>DT_VKP5_6201_CHECK_TEXT_OF_TABLECELL_AMOUNT_17</t>
  </si>
  <si>
    <t>20,00%space%</t>
  </si>
  <si>
    <t>DT_VKP5_6201_CHECK_TEXT_OF_TABLECELL_CONDITION_VALUE_13</t>
  </si>
  <si>
    <t>DT_VKP5_6201_SAPLV69ATCTRL_KONDITIONEN_OCC1</t>
  </si>
  <si>
    <t>Data Coming from another test</t>
  </si>
  <si>
    <t>DT_VKP5_6201_CHECK_TEXT_OF_TABLECELL_NAME_13</t>
  </si>
  <si>
    <t>698,50</t>
  </si>
  <si>
    <t>Scenario</t>
  </si>
  <si>
    <t>Output Data</t>
  </si>
  <si>
    <t>DT_VKP5_6201_CHECK_TEXT_OF_TABLECELL_AMOUNT_10</t>
  </si>
  <si>
    <t>DT_VKP5_6201_CHECK_TEXT_OF_TABLECELL_CRCY_14</t>
  </si>
  <si>
    <t>2.095,50%space%</t>
  </si>
  <si>
    <t>Formulas</t>
  </si>
  <si>
    <t>200</t>
  </si>
  <si>
    <t>DT_EXPECTEDVALUE</t>
  </si>
  <si>
    <t>DT_VKP5_6201_CHECK_TEXT_OF_TABLECELL_CNTY_13</t>
  </si>
  <si>
    <t>DT_VKP5_6201_CHECK_TEXT_OF_TABLECELL_CONDITION_VALUE_14</t>
  </si>
  <si>
    <t>2.805,00%space%</t>
  </si>
  <si>
    <t xml:space="preserve">15,12 </t>
  </si>
  <si>
    <t>DT_VKP5_0120_CHECK_TEXT_OF_NO_NAME_OCC1_OUTPUT</t>
  </si>
  <si>
    <t>DT_SAPSYSTEM</t>
  </si>
  <si>
    <t>7167399</t>
  </si>
  <si>
    <t>0,00</t>
  </si>
  <si>
    <t>Sales-Net w/o Costs</t>
  </si>
  <si>
    <t>22,75*1,5 = 34,12</t>
  </si>
  <si>
    <t>DT_VKP5_6201_CHECK_TEXT_OF_TABLECELL_AMOUNT_10_OUTPUT</t>
  </si>
  <si>
    <t xml:space="preserve">11,33 </t>
  </si>
  <si>
    <t>Input Data</t>
  </si>
  <si>
    <t>DT_SAPLANGUAGE</t>
  </si>
  <si>
    <t>DT_SAPOPTIONS</t>
  </si>
  <si>
    <t>BS10</t>
  </si>
  <si>
    <t>DL</t>
  </si>
  <si>
    <t>DT_VKP5_6201_CHECK_TEXT_OF_TABLECELL_NAME_14</t>
  </si>
  <si>
    <t>935,00%space%</t>
  </si>
  <si>
    <t>DT_VKP5_0120_CHECK_TEXT_OF_NO_NAME_OCC1</t>
  </si>
  <si>
    <t>S</t>
  </si>
  <si>
    <t>DT_VKP5_1000_CHECK_TEXT_OF_STATUSBAR</t>
  </si>
  <si>
    <t>DT_VKP5_6201_CHECK_TEXT_OF_TABLECELL_AMOUNT_172_OUTPUT</t>
  </si>
  <si>
    <t>Row</t>
  </si>
  <si>
    <t>AT_Wholesale price with exception rules</t>
  </si>
  <si>
    <t>DT_VKP5_1000_DISTRIBUTION_CHANNEL</t>
  </si>
  <si>
    <t>DT_VKP5_1000_VALIDITY</t>
  </si>
  <si>
    <t>W</t>
  </si>
  <si>
    <t>693,50</t>
  </si>
  <si>
    <t>DT_VKP5_6201_CHECK_TEXT_OF_TABLECELL_AMOUNT_15</t>
  </si>
  <si>
    <t>20,96%space%</t>
  </si>
  <si>
    <t>DT_VKP5_6201_CHECK_TEXT_OF_TABLECELL_CRCY_15</t>
  </si>
  <si>
    <t>DT_VKP5_9000_CHECK_TEXT_OF_ARTICLE</t>
  </si>
  <si>
    <t>Verifications</t>
  </si>
  <si>
    <t>Execution Control Data</t>
  </si>
  <si>
    <t>DT_VKP5_6201_CHECK_TEXT_OF_TABLECELL_AMOUNT_172</t>
  </si>
  <si>
    <t>DT_VKP5_6201_CHECK_TEXT_OF_TABLECELL_CNTY_14</t>
  </si>
  <si>
    <t>26,19%space%</t>
  </si>
  <si>
    <t>DT_VKP5_6201_CHECK_TEXT_OF_TABLECELL_CONDITION_VALUE_15</t>
  </si>
  <si>
    <t>DT_VKP5_0120_CHECK_TEXT_OF_NO_NAME</t>
  </si>
  <si>
    <t>DT_EXPECTEDVALUE_OCC1</t>
  </si>
  <si>
    <t>DT_VKP5_1000_ARTICLE</t>
  </si>
  <si>
    <t>%</t>
  </si>
  <si>
    <t>EN</t>
  </si>
  <si>
    <t xml:space="preserve">DLL DG Mark-up % </t>
  </si>
  <si>
    <t>664,50</t>
  </si>
  <si>
    <t>DT_VKP5_6201_CHECK_TEXT_OF_TABLECELL_AMOUNT</t>
  </si>
  <si>
    <t>2.512,75</t>
  </si>
  <si>
    <t>EUR</t>
  </si>
  <si>
    <t>DT_VKP5_6201_CHECK_TEXT_OF_TABLECELL_NAME_15</t>
  </si>
  <si>
    <t>DT_VKP5_1000_PRICE_LIST</t>
  </si>
  <si>
    <t>DT_VKP5_6201_SAPLV69ATCTRL_KONDITIONEN</t>
  </si>
  <si>
    <t>DT_PRICING_DOC</t>
  </si>
  <si>
    <t>LogIn Information</t>
  </si>
  <si>
    <t>03</t>
  </si>
  <si>
    <t>true</t>
  </si>
  <si>
    <t>R1E - SAP RETAIL Pre-Production EUROPE</t>
  </si>
  <si>
    <t>Fixed Data</t>
  </si>
  <si>
    <t>DT_SAPPASSWORD</t>
  </si>
  <si>
    <t>VKP5</t>
  </si>
  <si>
    <t>DT_VKP5_1000_SALES_ORGANIZATION</t>
  </si>
  <si>
    <t>DT_VKP5_1000_PURCHASE_PRICE_DETERM_SEQ</t>
  </si>
  <si>
    <t>DLL DG Mark-up %</t>
  </si>
  <si>
    <t>ZMGM</t>
  </si>
  <si>
    <t>DT_SAPUSER</t>
  </si>
  <si>
    <t>56eff28e10d222495ece7c6e8d3489</t>
  </si>
  <si>
    <t>DT_VKP5_1000_CHECK_TEXT_OF_STATUSBAR_OCC1</t>
  </si>
  <si>
    <t>DT_SAPCLIENT</t>
  </si>
  <si>
    <t>B1</t>
  </si>
  <si>
    <t>DT_VKP5_0120_NO_NAME</t>
  </si>
  <si>
    <t>ZMK2</t>
  </si>
  <si>
    <t>DT_VKP5_6201_CHECK_TEXT_OF_TABLECELL_AMOUNT_13</t>
  </si>
  <si>
    <t>DT_VKP5_6201_CHECK_TEXT_OF_TABLECELL_CRCY_13</t>
  </si>
  <si>
    <t>5,000</t>
  </si>
  <si>
    <t>DT_VKP5_6201_CHECK_TEXT_OF_TABLECELL_CURR_14</t>
  </si>
  <si>
    <t>28,05%space%</t>
  </si>
  <si>
    <t>True</t>
  </si>
  <si>
    <t>DT_VKP5_1000_CHECK_TEXT_OF_STATUSBAR_OUTPUT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</si>
</sst>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2" fillId="2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3" fontId="2" fillId="2" borderId="1" xfId="0" applyNumberFormat="1" applyFont="1" applyFill="1" applyBorder="1" applyProtection="1">
      <protection locked="0"/>
    </xf>
    <xf numFmtId="164" fontId="1" fillId="0" borderId="1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10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DLL\RETAIL\TASE_DT_02-06-01-15-Manual%20price%20calculationV2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S11"/>
  <sheetViews>
    <sheetView workbookViewId="0">
      <pane xSplit="1" ySplit="0" topLeftCell="M2" activePane="topRight"/>
      <selection activeCell="M2" sqref="M2"/>
      <selection pane="topRight" activeCell="M2" sqref="M2"/>
    </sheetView>
  </sheetViews>
  <sheetFormatPr defaultColWidth="9.125" defaultRowHeight="14.25"/>
  <cols>
    <col min="1" max="1" width="9.125" style="11" customWidth="1"/>
    <col min="2" max="2" width="35.375" style="11" customWidth="1"/>
    <col min="3" max="3" width="38.875" style="11" customWidth="1"/>
    <col min="4" max="4" width="15.25" style="11" customWidth="1"/>
    <col min="5" max="5" width="13.875" style="11" customWidth="1"/>
    <col min="6" max="6" width="30.875" style="11" customWidth="1"/>
    <col min="7" max="7" width="18.875" style="11" customWidth="1"/>
    <col min="8" max="8" width="17" style="11" customWidth="1"/>
    <col min="9" max="9" width="27.25" style="11" customWidth="1"/>
    <col min="10" max="10" width="24.375" style="11" customWidth="1"/>
    <col min="11" max="11" width="38" style="11" customWidth="1"/>
    <col min="12" max="12" width="40.375" style="11" customWidth="1"/>
    <col min="13" max="13" width="27.625" style="11" customWidth="1"/>
    <col min="14" max="14" width="24.75" style="11" customWidth="1"/>
    <col min="15" max="15" width="48.625" style="11" customWidth="1"/>
    <col min="16" max="16" width="21.125" style="11" customWidth="1"/>
    <col min="17" max="17" width="26" style="11" customWidth="1"/>
    <col min="18" max="20" width="57.625" style="11" customWidth="1"/>
    <col min="21" max="21" width="54.25" style="11" customWidth="1"/>
    <col min="22" max="22" width="54.875" style="11" customWidth="1"/>
    <col min="23" max="23" width="57.625" style="11" customWidth="1"/>
    <col min="24" max="24" width="54.375" style="11" customWidth="1"/>
    <col min="25" max="25" width="67.25" style="11" customWidth="1"/>
    <col min="26" max="26" width="54.25" style="11" customWidth="1"/>
    <col min="27" max="28" width="54.875" style="11" customWidth="1"/>
    <col min="29" max="29" width="54.375" style="11" customWidth="1"/>
    <col min="30" max="30" width="67.25" style="11" customWidth="1"/>
    <col min="31" max="32" width="54.875" style="11" customWidth="1"/>
    <col min="33" max="33" width="57.625" style="11" customWidth="1"/>
    <col min="34" max="34" width="54.375" style="11" customWidth="1"/>
    <col min="35" max="35" width="67.25" style="11" customWidth="1"/>
    <col min="36" max="36" width="41.875" style="11" customWidth="1"/>
    <col min="37" max="37" width="46.625" style="11" customWidth="1"/>
    <col min="38" max="38" width="52.875" style="11" customWidth="1"/>
    <col min="39" max="39" width="43.375" style="11" customWidth="1"/>
    <col min="40" max="40" width="49.75" style="11" customWidth="1"/>
    <col min="41" max="41" width="27.375" style="11" customWidth="1"/>
    <col min="42" max="42" width="45.125" style="11" customWidth="1"/>
    <col min="43" max="44" width="51.375" style="11" customWidth="1"/>
    <col min="45" max="16384" width="9.125" style="11" customWidth="1"/>
  </cols>
  <sheetData>
    <row r="1" ht="12.75" customHeight="1" customFormat="1">
      <c r="A1" t="s">
        <v>41</v>
      </c>
      <c r="B1" t="s">
        <v>10</v>
      </c>
      <c r="C1" t="s">
        <v>23</v>
      </c>
      <c r="D1" t="s">
        <v>85</v>
      </c>
      <c r="E1" t="s">
        <v>82</v>
      </c>
      <c r="F1" t="s">
        <v>76</v>
      </c>
      <c r="G1" t="s">
        <v>31</v>
      </c>
      <c r="H1" t="s">
        <v>32</v>
      </c>
      <c r="I1" t="s">
        <v>2</v>
      </c>
      <c r="J1" t="s">
        <v>59</v>
      </c>
      <c r="K1" t="s">
        <v>78</v>
      </c>
      <c r="L1" t="s">
        <v>43</v>
      </c>
      <c r="M1" t="s">
        <v>68</v>
      </c>
      <c r="N1" t="s">
        <v>44</v>
      </c>
      <c r="O1" t="s">
        <v>79</v>
      </c>
      <c r="P1" t="s">
        <v>17</v>
      </c>
      <c r="Q1" t="s">
        <v>87</v>
      </c>
      <c r="R1" t="s">
        <v>12</v>
      </c>
      <c r="S1" t="s">
        <v>3</v>
      </c>
      <c r="T1" t="s">
        <v>53</v>
      </c>
      <c r="U1" t="s">
        <v>18</v>
      </c>
      <c r="V1" t="s">
        <v>8</v>
      </c>
      <c r="W1" t="s">
        <v>89</v>
      </c>
      <c r="X1" t="s">
        <v>90</v>
      </c>
      <c r="Y1" t="s">
        <v>5</v>
      </c>
      <c r="Z1" t="s">
        <v>54</v>
      </c>
      <c r="AA1" t="s">
        <v>35</v>
      </c>
      <c r="AB1" t="s">
        <v>64</v>
      </c>
      <c r="AC1" t="s">
        <v>13</v>
      </c>
      <c r="AD1" t="s">
        <v>19</v>
      </c>
      <c r="AE1" t="s">
        <v>92</v>
      </c>
      <c r="AF1" t="s">
        <v>67</v>
      </c>
      <c r="AG1" t="s">
        <v>47</v>
      </c>
      <c r="AH1" t="s">
        <v>49</v>
      </c>
      <c r="AI1" t="s">
        <v>56</v>
      </c>
      <c r="AJ1" t="s">
        <v>50</v>
      </c>
      <c r="AK1" t="s">
        <v>69</v>
      </c>
      <c r="AL1" t="s">
        <v>6</v>
      </c>
      <c r="AM1" t="s">
        <v>57</v>
      </c>
      <c r="AN1" t="s">
        <v>37</v>
      </c>
      <c r="AO1" t="s">
        <v>58</v>
      </c>
      <c r="AP1" t="s">
        <v>39</v>
      </c>
      <c r="AQ1" t="s">
        <v>84</v>
      </c>
      <c r="AR1" t="s">
        <v>70</v>
      </c>
      <c r="AS1" t="s">
        <v>95</v>
      </c>
    </row>
    <row r="2">
      <c r="A2" s="1">
        <v>1</v>
      </c>
      <c r="B2" s="1" t="s">
        <v>42</v>
      </c>
      <c r="C2" s="5" t="s">
        <v>74</v>
      </c>
      <c r="D2" s="5" t="s">
        <v>16</v>
      </c>
      <c r="E2" s="5" t="s">
        <v>0</v>
      </c>
      <c r="F2" s="5" t="s">
        <v>83</v>
      </c>
      <c r="G2" s="5" t="s">
        <v>61</v>
      </c>
      <c r="H2" s="3" t="s">
        <v>1</v>
      </c>
      <c r="I2" s="4" t="s">
        <v>77</v>
      </c>
      <c r="J2" s="9" t="s">
        <v>24</v>
      </c>
      <c r="K2" s="4" t="s">
        <v>33</v>
      </c>
      <c r="L2" s="4" t="s">
        <v>72</v>
      </c>
      <c r="M2" s="4" t="s">
        <v>86</v>
      </c>
      <c r="N2" s="7">
        <f ca="1" t="shared" si="0" ref="N2:N3">TODAY()-4</f>
        <v>45828</v>
      </c>
      <c r="O2" s="4" t="s">
        <v>34</v>
      </c>
      <c r="P2" s="3" t="s">
        <v>45</v>
      </c>
      <c r="Q2" s="3" t="s">
        <v>73</v>
      </c>
      <c r="R2" s="2" t="e">
        <f>[1]OUTPUT!A2</f>
        <v>#REF!</v>
      </c>
      <c r="S2" s="2" t="str">
        <f t="shared" si="1" ref="S2:S3">"0,50 "</f>
        <v xml:space="preserve">0,50 </v>
      </c>
      <c r="T2" s="2" t="e">
        <f>[1]OUTPUT!B2</f>
        <v>#REF!</v>
      </c>
      <c r="U2" s="2" t="s">
        <v>88</v>
      </c>
      <c r="V2" s="10" t="s">
        <v>62</v>
      </c>
      <c r="W2" s="16" t="str">
        <f t="shared" si="2" ref="W2:W3">"50,000"</f>
        <v>50,000</v>
      </c>
      <c r="X2" s="2" t="s">
        <v>60</v>
      </c>
      <c r="Y2" s="2" t="s">
        <v>63</v>
      </c>
      <c r="Z2" s="2" t="s">
        <v>81</v>
      </c>
      <c r="AA2" s="10" t="str">
        <f>"Minimun Af Margin                       "</f>
        <v xml:space="preserve">Minimun Af Margin                       </v>
      </c>
      <c r="AB2" s="3" t="s">
        <v>91</v>
      </c>
      <c r="AC2" s="2" t="s">
        <v>60</v>
      </c>
      <c r="AD2" s="2" t="s">
        <v>65</v>
      </c>
      <c r="AE2" s="2" t="s">
        <v>66</v>
      </c>
      <c r="AF2" s="2" t="s">
        <v>26</v>
      </c>
      <c r="AG2" s="2" t="s">
        <v>55</v>
      </c>
      <c r="AH2" s="2" t="s">
        <v>66</v>
      </c>
      <c r="AI2" s="2" t="s">
        <v>14</v>
      </c>
      <c r="AJ2" s="2" t="s">
        <v>24</v>
      </c>
      <c r="AK2" s="3" t="s">
        <v>94</v>
      </c>
      <c r="AL2" s="3" t="s">
        <v>94</v>
      </c>
      <c r="AM2" s="2" t="s">
        <v>24</v>
      </c>
      <c r="AN2" s="2" t="e">
        <f>[1]OUTPUT!C2</f>
        <v>#REF!</v>
      </c>
      <c r="AO2" s="3" t="s">
        <v>38</v>
      </c>
      <c r="AP2" s="13" t="e">
        <f>[1]OUTPUT!D2</f>
        <v>#REF!</v>
      </c>
      <c r="AQ2" s="8" t="e">
        <f>CONCATENATE("Data saved; pricing document ",AP2," created")</f>
        <v>#REF!</v>
      </c>
      <c r="AR2" s="1" t="e">
        <f t="shared" si="3" ref="AR2:AR3">AP2</f>
        <v>#REF!</v>
      </c>
      <c r="AS2" s="12"/>
    </row>
    <row r="3">
      <c r="A3" s="1">
        <v>1</v>
      </c>
      <c r="B3" s="1" t="s">
        <v>42</v>
      </c>
      <c r="C3" s="5" t="s">
        <v>74</v>
      </c>
      <c r="D3" s="5" t="s">
        <v>16</v>
      </c>
      <c r="E3" s="5" t="s">
        <v>0</v>
      </c>
      <c r="F3" s="5" t="s">
        <v>83</v>
      </c>
      <c r="G3" s="5" t="s">
        <v>61</v>
      </c>
      <c r="H3" s="3" t="s">
        <v>1</v>
      </c>
      <c r="I3" s="4" t="s">
        <v>77</v>
      </c>
      <c r="J3" s="9" t="s">
        <v>24</v>
      </c>
      <c r="K3" s="4" t="s">
        <v>33</v>
      </c>
      <c r="L3" s="4" t="s">
        <v>72</v>
      </c>
      <c r="M3" s="4" t="s">
        <v>86</v>
      </c>
      <c r="N3" s="7">
        <f ca="1" t="shared" si="0"/>
        <v>45828</v>
      </c>
      <c r="O3" s="4" t="s">
        <v>34</v>
      </c>
      <c r="P3" s="3" t="s">
        <v>45</v>
      </c>
      <c r="Q3" s="3" t="s">
        <v>73</v>
      </c>
      <c r="R3" s="2" t="str">
        <f>"12,51 "</f>
        <v xml:space="preserve">12,51 </v>
      </c>
      <c r="S3" s="2" t="str">
        <f t="shared" si="1"/>
        <v xml:space="preserve">0,50 </v>
      </c>
      <c r="T3" s="2" t="str">
        <f>"13,94 "</f>
        <v xml:space="preserve">13,94 </v>
      </c>
      <c r="U3" s="2" t="s">
        <v>88</v>
      </c>
      <c r="V3" s="2" t="s">
        <v>80</v>
      </c>
      <c r="W3" s="16" t="str">
        <f t="shared" si="2"/>
        <v>50,000</v>
      </c>
      <c r="X3" s="2" t="s">
        <v>60</v>
      </c>
      <c r="Y3" s="2" t="s">
        <v>25</v>
      </c>
      <c r="Z3" s="2" t="s">
        <v>88</v>
      </c>
      <c r="AA3" s="2" t="s">
        <v>80</v>
      </c>
      <c r="AB3" s="1">
        <v>50000</v>
      </c>
      <c r="AC3" s="2" t="s">
        <v>60</v>
      </c>
      <c r="AD3" s="2" t="s">
        <v>9</v>
      </c>
      <c r="AE3" s="2" t="s">
        <v>66</v>
      </c>
      <c r="AF3" s="2" t="s">
        <v>26</v>
      </c>
      <c r="AG3" s="2" t="s">
        <v>48</v>
      </c>
      <c r="AH3" s="2" t="s">
        <v>66</v>
      </c>
      <c r="AI3" s="2" t="s">
        <v>14</v>
      </c>
      <c r="AJ3" s="2" t="s">
        <v>24</v>
      </c>
      <c r="AK3" s="3" t="s">
        <v>94</v>
      </c>
      <c r="AL3" s="3" t="s">
        <v>94</v>
      </c>
      <c r="AM3" s="2" t="s">
        <v>24</v>
      </c>
      <c r="AN3" s="2" t="str">
        <f t="shared" si="4" ref="AN3:AN4">"5415040400133"</f>
        <v>5415040400133</v>
      </c>
      <c r="AO3" s="3" t="s">
        <v>38</v>
      </c>
      <c r="AP3" s="7" t="str">
        <f>"8126856"</f>
        <v>8126856</v>
      </c>
      <c r="AQ3" s="8" t="str">
        <f>CONCATENATE("Data partially saved; pricing document  ",AP3," created")</f>
        <v>Data partially saved; pricing document  8126856 created</v>
      </c>
      <c r="AR3" s="17" t="str">
        <f t="shared" si="3"/>
        <v>8126856</v>
      </c>
      <c r="AS3" s="12"/>
    </row>
    <row r="4">
      <c r="A4" s="1"/>
      <c r="B4" s="1"/>
      <c r="C4" s="5" t="s">
        <v>71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2" t="str">
        <f>"14,27 "</f>
        <v xml:space="preserve">14,27 </v>
      </c>
      <c r="S4" s="1"/>
      <c r="T4" s="2" t="str">
        <f>"12,14 "</f>
        <v xml:space="preserve">12,14 </v>
      </c>
      <c r="U4" s="1"/>
      <c r="V4" s="1"/>
      <c r="W4" s="2" t="s">
        <v>4</v>
      </c>
      <c r="X4" s="1"/>
      <c r="Y4" s="2" t="s">
        <v>4</v>
      </c>
      <c r="Z4" s="1"/>
      <c r="AA4" s="1"/>
      <c r="AB4" s="1"/>
      <c r="AC4" s="1"/>
      <c r="AD4" s="2" t="s">
        <v>36</v>
      </c>
      <c r="AE4" s="1"/>
      <c r="AF4" s="1"/>
      <c r="AG4" s="2" t="s">
        <v>93</v>
      </c>
      <c r="AH4" s="1"/>
      <c r="AI4" s="1" t="s">
        <v>27</v>
      </c>
      <c r="AJ4" s="1"/>
      <c r="AK4" s="1"/>
      <c r="AL4" s="1"/>
      <c r="AM4" s="1"/>
      <c r="AN4" s="2" t="str">
        <f t="shared" si="4"/>
        <v>5415040400133</v>
      </c>
      <c r="AO4" s="1"/>
      <c r="AP4" s="7" t="str">
        <f>"12552924"</f>
        <v>12552924</v>
      </c>
      <c r="AQ4" s="1"/>
      <c r="AR4" s="1"/>
      <c r="AS4" s="12"/>
    </row>
    <row r="5">
      <c r="A5" s="1"/>
      <c r="B5" s="1"/>
      <c r="C5" s="4" t="s">
        <v>30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2" t="s">
        <v>46</v>
      </c>
      <c r="Z5" s="1"/>
      <c r="AA5" s="1"/>
      <c r="AB5" s="1"/>
      <c r="AC5" s="1"/>
      <c r="AD5" s="1"/>
      <c r="AE5" s="1"/>
      <c r="AF5" s="1"/>
      <c r="AG5" s="1"/>
      <c r="AH5" s="1"/>
      <c r="AI5" s="2" t="s">
        <v>20</v>
      </c>
      <c r="AJ5" s="1"/>
      <c r="AK5" s="1"/>
      <c r="AL5" s="1"/>
      <c r="AM5" s="1"/>
      <c r="AN5" s="1"/>
      <c r="AO5" s="1"/>
      <c r="AP5" s="1"/>
      <c r="AQ5" s="1"/>
      <c r="AR5" s="1"/>
      <c r="AS5" s="12"/>
    </row>
    <row r="6">
      <c r="A6" s="1"/>
      <c r="B6" s="1"/>
      <c r="C6" s="15" t="s">
        <v>75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2"/>
    </row>
    <row r="7">
      <c r="A7" s="1"/>
      <c r="B7" s="1"/>
      <c r="C7" s="8" t="s">
        <v>11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2"/>
    </row>
    <row r="8">
      <c r="A8" s="1"/>
      <c r="B8" s="1"/>
      <c r="C8" s="7" t="s">
        <v>15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2"/>
    </row>
    <row r="9">
      <c r="A9" s="1"/>
      <c r="B9" s="1"/>
      <c r="C9" s="2" t="s">
        <v>51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2"/>
    </row>
    <row r="10">
      <c r="A10" s="1"/>
      <c r="B10" s="1"/>
      <c r="C10" s="9" t="s">
        <v>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2"/>
    </row>
    <row r="11">
      <c r="A11" s="1"/>
      <c r="B11" s="1"/>
      <c r="C11" s="14" t="s">
        <v>52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2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selection activeCell="A2" sqref="A2"/>
    </sheetView>
  </sheetViews>
  <sheetFormatPr defaultColWidth="9.125" defaultRowHeight="14.25"/>
  <cols>
    <col min="1" max="1" width="38.75" style="11" customWidth="1"/>
    <col min="2" max="3" width="27.5" style="11" customWidth="1"/>
    <col min="4" max="4" width="40" style="11" customWidth="1"/>
    <col min="5" max="16384" width="9.125" style="11" customWidth="1"/>
  </cols>
  <sheetData>
    <row r="1" ht="12.75" customHeight="1" customFormat="1">
      <c r="A1" t="s">
        <v>28</v>
      </c>
      <c r="B1" t="s">
        <v>40</v>
      </c>
      <c r="C1" t="s">
        <v>22</v>
      </c>
      <c r="D1" t="s">
        <v>95</v>
      </c>
    </row>
    <row r="2">
      <c r="A2" s="1" t="s">
        <v>21</v>
      </c>
      <c r="B2" s="1" t="s">
        <v>29</v>
      </c>
      <c r="C2" s="1">
        <v>5415040400133</v>
      </c>
      <c r="D2" s="12">
        <v>24386211</v>
      </c>
    </row>
  </sheetData>
  <printOptions gridLines="1"/>
  <pageMargins left="0.75" right="0.75" top="1" bottom="1" header="0.5" footer="0.5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6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