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o in SAP-ZIGO_TASE" sheetId="3" r:id="rId3"/>
    <sheet name="DataTransfer_1" sheetId="4" r:id="rId4"/>
    <sheet name="TC2_PO_Manhattan_TASE" sheetId="5" r:id="rId5"/>
    <sheet name="DataTransfer_2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<sst xmlns="http://schemas.openxmlformats.org/spreadsheetml/2006/main" uniqueCount="81">
  <si>
    <t>AUTODLL</t>
  </si>
  <si>
    <t/>
  </si>
  <si>
    <t>DT_WAVE_STATUS</t>
  </si>
  <si>
    <t>DT_DELIVERY_START</t>
  </si>
  <si>
    <t>Ship wave completed</t>
  </si>
  <si>
    <t>Shipment</t>
  </si>
  <si>
    <t>DT_LPN_VARIANCE</t>
  </si>
  <si>
    <t>DT_LINES_ALLOCATED_OUTPUT</t>
  </si>
  <si>
    <t>000319928</t>
  </si>
  <si>
    <t>DT_SCENARIO</t>
  </si>
  <si>
    <t>Data Coming from another test</t>
  </si>
  <si>
    <t>DT_PICKUP_END</t>
  </si>
  <si>
    <t>DT_DOCK_DOOR_2</t>
  </si>
  <si>
    <t>DT_ASN_OUTPUT</t>
  </si>
  <si>
    <t>Output Data</t>
  </si>
  <si>
    <t>'Delhaize+03</t>
  </si>
  <si>
    <t>DT_TIME</t>
  </si>
  <si>
    <t>DT_DO_STATUS</t>
  </si>
  <si>
    <t>DT_DOCK_DOOR</t>
  </si>
  <si>
    <t>DT_HTML_ID_1</t>
  </si>
  <si>
    <t>DT_ALLOCATION_TYPE_OUTPUT</t>
  </si>
  <si>
    <t>Formulas</t>
  </si>
  <si>
    <t>DT_DIFF</t>
  </si>
  <si>
    <t>DT_DELIVERY_END</t>
  </si>
  <si>
    <t>DT_STATUS</t>
  </si>
  <si>
    <t>DT_HTML_ID</t>
  </si>
  <si>
    <t>DT_PUTAWAY_TYPE_OUTPUT</t>
  </si>
  <si>
    <t>https://wm-preprod-manhattan.eu.delhaize.com</t>
  </si>
  <si>
    <t>DT_TEACH_IN_INDICATOR</t>
  </si>
  <si>
    <t>Confirm Packed oLPNs To Loaded and Cancel &lt; Packed</t>
  </si>
  <si>
    <t>DT_UNITS_ALLOCATED_OUTPUT</t>
  </si>
  <si>
    <t>Input Data</t>
  </si>
  <si>
    <t>DT_SAPOPTIONS</t>
  </si>
  <si>
    <t>DT_DOCK_DOOR_VALUE</t>
  </si>
  <si>
    <t>DT_USER</t>
  </si>
  <si>
    <t>DT_DOCK_1</t>
  </si>
  <si>
    <t>Open</t>
  </si>
  <si>
    <t>DT_WAVE_NUMBER</t>
  </si>
  <si>
    <t>DT_SHIPMENT_ID</t>
  </si>
  <si>
    <t>Verifications</t>
  </si>
  <si>
    <t>Execution Control Data</t>
  </si>
  <si>
    <t>Delhaize+01</t>
  </si>
  <si>
    <t>DT_DO_COMBO_KEY</t>
  </si>
  <si>
    <t>DT_ARTICLE</t>
  </si>
  <si>
    <t>7155482</t>
  </si>
  <si>
    <t>NRM</t>
  </si>
  <si>
    <t>AWH</t>
  </si>
  <si>
    <t>DT_URL</t>
  </si>
  <si>
    <t>DT_PASSWORD</t>
  </si>
  <si>
    <t>DT_DATE</t>
  </si>
  <si>
    <t>DT_NOW_CET</t>
  </si>
  <si>
    <t>DT_PUTAWAY_TYPE</t>
  </si>
  <si>
    <t>DT_DO_STATUS_1</t>
  </si>
  <si>
    <t>DT_OUT_1</t>
  </si>
  <si>
    <t>DT_SHIPMENT_ID_OUTPUT</t>
  </si>
  <si>
    <t>DT_ROW</t>
  </si>
  <si>
    <t>DT_DO</t>
  </si>
  <si>
    <t>Released</t>
  </si>
  <si>
    <t>Manual Rear</t>
  </si>
  <si>
    <t>DT_DOCK_2</t>
  </si>
  <si>
    <t>DT_HTML_ID_WAVE_TEMPLATE</t>
  </si>
  <si>
    <t>DT_ASN_COMBO_KEY</t>
  </si>
  <si>
    <t>Automated Rear</t>
  </si>
  <si>
    <t>DT_PARENT_ID_OUTPUT</t>
  </si>
  <si>
    <t>Fixed Data</t>
  </si>
  <si>
    <t>Distribution Order</t>
  </si>
  <si>
    <t>DT_PICKUP_START</t>
  </si>
  <si>
    <t>DT_PARENT_ID</t>
  </si>
  <si>
    <t>DT_SHIPMENT_COMBO_KEY</t>
  </si>
  <si>
    <t>DT_LINES_REQUIRED_OUTPUT</t>
  </si>
  <si>
    <t>Login Information</t>
  </si>
  <si>
    <t>DT_ASN</t>
  </si>
  <si>
    <t>DT_ALLOCATION_TYPE</t>
  </si>
  <si>
    <t>DT_DOCK_DOOR_1</t>
  </si>
  <si>
    <t>Packed</t>
  </si>
  <si>
    <t>DT_DO_STATUS_2</t>
  </si>
  <si>
    <t>Shipped</t>
  </si>
  <si>
    <t>ASN0000771</t>
  </si>
  <si>
    <t>DT_UNITS_REQUIRED_OUTPUT</t>
  </si>
  <si>
    <t>AT_04-06-02-00-04-Goods receipt -DC Drinks-DESADV_TASE</t>
  </si>
  <si>
    <t>DT_HTML_ID_11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</si>
</sst>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theme="10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Border="1" applyProtection="1">
      <protection locked="0"/>
    </xf>
    <xf numFmtId="22" fontId="2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49" fontId="3" fillId="2" borderId="1" xfId="1" quotePrefix="1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2" fillId="0" borderId="2" xfId="0" applyNumberFormat="1" applyBorder="1" applyProtection="1">
      <protection locked="0"/>
    </xf>
    <xf numFmtId="20" fontId="2" fillId="0" borderId="1" xfId="0" applyNumberForma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4" fillId="4" borderId="1" xfId="0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49" fontId="3" fillId="2" borderId="1" xfId="1" applyNumberForma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18" fontId="2" fillId="0" borderId="1" xfId="0" applyNumberFormat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AT_04-06-02-06-05-Vendor%20returns-DC%20Drinks-Beer%20Crates-Empty%20Bottles%20(ZIGO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wm-preprod-manhattan.eu.delhaize.com/" TargetMode="External" /><Relationship Id="rId2" Type="http://schemas.openxmlformats.org/officeDocument/2006/relationships/hyperlink" Target="mailto:Welcome@2023" TargetMode="External" /><Relationship Id="rId3" Type="http://schemas.openxmlformats.org/officeDocument/2006/relationships/hyperlink" Target="mailto:Welcome@2023" TargetMode="External" /><Relationship Id="rId4" Type="http://schemas.openxmlformats.org/officeDocument/2006/relationships/hyperlink" Target="mailto:Welcome@2023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11"/>
  <sheetViews>
    <sheetView topLeftCell="B1" zoomScale="90" workbookViewId="0">
      <selection activeCell="B2" sqref="B2"/>
    </sheetView>
  </sheetViews>
  <sheetFormatPr defaultColWidth="9.42578125" defaultRowHeight="14.25"/>
  <cols>
    <col min="1" max="1" width="9.42578125" style="5" customWidth="1"/>
    <col min="2" max="2" width="42.75" style="5" customWidth="1"/>
    <col min="3" max="3" width="49.25" style="5" customWidth="1"/>
    <col min="4" max="4" width="12" style="5" customWidth="1"/>
    <col min="5" max="5" width="15.5" style="5" customWidth="1"/>
    <col min="6" max="7" width="20.125" style="5" customWidth="1"/>
    <col min="8" max="8" width="20" style="5" customWidth="1"/>
    <col min="9" max="9" width="10.875" style="5" bestFit="1" customWidth="1"/>
    <col min="10" max="10" width="16.5" style="5" customWidth="1"/>
    <col min="11" max="11" width="9.42578125" style="5" customWidth="1"/>
    <col min="12" max="13" width="16.375" style="5" customWidth="1"/>
    <col min="14" max="14" width="18.5" style="5" customWidth="1"/>
    <col min="15" max="15" width="16.5" style="5" customWidth="1"/>
    <col min="16" max="16" width="22.875" style="5" customWidth="1"/>
    <col min="17" max="17" width="21.75" style="5" customWidth="1"/>
    <col min="18" max="18" width="17.75" style="5" customWidth="1"/>
    <col min="19" max="19" width="21.625" style="5" customWidth="1"/>
    <col min="20" max="20" width="13.125" style="5" customWidth="1"/>
    <col min="21" max="21" width="24.25" style="5" customWidth="1"/>
    <col min="22" max="22" width="19.25" style="5" customWidth="1"/>
    <col min="23" max="23" width="23" style="5" customWidth="1"/>
    <col min="24" max="24" width="12.75" style="5" customWidth="1"/>
    <col min="25" max="25" width="16.5" style="5" customWidth="1"/>
    <col min="26" max="26" width="23" style="5" customWidth="1"/>
    <col min="27" max="27" width="12.375" style="5" customWidth="1"/>
    <col min="28" max="28" width="19.25" style="5" customWidth="1"/>
    <col min="29" max="29" width="18.625" style="5" customWidth="1"/>
    <col min="30" max="30" width="23.625" style="5" customWidth="1"/>
    <col min="31" max="32" width="9.42578125" style="5" customWidth="1"/>
    <col min="33" max="33" width="13.25" style="5" customWidth="1"/>
    <col min="34" max="35" width="20.25" style="5" customWidth="1"/>
    <col min="36" max="36" width="26.75" style="5" customWidth="1"/>
    <col min="37" max="39" width="20.25" style="5" customWidth="1"/>
    <col min="40" max="41" width="27.875" style="5" customWidth="1"/>
    <col min="42" max="42" width="20.25" style="5" customWidth="1"/>
    <col min="43" max="16384" width="9.42578125" style="5" customWidth="1"/>
  </cols>
  <sheetData>
    <row r="1" ht="14.85" customFormat="1">
      <c r="A1" t="s">
        <v>55</v>
      </c>
      <c r="B1" t="s">
        <v>9</v>
      </c>
      <c r="C1" t="s">
        <v>47</v>
      </c>
      <c r="D1" t="s">
        <v>34</v>
      </c>
      <c r="E1" t="s">
        <v>48</v>
      </c>
      <c r="F1" t="s">
        <v>32</v>
      </c>
      <c r="G1" t="s">
        <v>16</v>
      </c>
      <c r="H1" t="s">
        <v>42</v>
      </c>
      <c r="I1" t="s">
        <v>56</v>
      </c>
      <c r="J1" t="s">
        <v>17</v>
      </c>
      <c r="K1" t="s">
        <v>22</v>
      </c>
      <c r="L1" t="s">
        <v>49</v>
      </c>
      <c r="M1" t="s">
        <v>50</v>
      </c>
      <c r="N1" t="s">
        <v>66</v>
      </c>
      <c r="O1" t="s">
        <v>11</v>
      </c>
      <c r="P1" t="s">
        <v>3</v>
      </c>
      <c r="Q1" t="s">
        <v>23</v>
      </c>
      <c r="R1" t="s">
        <v>71</v>
      </c>
      <c r="S1" t="s">
        <v>61</v>
      </c>
      <c r="T1" t="s">
        <v>43</v>
      </c>
      <c r="U1" t="s">
        <v>28</v>
      </c>
      <c r="V1" t="s">
        <v>51</v>
      </c>
      <c r="W1" t="s">
        <v>72</v>
      </c>
      <c r="X1" t="s">
        <v>35</v>
      </c>
      <c r="Y1" t="s">
        <v>59</v>
      </c>
      <c r="Z1" t="s">
        <v>18</v>
      </c>
      <c r="AA1" t="s">
        <v>24</v>
      </c>
      <c r="AB1" t="s">
        <v>73</v>
      </c>
      <c r="AC1" t="s">
        <v>12</v>
      </c>
      <c r="AD1" t="s">
        <v>33</v>
      </c>
      <c r="AE1" t="s">
        <v>19</v>
      </c>
      <c r="AF1" t="s">
        <v>80</v>
      </c>
      <c r="AG1" t="s">
        <v>25</v>
      </c>
      <c r="AH1" t="s">
        <v>37</v>
      </c>
      <c r="AI1" t="s">
        <v>2</v>
      </c>
      <c r="AJ1" t="s">
        <v>60</v>
      </c>
      <c r="AK1" t="s">
        <v>52</v>
      </c>
      <c r="AL1" t="s">
        <v>67</v>
      </c>
      <c r="AM1" t="s">
        <v>38</v>
      </c>
      <c r="AN1" t="s">
        <v>68</v>
      </c>
      <c r="AO1" t="s">
        <v>6</v>
      </c>
      <c r="AP1" t="s">
        <v>75</v>
      </c>
    </row>
    <row r="2">
      <c r="A2" s="1">
        <v>2</v>
      </c>
      <c r="B2" s="1" t="s">
        <v>79</v>
      </c>
      <c r="C2" s="16" t="s">
        <v>27</v>
      </c>
      <c r="D2" s="4" t="s">
        <v>0</v>
      </c>
      <c r="E2" s="6" t="s">
        <v>41</v>
      </c>
      <c r="F2" s="4" t="s">
        <v>1</v>
      </c>
      <c r="G2" s="12">
        <v>0.90000000000000002</v>
      </c>
      <c r="H2" s="1" t="s">
        <v>65</v>
      </c>
      <c r="I2" s="1">
        <v>6700031702</v>
      </c>
      <c r="J2" s="1" t="s">
        <v>57</v>
      </c>
      <c r="K2" s="20">
        <f>TIME(4,30,0)</f>
        <v>0.1875</v>
      </c>
      <c r="L2" s="2">
        <f ca="1">NOW()</f>
        <v>45789.976819722229</v>
      </c>
      <c r="M2" s="2" t="str">
        <f ca="1">TEXT(L2-K2,"dd/mm/yyyy HH:MM")</f>
        <v>12/05/2025 18:56</v>
      </c>
      <c r="N2" s="2">
        <f ca="1">M2+TIME(0,30,0)</f>
        <v>45789.809722222228</v>
      </c>
      <c r="O2" s="2">
        <f ca="1">M2+TIME(7,0,0)</f>
        <v>45790.080555555556</v>
      </c>
      <c r="P2" s="2">
        <f ca="1">M2+TIME(1,0,0)</f>
        <v>45789.830555555556</v>
      </c>
      <c r="Q2" s="2">
        <f ca="1">M2+TIME(8,0,0)</f>
        <v>45790.122222222228</v>
      </c>
      <c r="R2" s="1" t="e">
        <f>[1]Output!A2</f>
        <v>#REF!</v>
      </c>
      <c r="S2" s="1" t="str">
        <f>"ASN"</f>
        <v>ASN</v>
      </c>
      <c r="T2" s="7" t="s">
        <v>44</v>
      </c>
      <c r="U2" s="1">
        <v>2</v>
      </c>
      <c r="V2" s="1" t="e">
        <f>[1]Output!B2</f>
        <v>#REF!</v>
      </c>
      <c r="W2" s="1" t="e">
        <f>[1]Output!C2</f>
        <v>#REF!</v>
      </c>
      <c r="X2" s="1" t="s">
        <v>58</v>
      </c>
      <c r="Y2" s="1" t="s">
        <v>62</v>
      </c>
      <c r="Z2" s="1" t="e">
        <f>IF(W2="MWH",X2,Y2)</f>
        <v>#REF!</v>
      </c>
      <c r="AA2" s="1" t="s">
        <v>36</v>
      </c>
      <c r="AB2" s="1">
        <v>611</v>
      </c>
      <c r="AC2" s="1">
        <v>711</v>
      </c>
      <c r="AD2" s="1" t="e">
        <f>IF(W2="MWH",AB2,AC2)</f>
        <v>#REF!</v>
      </c>
      <c r="AE2" s="1">
        <v>2</v>
      </c>
      <c r="AF2" s="1">
        <v>14</v>
      </c>
      <c r="AG2" s="1" t="e">
        <f>IF(W2="MWH",AE2,AF2)</f>
        <v>#REF!</v>
      </c>
      <c r="AH2" s="1" t="str">
        <f ca="1">TEXT(TODAY(),"yyyymmdd")</f>
        <v>20250512</v>
      </c>
      <c r="AI2" s="1" t="s">
        <v>4</v>
      </c>
      <c r="AJ2" s="1">
        <v>10</v>
      </c>
      <c r="AK2" s="1" t="s">
        <v>74</v>
      </c>
      <c r="AL2" s="1" t="e">
        <f>[1]Output!I2</f>
        <v>#REF!</v>
      </c>
      <c r="AM2" s="1" t="e">
        <f>[1]Output!J2</f>
        <v>#REF!</v>
      </c>
      <c r="AN2" s="1" t="s">
        <v>5</v>
      </c>
      <c r="AO2" s="7" t="s">
        <v>29</v>
      </c>
      <c r="AP2" s="9" t="s">
        <v>76</v>
      </c>
    </row>
    <row r="3">
      <c r="A3" s="1"/>
      <c r="B3" s="1"/>
      <c r="C3" s="1"/>
      <c r="D3" s="4" t="s">
        <v>0</v>
      </c>
      <c r="E3" s="6" t="s">
        <v>41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9"/>
    </row>
    <row r="4">
      <c r="A4" s="1"/>
      <c r="B4" s="1"/>
      <c r="C4" s="17" t="s">
        <v>70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9"/>
    </row>
    <row r="5">
      <c r="A5" s="1"/>
      <c r="B5" s="1"/>
      <c r="C5" s="10" t="s">
        <v>31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9"/>
    </row>
    <row r="6">
      <c r="A6" s="1"/>
      <c r="B6" s="1"/>
      <c r="C6" s="8" t="s">
        <v>64</v>
      </c>
      <c r="D6" s="1"/>
      <c r="E6" s="1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9"/>
    </row>
    <row r="7">
      <c r="A7" s="1"/>
      <c r="B7" s="1"/>
      <c r="C7" s="18" t="s">
        <v>14</v>
      </c>
      <c r="D7" s="1"/>
      <c r="E7" s="6" t="s">
        <v>41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9"/>
    </row>
    <row r="8">
      <c r="A8" s="1"/>
      <c r="B8" s="1"/>
      <c r="C8" s="19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9"/>
    </row>
    <row r="9">
      <c r="A9" s="1"/>
      <c r="B9" s="1"/>
      <c r="C9" s="15" t="s">
        <v>39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9"/>
    </row>
    <row r="10">
      <c r="A10" s="1"/>
      <c r="B10" s="1"/>
      <c r="C10" s="14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9"/>
    </row>
    <row r="11">
      <c r="A11" s="1"/>
      <c r="B11" s="1"/>
      <c r="C11" s="13" t="s">
        <v>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9"/>
    </row>
  </sheetData>
  <hyperlinks>
    <hyperlink ref="C2" r:id="rId1" display="https://wm-preprod-manhattan.eu.delhaize.com"/>
    <hyperlink ref="E7" r:id="rId2" display="Welcome@2023"/>
    <hyperlink ref="E3" r:id="rId3" display="Welcome@2023"/>
    <hyperlink ref="E2" r:id="rId4" display="Welcome@2023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J2"/>
  <sheetViews>
    <sheetView topLeftCell="G1" workbookViewId="0">
      <selection activeCell="G2" sqref="G2"/>
    </sheetView>
  </sheetViews>
  <sheetFormatPr defaultColWidth="9.125" defaultRowHeight="14.25"/>
  <cols>
    <col min="1" max="1" width="16.5" style="5" customWidth="1"/>
    <col min="2" max="2" width="28.5" style="5" customWidth="1"/>
    <col min="3" max="3" width="31.875" style="5" customWidth="1"/>
    <col min="4" max="4" width="9.125" style="5" customWidth="1"/>
    <col min="5" max="5" width="29.375" style="5" customWidth="1"/>
    <col min="6" max="6" width="30.75" style="5" customWidth="1"/>
    <col min="7" max="7" width="29.75" style="5" customWidth="1"/>
    <col min="8" max="8" width="32" style="5" customWidth="1"/>
    <col min="9" max="10" width="26.25" style="5" customWidth="1"/>
    <col min="11" max="16384" width="9.125" style="5" customWidth="1"/>
  </cols>
  <sheetData>
    <row r="1" ht="12.75" customHeight="1" customFormat="1">
      <c r="A1" t="s">
        <v>13</v>
      </c>
      <c r="B1" t="s">
        <v>26</v>
      </c>
      <c r="C1" t="s">
        <v>20</v>
      </c>
      <c r="D1" t="s">
        <v>53</v>
      </c>
      <c r="E1" t="s">
        <v>69</v>
      </c>
      <c r="F1" t="s">
        <v>7</v>
      </c>
      <c r="G1" t="s">
        <v>78</v>
      </c>
      <c r="H1" t="s">
        <v>30</v>
      </c>
      <c r="I1" t="s">
        <v>63</v>
      </c>
      <c r="J1" t="s">
        <v>54</v>
      </c>
    </row>
    <row r="2">
      <c r="A2" s="1" t="s">
        <v>77</v>
      </c>
      <c r="B2" s="1" t="s">
        <v>45</v>
      </c>
      <c r="C2" s="1" t="s">
        <v>46</v>
      </c>
      <c r="D2" s="1"/>
      <c r="E2" s="1">
        <v>1</v>
      </c>
      <c r="F2" s="1">
        <v>0</v>
      </c>
      <c r="G2" s="1">
        <v>56</v>
      </c>
      <c r="H2" s="1">
        <v>0</v>
      </c>
      <c r="I2" s="1">
        <v>5415314</v>
      </c>
      <c r="J2" s="11" t="s">
        <v>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