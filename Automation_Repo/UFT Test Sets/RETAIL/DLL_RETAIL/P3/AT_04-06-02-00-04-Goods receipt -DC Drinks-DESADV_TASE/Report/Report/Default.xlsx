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Drinks-DESADV_TASE" sheetId="3" r:id="rId3"/>
    <sheet name="TC2_Manhattan_GR_TASE" sheetId="4" r:id="rId4"/>
    <sheet name="DataTransfer_2" sheetId="5" r:id="rId5"/>
    <sheet name="DataTransfer_1" sheetId="6" r:id="rId6"/>
    <sheet name="TC3_P2_checkinSAP_TASE" sheetId="7" r:id="rId7"/>
  </sheets>
  <externalReferences>
    <externalReference r:id="rId11"/>
  </externalReferences>
  <calcPr calcId="40001"/>
</workbook>
</file>

<file path=xl/sharedStrings.xml><?xml version="1.0" encoding="utf-8"?>
<sst xmlns="http://schemas.openxmlformats.org/spreadsheetml/2006/main" uniqueCount="59">
  <si>
    <t>AUTODLL</t>
  </si>
  <si>
    <t/>
  </si>
  <si>
    <t>DT_SAPTRANSACTIONCODE</t>
  </si>
  <si>
    <t>DLI</t>
  </si>
  <si>
    <t>DT_IDOC_NO_OUTPUT</t>
  </si>
  <si>
    <t>5a6c843855678889ea369cd22c21cd</t>
  </si>
  <si>
    <t>DT_ME23N_0100_CHECK_GETCELLVALUE_OF_GRIDCELL_0_BELNR</t>
  </si>
  <si>
    <t>DT_T_CODE</t>
  </si>
  <si>
    <t>Verifications Date</t>
  </si>
  <si>
    <t>Data Coming from another test</t>
  </si>
  <si>
    <t>Scenario</t>
  </si>
  <si>
    <t>Output Data</t>
  </si>
  <si>
    <t>DT_ME21N_0003_PUR_ORDER</t>
  </si>
  <si>
    <t>ZMPO</t>
  </si>
  <si>
    <t>200</t>
  </si>
  <si>
    <t>ME23N</t>
  </si>
  <si>
    <t>DT_GR_TIME</t>
  </si>
  <si>
    <t>DT_SAPSYSTEM</t>
  </si>
  <si>
    <t>DT_ME23N_1105_MEPO_TOPLINEBSART</t>
  </si>
  <si>
    <t>DT_MIGO_ARTDOC</t>
  </si>
  <si>
    <t>DT_SAPLANGUAGE</t>
  </si>
  <si>
    <t>DT_SAPOPTIONS</t>
  </si>
  <si>
    <t>DT_MIGO_REFDOC</t>
  </si>
  <si>
    <t>Row</t>
  </si>
  <si>
    <t>DT_ROW_TO_CHECK</t>
  </si>
  <si>
    <t>DT_WE02_1100_MESSAGE_VARIANT</t>
  </si>
  <si>
    <t>DT_T_CODE_1</t>
  </si>
  <si>
    <t>Formulas Date</t>
  </si>
  <si>
    <t>Verifications</t>
  </si>
  <si>
    <t>Execution Control Data</t>
  </si>
  <si>
    <t>DT_CHECK_REASON</t>
  </si>
  <si>
    <t>DT_WE02_1100_MESSAGE_FUNCTION</t>
  </si>
  <si>
    <t>DT_ROW_OP</t>
  </si>
  <si>
    <t>DT_MIGO_TCODE</t>
  </si>
  <si>
    <t>DT_CHECK_MVTTYPE</t>
  </si>
  <si>
    <t>EN</t>
  </si>
  <si>
    <t>WE02</t>
  </si>
  <si>
    <t>DT_DATE</t>
  </si>
  <si>
    <t>Formulas General</t>
  </si>
  <si>
    <t>DT_ROWNUMBER</t>
  </si>
  <si>
    <t>X</t>
  </si>
  <si>
    <t>DT_ROW</t>
  </si>
  <si>
    <t>DT_IDOC_NO</t>
  </si>
  <si>
    <t>DT_CHECK_HEADERTEXT</t>
  </si>
  <si>
    <t>DT_IDOC_STATUS</t>
  </si>
  <si>
    <t>R1E - SAP RETAIL Pre-Production EUROPE</t>
  </si>
  <si>
    <t>Fixed Data</t>
  </si>
  <si>
    <t>DT_SAPPASSWORD</t>
  </si>
  <si>
    <t>/nMIGO</t>
  </si>
  <si>
    <t>A04</t>
  </si>
  <si>
    <t>R02</t>
  </si>
  <si>
    <t>Login Information</t>
  </si>
  <si>
    <t>DT_SAPUSER</t>
  </si>
  <si>
    <t>DT_ME23N_0100_CHECK_GETCELLVALUE_OF_GRIDCELL_0_BWART</t>
  </si>
  <si>
    <t>DT_MIGO_EVENT</t>
  </si>
  <si>
    <t>04-04-01-01-Scope Dry Drinks</t>
  </si>
  <si>
    <t>DT_SAPCLIENT</t>
  </si>
  <si>
    <t>DT_ME23N_0100_CHECK_GETCELLVALUE_OF_GRIDCELL_0_BWART_CHECK</t>
  </si>
  <si>
    <t>BD87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</si>
</sst>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8"/>
      <name val="Calibri"/>
      <family val="2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3" fillId="0" borderId="1" xfId="0" applyFont="1" applyBorder="1" applyProtection="1">
      <protection locked="0"/>
    </xf>
    <xf numFmtId="0" fontId="4" fillId="3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2" xfId="0" quotePrefix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14" fontId="1" fillId="0" borderId="1" xfId="0" applyNumberFormat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20" fontId="1" fillId="0" borderId="2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11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DLL\RETAIL\TASE_DT_06-09-14-correction%20on%20reception%20(WMS%20code%206)_P2_checkinSAP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G13"/>
  <sheetViews>
    <sheetView workbookViewId="0">
      <pane xSplit="1" ySplit="0" topLeftCell="AE2" activePane="topRight"/>
      <selection activeCell="AE2" sqref="AE2"/>
      <selection pane="topRight" activeCell="AE2" sqref="AE2"/>
    </sheetView>
  </sheetViews>
  <sheetFormatPr defaultColWidth="9.125" defaultRowHeight="14.25"/>
  <cols>
    <col min="1" max="1" width="9.125" style="10" customWidth="1"/>
    <col min="2" max="2" width="26.5" style="10" customWidth="1"/>
    <col min="3" max="3" width="38.125" style="10" customWidth="1"/>
    <col min="4" max="4" width="15" style="10" customWidth="1"/>
    <col min="5" max="5" width="13.625" style="10" customWidth="1"/>
    <col min="6" max="6" width="31.625" style="10" customWidth="1"/>
    <col min="7" max="7" width="18.625" style="10" customWidth="1"/>
    <col min="8" max="8" width="16.75" style="10" customWidth="1"/>
    <col min="9" max="9" width="27.125" style="10" customWidth="1"/>
    <col min="10" max="10" width="32.625" style="10" customWidth="1"/>
    <col min="11" max="11" width="51.5" style="10" customWidth="1"/>
    <col min="12" max="12" width="62" style="10" customWidth="1"/>
    <col min="13" max="14" width="52.25" style="10" customWidth="1"/>
    <col min="15" max="15" width="71.75" style="10" customWidth="1"/>
    <col min="16" max="16" width="61.375" style="10" customWidth="1"/>
    <col min="17" max="17" width="17.25" style="10" customWidth="1"/>
    <col min="18" max="18" width="16.75" style="10" customWidth="1"/>
    <col min="19" max="19" width="18.625" style="10" customWidth="1"/>
    <col min="20" max="20" width="18.5" style="10" customWidth="1"/>
    <col min="21" max="21" width="24.875" style="10" customWidth="1"/>
    <col min="22" max="22" width="20.875" style="10" customWidth="1"/>
    <col min="23" max="23" width="20.125" style="10" customWidth="1"/>
    <col min="24" max="24" width="13.625" style="10" customWidth="1"/>
    <col min="25" max="25" width="9.125" style="10" customWidth="1"/>
    <col min="26" max="26" width="11.75" style="10" customWidth="1"/>
    <col min="27" max="27" width="9.875" style="10" bestFit="1" customWidth="1"/>
    <col min="28" max="28" width="34.375" style="10" customWidth="1"/>
    <col min="29" max="29" width="34.5" style="10" customWidth="1"/>
    <col min="30" max="30" width="17.625" style="10" customWidth="1"/>
    <col min="31" max="31" width="15.25" style="10" customWidth="1"/>
    <col min="32" max="32" width="16.75" style="10" customWidth="1"/>
    <col min="33" max="33" width="13.875" style="10" customWidth="1"/>
    <col min="34" max="16384" width="9.125" style="10" customWidth="1"/>
  </cols>
  <sheetData>
    <row r="1" ht="12.75" customHeight="1" customFormat="1">
      <c r="A1" t="s">
        <v>23</v>
      </c>
      <c r="B1" t="s">
        <v>10</v>
      </c>
      <c r="C1" t="s">
        <v>17</v>
      </c>
      <c r="D1" t="s">
        <v>56</v>
      </c>
      <c r="E1" t="s">
        <v>52</v>
      </c>
      <c r="F1" t="s">
        <v>47</v>
      </c>
      <c r="G1" t="s">
        <v>20</v>
      </c>
      <c r="H1" t="s">
        <v>21</v>
      </c>
      <c r="I1" t="s">
        <v>2</v>
      </c>
      <c r="J1" t="s">
        <v>12</v>
      </c>
      <c r="K1" t="s">
        <v>18</v>
      </c>
      <c r="L1" t="s">
        <v>53</v>
      </c>
      <c r="M1" t="s">
        <v>39</v>
      </c>
      <c r="N1" t="s">
        <v>24</v>
      </c>
      <c r="O1" t="s">
        <v>57</v>
      </c>
      <c r="P1" t="s">
        <v>6</v>
      </c>
      <c r="Q1" t="s">
        <v>33</v>
      </c>
      <c r="R1" t="s">
        <v>54</v>
      </c>
      <c r="S1" t="s">
        <v>22</v>
      </c>
      <c r="T1" t="s">
        <v>19</v>
      </c>
      <c r="U1" t="s">
        <v>43</v>
      </c>
      <c r="V1" t="s">
        <v>34</v>
      </c>
      <c r="W1" t="s">
        <v>30</v>
      </c>
      <c r="X1" t="s">
        <v>40</v>
      </c>
      <c r="Y1" t="s">
        <v>41</v>
      </c>
      <c r="Z1" t="s">
        <v>7</v>
      </c>
      <c r="AA1" t="s">
        <v>37</v>
      </c>
      <c r="AB1" t="s">
        <v>25</v>
      </c>
      <c r="AC1" t="s">
        <v>31</v>
      </c>
      <c r="AD1" t="s">
        <v>42</v>
      </c>
      <c r="AE1" t="s">
        <v>26</v>
      </c>
      <c r="AF1" t="s">
        <v>44</v>
      </c>
      <c r="AG1" t="s">
        <v>16</v>
      </c>
    </row>
    <row r="2" ht="15">
      <c r="A2" s="1">
        <v>1</v>
      </c>
      <c r="B2" s="1" t="s">
        <v>55</v>
      </c>
      <c r="C2" s="2" t="s">
        <v>45</v>
      </c>
      <c r="D2" s="2" t="s">
        <v>14</v>
      </c>
      <c r="E2" s="2" t="s">
        <v>0</v>
      </c>
      <c r="F2" s="2" t="s">
        <v>5</v>
      </c>
      <c r="G2" s="2" t="s">
        <v>35</v>
      </c>
      <c r="H2" s="2" t="s">
        <v>1</v>
      </c>
      <c r="I2" s="3" t="s">
        <v>15</v>
      </c>
      <c r="J2" s="9">
        <v>4309528096</v>
      </c>
      <c r="K2" s="3" t="s">
        <v>13</v>
      </c>
      <c r="L2" s="7">
        <v>101</v>
      </c>
      <c r="M2" s="6">
        <v>4</v>
      </c>
      <c r="N2" s="7">
        <f>M2-1</f>
        <v>3</v>
      </c>
      <c r="O2" s="5">
        <v>102</v>
      </c>
      <c r="P2" s="6">
        <v>5034351965</v>
      </c>
      <c r="Q2" s="3" t="s">
        <v>48</v>
      </c>
      <c r="R2" s="3" t="s">
        <v>49</v>
      </c>
      <c r="S2" s="3" t="s">
        <v>50</v>
      </c>
      <c r="T2" s="11">
        <f>P2</f>
        <v>5034351965</v>
      </c>
      <c r="U2" s="5">
        <v>6</v>
      </c>
      <c r="V2" s="5">
        <v>102</v>
      </c>
      <c r="W2" s="5">
        <v>9042</v>
      </c>
      <c r="X2" s="1">
        <v>0.63194444444444442</v>
      </c>
      <c r="Y2" s="1" t="e">
        <f>[1]OUTPUT!A2</f>
        <v>#REF!</v>
      </c>
      <c r="Z2" s="1" t="s">
        <v>36</v>
      </c>
      <c r="AA2" s="16" t="str">
        <f ca="1">TEXT(TODAY(),"dd.mm.yyyy")</f>
        <v>31.10.2025</v>
      </c>
      <c r="AB2" s="8" t="s">
        <v>3</v>
      </c>
      <c r="AC2" s="8">
        <v>443</v>
      </c>
      <c r="AD2" s="1" t="e">
        <f>[1]OUTPUT!C2</f>
        <v>#REF!</v>
      </c>
      <c r="AE2" s="1" t="s">
        <v>58</v>
      </c>
      <c r="AF2" s="1">
        <v>53</v>
      </c>
      <c r="AG2" s="18">
        <v>0.43055555555555558</v>
      </c>
    </row>
    <row r="3">
      <c r="A3" s="1"/>
      <c r="B3" s="1"/>
      <c r="C3" s="1"/>
      <c r="D3" s="1"/>
      <c r="E3" s="1"/>
      <c r="F3" s="1"/>
      <c r="G3" s="1"/>
      <c r="H3" s="1"/>
      <c r="I3" s="1"/>
      <c r="J3" s="9">
        <v>4305210525</v>
      </c>
      <c r="K3" s="3"/>
      <c r="L3" s="7">
        <v>102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5"/>
    </row>
    <row r="4">
      <c r="A4" s="1"/>
      <c r="B4" s="1"/>
      <c r="C4" s="2" t="s">
        <v>51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5"/>
    </row>
    <row r="5">
      <c r="A5" s="1"/>
      <c r="B5" s="1"/>
      <c r="C5" s="2" t="s">
        <v>51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5"/>
    </row>
    <row r="6">
      <c r="A6" s="1"/>
      <c r="B6" s="1"/>
      <c r="C6" s="7" t="s">
        <v>46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5"/>
    </row>
    <row r="7">
      <c r="A7" s="1"/>
      <c r="B7" s="1"/>
      <c r="C7" s="6" t="s">
        <v>11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5"/>
    </row>
    <row r="8">
      <c r="A8" s="1"/>
      <c r="B8" s="1"/>
      <c r="C8" s="14" t="s">
        <v>27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5"/>
    </row>
    <row r="9">
      <c r="A9" s="1"/>
      <c r="B9" s="1"/>
      <c r="C9" s="11" t="s">
        <v>38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5"/>
    </row>
    <row r="10">
      <c r="A10" s="1"/>
      <c r="B10" s="1"/>
      <c r="C10" s="5" t="s">
        <v>28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5"/>
    </row>
    <row r="11">
      <c r="A11" s="1"/>
      <c r="B11" s="1"/>
      <c r="C11" s="17" t="s">
        <v>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5"/>
    </row>
    <row r="12">
      <c r="A12" s="1"/>
      <c r="B12" s="1"/>
      <c r="C12" s="9" t="s">
        <v>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5"/>
    </row>
    <row r="13">
      <c r="A13" s="1"/>
      <c r="B13" s="1"/>
      <c r="C13" s="12" t="s">
        <v>29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5"/>
    </row>
  </sheetData>
  <pageMargins left="0.7" right="0.7" top="0.75" bottom="0.75" header="0.3" footer="0.3"/>
  <pageSetup orientation="portrait" horizontalDpi="90" verticalDpi="90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1" width="9.125" style="10" customWidth="1"/>
    <col min="2" max="2" width="13.375" style="10" customWidth="1"/>
    <col min="3" max="3" width="22" style="10" customWidth="1"/>
    <col min="4" max="16384" width="9.125" style="10" customWidth="1"/>
  </cols>
  <sheetData>
    <row r="1" ht="12.75" customHeight="1" customFormat="1">
      <c r="A1" t="s">
        <v>41</v>
      </c>
      <c r="B1" t="s">
        <v>32</v>
      </c>
      <c r="C1" t="s">
        <v>4</v>
      </c>
    </row>
    <row r="2">
      <c r="A2" s="1">
        <v>6</v>
      </c>
      <c r="B2" s="1"/>
      <c r="C2" s="13">
        <v>3132526719</v>
      </c>
    </row>
  </sheetData>
  <printOptions gridLines="1"/>
  <pageMargins left="0.75" right="0.75" top="1" bottom="1" header="0.5" footer="0.5"/>
  <pageSetup orientation="portrait" horizontalDpi="90" verticalDpi="9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