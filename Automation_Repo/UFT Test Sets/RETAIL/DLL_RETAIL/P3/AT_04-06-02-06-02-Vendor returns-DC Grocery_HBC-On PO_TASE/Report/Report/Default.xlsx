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8"/>
  </bookViews>
  <sheets>
    <sheet name="Global" sheetId="1" r:id="rId1"/>
    <sheet name="RunTimeResultFolder" sheetId="2" r:id="rId2"/>
    <sheet name="TC1_(Grocery_HBC-On PO)_TASE" sheetId="3" r:id="rId3"/>
    <sheet name="DataTransfer_1" sheetId="4" r:id="rId4"/>
    <sheet name="TC2_HBC PO _GLD_TASE" sheetId="5" r:id="rId5"/>
    <sheet name="DataTransfer_2" sheetId="6" r:id="rId6"/>
    <sheet name="TC3_from_PO_ME23N_TASE" sheetId="7" r:id="rId7"/>
    <sheet name="DataTransfer_3" sheetId="8" r:id="rId8"/>
    <sheet name="TC4_HBC OnPO_GLD_TASE" sheetId="9" r:id="rId9"/>
  </sheets>
  <externalReferences>
    <externalReference r:id="rId13"/>
  </externalReferences>
  <calcPr calcId="40001"/>
</workbook>
</file>

<file path=xl/sharedStrings.xml><?xml version="1.0" encoding="utf-8"?>
<sst xmlns="http://schemas.openxmlformats.org/spreadsheetml/2006/main" uniqueCount="159">
  <si>
    <t>AUTODLL</t>
  </si>
  <si>
    <t>DT_P_SEND_KEY_C3</t>
  </si>
  <si>
    <t>RECEPTION</t>
  </si>
  <si>
    <t>Menu de reception</t>
  </si>
  <si>
    <t>DT_CHOICE_8</t>
  </si>
  <si>
    <t>AT_04-06-02-06-02-Vendor returns-DC Grocery_HBC-On PO</t>
  </si>
  <si>
    <t>W-18-01-A-1</t>
  </si>
  <si>
    <t>1527</t>
  </si>
  <si>
    <t>DT_P_SEND_KEY_C7</t>
  </si>
  <si>
    <t>DT_P_FIELD_NAME_C3</t>
  </si>
  <si>
    <t>DT_P_FIELD_ID_VAL_PO_C11</t>
  </si>
  <si>
    <t>DT_ADDR_PIVOT</t>
  </si>
  <si>
    <t>Data Coming from another test</t>
  </si>
  <si>
    <t>DT_USERNAME</t>
  </si>
  <si>
    <t>DT_P_FIELD_ID_C2</t>
  </si>
  <si>
    <t>DT_P_KEY_C2</t>
  </si>
  <si>
    <t>887</t>
  </si>
  <si>
    <t>DT_P_FIELD_ID_VAL_QUANTITY_ARTICLE_C16</t>
  </si>
  <si>
    <t>DT_DESC_1</t>
  </si>
  <si>
    <t>DT_P_FIELD_ID_C15</t>
  </si>
  <si>
    <t>DT_DESC_C5</t>
  </si>
  <si>
    <t>DT_DESC_C1</t>
  </si>
  <si>
    <t>DT_OP_GET_DATE_C2</t>
  </si>
  <si>
    <t>DT_DLV</t>
  </si>
  <si>
    <t>Scenario</t>
  </si>
  <si>
    <t>Output Data</t>
  </si>
  <si>
    <t>S:\SAPTAORTL\TE Libraries\GOLD Profiles\WH77X_PREPROD.WS</t>
  </si>
  <si>
    <t>DT_P_FIELD_ID_VAL_CHOICE_C1</t>
  </si>
  <si>
    <t>DT_P_FIELD_ID_VAL_CHOICE_C5</t>
  </si>
  <si>
    <t>DT_P_FIELD_ID_C6</t>
  </si>
  <si>
    <t>DT_P_KEY_C6</t>
  </si>
  <si>
    <t>Qty Livre</t>
  </si>
  <si>
    <t>DT_CHOICE_1</t>
  </si>
  <si>
    <t>DT_CHOICE_5</t>
  </si>
  <si>
    <t>Formulas</t>
  </si>
  <si>
    <t>DT_P_SEND_KEY_C4</t>
  </si>
  <si>
    <t>Value of field Limite de peremption</t>
  </si>
  <si>
    <t>DT_CHOICE_9</t>
  </si>
  <si>
    <t>DT_QUANTITY_ARTICLE_1</t>
  </si>
  <si>
    <t>DT_P_FIELD_NAME</t>
  </si>
  <si>
    <t>262</t>
  </si>
  <si>
    <t>742</t>
  </si>
  <si>
    <t>DT_P_SEND_KEY_C8</t>
  </si>
  <si>
    <t>906</t>
  </si>
  <si>
    <t>DT_P_FIELD_NAME_C4</t>
  </si>
  <si>
    <t>DT_P_SEND_KEY_C10</t>
  </si>
  <si>
    <t>1062</t>
  </si>
  <si>
    <t>DT_VERIFY_QTY</t>
  </si>
  <si>
    <t>Input Data</t>
  </si>
  <si>
    <t>DT_P_FIELD_ID_C3</t>
  </si>
  <si>
    <t>DT_P_FIELD_ID_VAL_QUANTITY_ARTICLE_C13</t>
  </si>
  <si>
    <t>DT_P_FIELD_ID_VAL_SAP_PO_OREDRING_ADRESS_CODE_C10</t>
  </si>
  <si>
    <t>368</t>
  </si>
  <si>
    <t>DT_DESC</t>
  </si>
  <si>
    <t>1st Article Quantity</t>
  </si>
  <si>
    <t>@1</t>
  </si>
  <si>
    <t>DT_P_FIELD_ID_C12</t>
  </si>
  <si>
    <t>DT_DESC_C2</t>
  </si>
  <si>
    <t>768</t>
  </si>
  <si>
    <t>779</t>
  </si>
  <si>
    <t>DT_QUAI</t>
  </si>
  <si>
    <t>DT_DLV_2</t>
  </si>
  <si>
    <t>Row</t>
  </si>
  <si>
    <t>DT_P_FIELD_ID_VAL_CHOICE_C2</t>
  </si>
  <si>
    <t>DT_P_KEY_C3</t>
  </si>
  <si>
    <t>DT_P_FIELD_ID_VAL_CHOICE_C6</t>
  </si>
  <si>
    <t>DT_ME21N_1211_TABLECELL_ARTICLE_0_OCC1</t>
  </si>
  <si>
    <t>DT_P_FIELD_ID_VAL_ARTICLE_C15</t>
  </si>
  <si>
    <t>8</t>
  </si>
  <si>
    <t>2nd Article Quantity</t>
  </si>
  <si>
    <t>DT_P_KEY_C7</t>
  </si>
  <si>
    <t>DT_DESC_C6</t>
  </si>
  <si>
    <t>DT_P_FIELD_ID_C16</t>
  </si>
  <si>
    <t>DT_P_FIELD_ID_C7</t>
  </si>
  <si>
    <t>D-81-44-A-2</t>
  </si>
  <si>
    <t>DT_OP_GET_DATE</t>
  </si>
  <si>
    <t>DT_CHOICE_2</t>
  </si>
  <si>
    <t>DT_CHOICE_6</t>
  </si>
  <si>
    <t>Verifications</t>
  </si>
  <si>
    <t>Execution Control Data</t>
  </si>
  <si>
    <t>Address `</t>
  </si>
  <si>
    <t>@E</t>
  </si>
  <si>
    <t>DT_P_SEND_KEY_C1</t>
  </si>
  <si>
    <t>1550</t>
  </si>
  <si>
    <t>D</t>
  </si>
  <si>
    <t>DT_P_SEND_KEY_C5</t>
  </si>
  <si>
    <t>DT_P_FIELD_NAME_C1</t>
  </si>
  <si>
    <t>Quai</t>
  </si>
  <si>
    <t>DT_DATE_INCREMENT_C1</t>
  </si>
  <si>
    <t>DT_P_FIELD_ID_VAL_VERIFY_QTY_C18</t>
  </si>
  <si>
    <t>1532</t>
  </si>
  <si>
    <t>field1059</t>
  </si>
  <si>
    <t>DT_ARTICLE1</t>
  </si>
  <si>
    <t>DT_QUANTITY_ARTICLE_2</t>
  </si>
  <si>
    <t>DT_P_SEND_KEY</t>
  </si>
  <si>
    <t>DT_DATE_INCREMENT</t>
  </si>
  <si>
    <t>DT_GET_DATE_2</t>
  </si>
  <si>
    <t>DT_P_FIELD_ID_VAL_VERIFY_QTY_DELIVERED_C19</t>
  </si>
  <si>
    <t>DT_P_SEND_KEY_C9</t>
  </si>
  <si>
    <t>DT_P_FIELD_NAME_C5</t>
  </si>
  <si>
    <t>DT_PASSWORD</t>
  </si>
  <si>
    <t>1</t>
  </si>
  <si>
    <t>40101A1</t>
  </si>
  <si>
    <t>DT_P_KEY_C31</t>
  </si>
  <si>
    <t>DT_P_SEND_KEY_C11</t>
  </si>
  <si>
    <t>DT_DESC_C3</t>
  </si>
  <si>
    <t>DT_P_FIELD_ID_C13</t>
  </si>
  <si>
    <t>Qty Saisie</t>
  </si>
  <si>
    <t>DT_P_FIELD_ID_VAL_CHOICE_C3</t>
  </si>
  <si>
    <t>DT_P_FIELD_ID_C4</t>
  </si>
  <si>
    <t>DT_P_FIELD_ID_VAL_CHOICE_C7</t>
  </si>
  <si>
    <t>DT_P_FIELD_ID_VAL_ARTICLE_C12</t>
  </si>
  <si>
    <t>DT_GET_DATE</t>
  </si>
  <si>
    <t>DT_P_KEY_C4</t>
  </si>
  <si>
    <t>DT_P_FIELD_ID_C8</t>
  </si>
  <si>
    <t>@6</t>
  </si>
  <si>
    <t>DT_CHOICE_3</t>
  </si>
  <si>
    <t>DT_CHOICE_7</t>
  </si>
  <si>
    <t>Row1</t>
  </si>
  <si>
    <t>AUTODL83</t>
  </si>
  <si>
    <t>1202</t>
  </si>
  <si>
    <t>DT_P_SEND_KEY_C2</t>
  </si>
  <si>
    <t>10</t>
  </si>
  <si>
    <t>DT_P_SEND_KEY_C6</t>
  </si>
  <si>
    <t>25</t>
  </si>
  <si>
    <t>DT_P_FIELD_NAME_C2</t>
  </si>
  <si>
    <t>DT_P_FIELD_ID_VAL_QUAI_C9</t>
  </si>
  <si>
    <t>32</t>
  </si>
  <si>
    <t>field1081</t>
  </si>
  <si>
    <t>DT_ARTICLE2</t>
  </si>
  <si>
    <t>Fixed Data</t>
  </si>
  <si>
    <t>DT_ENVIRONMENT</t>
  </si>
  <si>
    <t>DT_P_FIELD_ID_VAL_CHOICE</t>
  </si>
  <si>
    <t>DT_P_FIELD_ID_VAL_PO_C10</t>
  </si>
  <si>
    <t>DT_P_FIELD_NAME_C11</t>
  </si>
  <si>
    <t>DT_P_FIELD_NAME_C6</t>
  </si>
  <si>
    <t>DT_PO</t>
  </si>
  <si>
    <t>Login Information</t>
  </si>
  <si>
    <t>P-01-01-A-1</t>
  </si>
  <si>
    <t>DT_P_KEY</t>
  </si>
  <si>
    <t>DT_P_KEY_C1</t>
  </si>
  <si>
    <t>DT_P_FIELD_ID_C1</t>
  </si>
  <si>
    <t>Option</t>
  </si>
  <si>
    <t>DT_P_FIELD_ID_VAL_CHECK_MENU_C20</t>
  </si>
  <si>
    <t>DT_P_FIELD_ID_C10</t>
  </si>
  <si>
    <t>DT_P_SEND_KEY_C12</t>
  </si>
  <si>
    <t>DT_P_FIELD_ID_C14</t>
  </si>
  <si>
    <t>DT_DESC_C4</t>
  </si>
  <si>
    <t>DT_OP_GET_DATE_C1</t>
  </si>
  <si>
    <t>DT_VERIFY_QTY_DELIVERED</t>
  </si>
  <si>
    <t>DT_CHECK_MENU</t>
  </si>
  <si>
    <t>DT_P_FIELD_ID</t>
  </si>
  <si>
    <t>DT_P_FIELD_ID_VAL_CHOICE_C4</t>
  </si>
  <si>
    <t>DT_P_FIELD_ID_C5</t>
  </si>
  <si>
    <t>DT_P_FIELD_ID_VAL_CHOICE_C8</t>
  </si>
  <si>
    <t>DT_P_FIELD_ID_C9</t>
  </si>
  <si>
    <t>DT_P_KEY_C5</t>
  </si>
  <si>
    <t>AUTODL15</t>
  </si>
  <si>
    <t>DT_CHOICE_4</t>
  </si>
</sst>
</file>

<file path=xl/styles.xml><?xml version="1.0" encoding="utf-8"?>
<styleSheet xmlns="http://schemas.openxmlformats.org/spreadsheetml/2006/main">
  <numFmts count="2">
    <numFmt numFmtId="164" formatCode="mmddyyyy"/>
    <numFmt numFmtId="165" formatCode="ddmm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53"/>
      <name val="Mic Shell Dlg"/>
      <charset val="1"/>
    </font>
    <font>
      <sz val="11"/>
      <color indexed="9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Border="1" applyProtection="1">
      <protection locked="0"/>
    </xf>
    <xf numFmtId="0" fontId="1" fillId="2" borderId="1" xfId="0" quotePrefix="1" applyFill="1" applyBorder="1" applyProtection="1">
      <protection locked="0"/>
    </xf>
    <xf numFmtId="0" fontId="1" fillId="2" borderId="1" xfId="0" applyFill="1" applyBorder="1" applyProtection="1">
      <protection locked="0"/>
    </xf>
    <xf numFmtId="0" fontId="2" fillId="2" borderId="1" xfId="0" applyFont="1" applyFill="1" applyBorder="1" applyProtection="1">
      <protection locked="0"/>
    </xf>
    <xf numFmtId="0" fontId="1" fillId="3" borderId="1" xfId="0" quotePrefix="1" applyFill="1" applyBorder="1" applyProtection="1">
      <protection locked="0"/>
    </xf>
    <xf numFmtId="0" fontId="1" fillId="3" borderId="1" xfId="0" applyFill="1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14" fontId="1" fillId="5" borderId="1" xfId="0" applyNumberFormat="1" applyFill="1" applyBorder="1" applyProtection="1">
      <protection locked="0"/>
    </xf>
    <xf numFmtId="0" fontId="3" fillId="6" borderId="1" xfId="0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1" fillId="7" borderId="1" xfId="0" applyFill="1" applyBorder="1" applyProtection="1">
      <protection locked="0"/>
    </xf>
    <xf numFmtId="0" fontId="3" fillId="6" borderId="1" xfId="0" quotePrefix="1" applyFont="1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165" fontId="1" fillId="2" borderId="1" xfId="0" applyNumberFormat="1" applyFill="1" applyBorder="1" applyProtection="1">
      <protection locked="0"/>
    </xf>
    <xf numFmtId="49" fontId="1" fillId="7" borderId="1" xfId="0" applyNumberFormat="1" applyFill="1" applyBorder="1" applyProtection="1">
      <protection locked="0"/>
    </xf>
    <xf numFmtId="14" fontId="1" fillId="0" borderId="1" xfId="0" applyNumberFormat="1" applyBorder="1" applyProtection="1">
      <protection locked="0"/>
    </xf>
    <xf numFmtId="0" fontId="3" fillId="6" borderId="2" xfId="0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5" borderId="1" xfId="0" applyFill="1" applyBorder="1" applyProtection="1">
      <protection locked="0"/>
    </xf>
    <xf numFmtId="0" fontId="1" fillId="8" borderId="1" xfId="0" applyFill="1" applyBorder="1" applyProtection="1">
      <protection locked="0"/>
    </xf>
    <xf numFmtId="164" fontId="1" fillId="5" borderId="1" xfId="0" applyNumberFormat="1" applyFill="1" applyBorder="1" applyProtection="1">
      <protection locked="0"/>
    </xf>
    <xf numFmtId="14" fontId="1" fillId="0" borderId="2" xfId="0" applyNumberFormat="1" applyBorder="1" applyProtection="1">
      <protection locked="0"/>
    </xf>
    <xf numFmtId="49" fontId="1" fillId="0" borderId="2" xfId="0" quotePrefix="1" applyNumberFormat="1" applyBorder="1" applyProtection="1">
      <protection locked="0"/>
    </xf>
    <xf numFmtId="0" fontId="1" fillId="9" borderId="1" xfId="0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0" Type="http://schemas.openxmlformats.org/officeDocument/2006/relationships/theme" Target="theme/theme1.xml" /><Relationship Id="rId11" Type="http://schemas.openxmlformats.org/officeDocument/2006/relationships/styles" Target="styles.xml" /><Relationship Id="rId12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3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P3\DLL\RETAIL\TASE_DT_06-09-26_Full%20reception%20in%20standard%20zone%20(goods%20+%20pallets)%20(Returns_DC%20Grocery_HBC-On%20PO)_GOLD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  <sheetName val="Sheet1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CG23"/>
  <sheetViews>
    <sheetView topLeftCell="B1" zoomScale="80" workbookViewId="0">
      <pane xSplit="1" ySplit="0" topLeftCell="D2" activePane="topRight"/>
      <selection activeCell="D2" sqref="D2"/>
      <selection pane="topRight" activeCell="D2" sqref="D2"/>
    </sheetView>
  </sheetViews>
  <sheetFormatPr defaultColWidth="9.125" defaultRowHeight="14.25"/>
  <cols>
    <col min="1" max="2" width="9.125" style="11" customWidth="1"/>
    <col min="3" max="3" width="52.125" style="11" customWidth="1"/>
    <col min="4" max="4" width="14.25" style="11" customWidth="1"/>
    <col min="5" max="5" width="14.625" style="11" customWidth="1"/>
    <col min="6" max="6" width="53.375" style="11" customWidth="1"/>
    <col min="7" max="7" width="10.75" style="11" customWidth="1"/>
    <col min="8" max="10" width="11" style="11" customWidth="1"/>
    <col min="11" max="38" width="13" style="11" customWidth="1"/>
    <col min="39" max="39" width="9.125" style="11" customWidth="1"/>
    <col min="40" max="41" width="12" style="11" customWidth="1"/>
    <col min="42" max="42" width="12.875" style="11" customWidth="1"/>
    <col min="43" max="44" width="23.875" style="11" customWidth="1"/>
    <col min="45" max="45" width="13.75" style="11" customWidth="1"/>
    <col min="46" max="48" width="12.875" style="11" customWidth="1"/>
    <col min="49" max="49" width="23.875" style="11" customWidth="1"/>
    <col min="50" max="50" width="15.75" style="11" customWidth="1"/>
    <col min="51" max="51" width="15.25" style="11" customWidth="1"/>
    <col min="52" max="52" width="26.25" style="11" customWidth="1"/>
    <col min="53" max="53" width="18.375" style="11" customWidth="1"/>
    <col min="54" max="82" width="9.125" style="11" customWidth="1"/>
    <col min="83" max="84" width="30.375" style="11" customWidth="1"/>
    <col min="85" max="85" width="16.25" style="11" customWidth="1"/>
    <col min="86" max="16384" width="9.125" style="11" customWidth="1"/>
  </cols>
  <sheetData>
    <row r="1" ht="12.75" customHeight="1" customFormat="1">
      <c r="A1" t="s">
        <v>62</v>
      </c>
      <c r="B1" t="s">
        <v>118</v>
      </c>
      <c r="C1" t="s">
        <v>24</v>
      </c>
      <c r="D1" t="s">
        <v>13</v>
      </c>
      <c r="E1" t="s">
        <v>100</v>
      </c>
      <c r="F1" t="s">
        <v>131</v>
      </c>
      <c r="G1" t="s">
        <v>139</v>
      </c>
      <c r="H1" t="s">
        <v>140</v>
      </c>
      <c r="I1" t="s">
        <v>151</v>
      </c>
      <c r="J1" t="s">
        <v>94</v>
      </c>
      <c r="K1" t="s">
        <v>132</v>
      </c>
      <c r="L1" t="s">
        <v>82</v>
      </c>
      <c r="M1" t="s">
        <v>141</v>
      </c>
      <c r="N1" t="s">
        <v>27</v>
      </c>
      <c r="O1" t="s">
        <v>121</v>
      </c>
      <c r="P1" t="s">
        <v>14</v>
      </c>
      <c r="Q1" t="s">
        <v>63</v>
      </c>
      <c r="R1" t="s">
        <v>15</v>
      </c>
      <c r="S1" t="s">
        <v>1</v>
      </c>
      <c r="T1" t="s">
        <v>64</v>
      </c>
      <c r="U1" t="s">
        <v>49</v>
      </c>
      <c r="V1" t="s">
        <v>108</v>
      </c>
      <c r="W1" t="s">
        <v>35</v>
      </c>
      <c r="X1" t="s">
        <v>109</v>
      </c>
      <c r="Y1" t="s">
        <v>152</v>
      </c>
      <c r="Z1" t="s">
        <v>85</v>
      </c>
      <c r="AA1" t="s">
        <v>39</v>
      </c>
      <c r="AB1" t="s">
        <v>28</v>
      </c>
      <c r="AC1" t="s">
        <v>123</v>
      </c>
      <c r="AD1" t="s">
        <v>86</v>
      </c>
      <c r="AE1" t="s">
        <v>65</v>
      </c>
      <c r="AF1" t="s">
        <v>8</v>
      </c>
      <c r="AG1" t="s">
        <v>125</v>
      </c>
      <c r="AH1" t="s">
        <v>110</v>
      </c>
      <c r="AI1" t="s">
        <v>153</v>
      </c>
      <c r="AJ1" t="s">
        <v>154</v>
      </c>
      <c r="AK1" t="s">
        <v>29</v>
      </c>
      <c r="AL1" t="s">
        <v>9</v>
      </c>
      <c r="AM1" t="s">
        <v>126</v>
      </c>
      <c r="AN1" t="s">
        <v>133</v>
      </c>
      <c r="AO1" t="s">
        <v>10</v>
      </c>
      <c r="AP1" t="s">
        <v>111</v>
      </c>
      <c r="AQ1" t="s">
        <v>50</v>
      </c>
      <c r="AR1" t="s">
        <v>51</v>
      </c>
      <c r="AS1" t="s">
        <v>112</v>
      </c>
      <c r="AT1" t="s">
        <v>67</v>
      </c>
      <c r="AU1" t="s">
        <v>95</v>
      </c>
      <c r="AV1" t="s">
        <v>88</v>
      </c>
      <c r="AW1" t="s">
        <v>17</v>
      </c>
      <c r="AX1" t="s">
        <v>96</v>
      </c>
      <c r="AY1" t="s">
        <v>89</v>
      </c>
      <c r="AZ1" t="s">
        <v>97</v>
      </c>
      <c r="BA1" t="s">
        <v>143</v>
      </c>
      <c r="BB1" t="s">
        <v>42</v>
      </c>
      <c r="BC1" t="s">
        <v>103</v>
      </c>
      <c r="BD1" t="s">
        <v>113</v>
      </c>
      <c r="BE1" t="s">
        <v>114</v>
      </c>
      <c r="BF1" t="s">
        <v>53</v>
      </c>
      <c r="BG1" t="s">
        <v>98</v>
      </c>
      <c r="BH1" t="s">
        <v>155</v>
      </c>
      <c r="BI1" t="s">
        <v>144</v>
      </c>
      <c r="BJ1" t="s">
        <v>18</v>
      </c>
      <c r="BK1" t="s">
        <v>44</v>
      </c>
      <c r="BL1" t="s">
        <v>45</v>
      </c>
      <c r="BM1" t="s">
        <v>104</v>
      </c>
      <c r="BN1" t="s">
        <v>134</v>
      </c>
      <c r="BO1" t="s">
        <v>56</v>
      </c>
      <c r="BP1" t="s">
        <v>105</v>
      </c>
      <c r="BQ1" t="s">
        <v>57</v>
      </c>
      <c r="BR1" t="s">
        <v>106</v>
      </c>
      <c r="BS1" t="s">
        <v>99</v>
      </c>
      <c r="BT1" t="s">
        <v>145</v>
      </c>
      <c r="BU1" t="s">
        <v>156</v>
      </c>
      <c r="BV1" t="s">
        <v>30</v>
      </c>
      <c r="BW1" t="s">
        <v>146</v>
      </c>
      <c r="BX1" t="s">
        <v>19</v>
      </c>
      <c r="BY1" t="s">
        <v>147</v>
      </c>
      <c r="BZ1" t="s">
        <v>20</v>
      </c>
      <c r="CA1" t="s">
        <v>70</v>
      </c>
      <c r="CB1" t="s">
        <v>71</v>
      </c>
      <c r="CC1" t="s">
        <v>72</v>
      </c>
      <c r="CD1" t="s">
        <v>73</v>
      </c>
      <c r="CE1" t="s">
        <v>21</v>
      </c>
      <c r="CF1" t="s">
        <v>135</v>
      </c>
      <c r="CG1" t="s">
        <v>11</v>
      </c>
    </row>
    <row r="2">
      <c r="A2" s="7">
        <v>1</v>
      </c>
      <c r="B2" s="7">
        <v>2</v>
      </c>
      <c r="C2" s="7" t="s">
        <v>5</v>
      </c>
      <c r="D2" s="16" t="s">
        <v>0</v>
      </c>
      <c r="E2" s="16" t="s">
        <v>119</v>
      </c>
      <c r="F2" s="14" t="s">
        <v>26</v>
      </c>
      <c r="G2" s="2" t="s">
        <v>81</v>
      </c>
      <c r="H2" s="2" t="s">
        <v>81</v>
      </c>
      <c r="I2" s="2" t="s">
        <v>7</v>
      </c>
      <c r="J2" s="2" t="s">
        <v>81</v>
      </c>
      <c r="K2" s="2" t="s">
        <v>101</v>
      </c>
      <c r="L2" s="2" t="s">
        <v>81</v>
      </c>
      <c r="M2" s="2" t="s">
        <v>120</v>
      </c>
      <c r="N2" s="2" t="s">
        <v>101</v>
      </c>
      <c r="O2" s="2" t="s">
        <v>81</v>
      </c>
      <c r="P2" s="2" t="s">
        <v>7</v>
      </c>
      <c r="Q2" s="2" t="s">
        <v>122</v>
      </c>
      <c r="R2" s="2" t="s">
        <v>81</v>
      </c>
      <c r="S2" s="2" t="s">
        <v>81</v>
      </c>
      <c r="T2" s="2" t="s">
        <v>81</v>
      </c>
      <c r="U2" s="2" t="s">
        <v>7</v>
      </c>
      <c r="V2" s="2" t="s">
        <v>122</v>
      </c>
      <c r="W2" s="2" t="s">
        <v>81</v>
      </c>
      <c r="X2" s="2" t="s">
        <v>83</v>
      </c>
      <c r="Y2" s="3" t="s">
        <v>84</v>
      </c>
      <c r="Z2" s="2" t="s">
        <v>81</v>
      </c>
      <c r="AA2" s="3" t="s">
        <v>142</v>
      </c>
      <c r="AB2" s="2" t="s">
        <v>101</v>
      </c>
      <c r="AC2" s="2" t="s">
        <v>81</v>
      </c>
      <c r="AD2" s="3" t="s">
        <v>142</v>
      </c>
      <c r="AE2" s="2" t="s">
        <v>124</v>
      </c>
      <c r="AF2" s="2" t="s">
        <v>81</v>
      </c>
      <c r="AG2" s="3" t="s">
        <v>142</v>
      </c>
      <c r="AH2" s="2" t="s">
        <v>101</v>
      </c>
      <c r="AI2" s="2" t="s">
        <v>40</v>
      </c>
      <c r="AJ2" s="2" t="s">
        <v>16</v>
      </c>
      <c r="AK2" s="2" t="s">
        <v>41</v>
      </c>
      <c r="AL2" s="3" t="s">
        <v>87</v>
      </c>
      <c r="AM2" s="3" t="s">
        <v>102</v>
      </c>
      <c r="AN2" s="1">
        <v>4309530376</v>
      </c>
      <c r="AO2" s="4">
        <f>AN2</f>
        <v>4309530376</v>
      </c>
      <c r="AP2" s="4" t="s">
        <v>66</v>
      </c>
      <c r="AQ2" s="4">
        <v>384</v>
      </c>
      <c r="AR2" s="4">
        <v>11000387</v>
      </c>
      <c r="AS2" s="22" t="e">
        <f>[1]OUTPUT!B2</f>
        <v>#REF!</v>
      </c>
      <c r="AT2" s="4">
        <v>7152755</v>
      </c>
      <c r="AU2" s="4">
        <v>5</v>
      </c>
      <c r="AV2" s="4">
        <v>5</v>
      </c>
      <c r="AW2" s="4">
        <v>160</v>
      </c>
      <c r="AX2" s="9" t="e">
        <f>[1]OUTPUT!C2</f>
        <v>#REF!</v>
      </c>
      <c r="AY2" s="13" t="s">
        <v>101</v>
      </c>
      <c r="AZ2" s="13" t="s">
        <v>101</v>
      </c>
      <c r="BA2" s="10" t="s">
        <v>2</v>
      </c>
      <c r="BB2" s="2" t="s">
        <v>81</v>
      </c>
      <c r="BC2" s="2" t="s">
        <v>81</v>
      </c>
      <c r="BD2" s="2" t="s">
        <v>81</v>
      </c>
      <c r="BE2" s="2" t="s">
        <v>52</v>
      </c>
      <c r="BF2" s="6" t="s">
        <v>54</v>
      </c>
      <c r="BG2" s="2" t="s">
        <v>81</v>
      </c>
      <c r="BH2" s="2" t="s">
        <v>90</v>
      </c>
      <c r="BI2" s="2" t="s">
        <v>43</v>
      </c>
      <c r="BJ2" s="6" t="s">
        <v>36</v>
      </c>
      <c r="BK2" s="6" t="s">
        <v>91</v>
      </c>
      <c r="BL2" s="5" t="s">
        <v>81</v>
      </c>
      <c r="BM2" s="5" t="s">
        <v>55</v>
      </c>
      <c r="BN2" s="5" t="s">
        <v>52</v>
      </c>
      <c r="BO2" s="5" t="s">
        <v>90</v>
      </c>
      <c r="BP2" s="6" t="s">
        <v>36</v>
      </c>
      <c r="BQ2" s="5" t="s">
        <v>69</v>
      </c>
      <c r="BR2" s="2" t="s">
        <v>43</v>
      </c>
      <c r="BS2" s="6" t="s">
        <v>91</v>
      </c>
      <c r="BT2" s="5" t="s">
        <v>81</v>
      </c>
      <c r="BU2" s="5" t="s">
        <v>81</v>
      </c>
      <c r="BV2" s="5" t="s">
        <v>115</v>
      </c>
      <c r="BW2" s="5" t="s">
        <v>58</v>
      </c>
      <c r="BX2" s="5" t="s">
        <v>59</v>
      </c>
      <c r="BY2" s="6" t="s">
        <v>107</v>
      </c>
      <c r="BZ2" s="6" t="s">
        <v>31</v>
      </c>
      <c r="CA2" s="5" t="s">
        <v>115</v>
      </c>
      <c r="CB2" s="6" t="s">
        <v>3</v>
      </c>
      <c r="CC2" s="5" t="s">
        <v>127</v>
      </c>
      <c r="CD2" s="5" t="s">
        <v>46</v>
      </c>
      <c r="CE2" s="6" t="s">
        <v>36</v>
      </c>
      <c r="CF2" s="6" t="s">
        <v>128</v>
      </c>
      <c r="CG2" s="24" t="s">
        <v>74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4">
        <v>7153975</v>
      </c>
      <c r="AU3" s="1"/>
      <c r="AV3" s="1"/>
      <c r="AW3" s="1"/>
      <c r="AX3" s="1"/>
      <c r="AY3" s="13" t="s">
        <v>68</v>
      </c>
      <c r="AZ3" s="13" t="s">
        <v>68</v>
      </c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9"/>
    </row>
    <row r="4">
      <c r="A4" s="1"/>
      <c r="B4" s="1"/>
      <c r="C4" s="12" t="s">
        <v>137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9"/>
    </row>
    <row r="5">
      <c r="A5" s="1"/>
      <c r="B5" s="1"/>
      <c r="C5" s="3" t="s">
        <v>48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9"/>
    </row>
    <row r="6">
      <c r="A6" s="1"/>
      <c r="B6" s="1"/>
      <c r="C6" s="25" t="s">
        <v>130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9"/>
    </row>
    <row r="7">
      <c r="A7" s="1"/>
      <c r="B7" s="1"/>
      <c r="C7" s="20" t="s">
        <v>25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9"/>
    </row>
    <row r="8">
      <c r="A8" s="1"/>
      <c r="B8" s="1"/>
      <c r="C8" s="21" t="s">
        <v>34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9"/>
    </row>
    <row r="9">
      <c r="A9" s="1"/>
      <c r="B9" s="1"/>
      <c r="C9" s="10" t="s">
        <v>78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9"/>
    </row>
    <row r="10">
      <c r="A10" s="1"/>
      <c r="B10" s="1"/>
      <c r="C10" s="4" t="s">
        <v>12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9"/>
    </row>
    <row r="11">
      <c r="A11" s="1"/>
      <c r="B11" s="1"/>
      <c r="C11" s="7" t="s">
        <v>79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9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9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9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9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9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9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9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9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9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9"/>
    </row>
    <row r="21">
      <c r="A21" s="1"/>
      <c r="B21" s="1"/>
      <c r="C21" s="1" t="s">
        <v>80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9"/>
    </row>
    <row r="22">
      <c r="A22" s="1"/>
      <c r="B22" s="1"/>
      <c r="C22" s="1" t="s">
        <v>6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9"/>
    </row>
    <row r="23">
      <c r="A23" s="1"/>
      <c r="B23" s="1"/>
      <c r="C23" s="1" t="s">
        <v>138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9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D2"/>
  <sheetViews>
    <sheetView workbookViewId="0">
      <selection activeCell="A2" sqref="A2"/>
    </sheetView>
  </sheetViews>
  <sheetFormatPr defaultColWidth="9.125" defaultRowHeight="14.25"/>
  <cols>
    <col min="1" max="1" width="9.125" style="11" customWidth="1"/>
    <col min="2" max="2" width="18.25" style="11" customWidth="1"/>
    <col min="3" max="3" width="22.625" style="11" customWidth="1"/>
    <col min="4" max="4" width="20.75" style="11" customWidth="1"/>
    <col min="5" max="16384" width="9.125" style="11" customWidth="1"/>
  </cols>
  <sheetData>
    <row r="1" ht="12.75" customHeight="1" customFormat="1">
      <c r="A1" t="s">
        <v>118</v>
      </c>
      <c r="B1" t="s">
        <v>75</v>
      </c>
      <c r="C1" t="s">
        <v>148</v>
      </c>
      <c r="D1" t="s">
        <v>22</v>
      </c>
    </row>
    <row r="2">
      <c r="A2" s="7">
        <v>2</v>
      </c>
      <c r="B2" s="17">
        <v>44571</v>
      </c>
      <c r="C2" s="9">
        <v>46025</v>
      </c>
      <c r="D2" s="23">
        <v>44629</v>
      </c>
    </row>
  </sheetData>
  <printOptions gridLines="1"/>
  <pageMargins left="0.75" right="0.75" top="1" bottom="1" header="0.5" footer="0.5"/>
  <pageSetup orientation="portrait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AB2"/>
  <sheetViews>
    <sheetView workbookViewId="0">
      <selection activeCell="A2" sqref="A2"/>
    </sheetView>
  </sheetViews>
  <sheetFormatPr defaultColWidth="9.42578125" defaultRowHeight="14.25"/>
  <cols>
    <col min="1" max="16384" width="9.42578125" style="11" customWidth="1"/>
  </cols>
  <sheetData>
    <row r="1" ht="12.75" customHeight="1" customFormat="1">
      <c r="A1" t="s">
        <v>62</v>
      </c>
      <c r="B1" t="s">
        <v>118</v>
      </c>
      <c r="C1" t="s">
        <v>24</v>
      </c>
      <c r="D1" t="s">
        <v>13</v>
      </c>
      <c r="E1" t="s">
        <v>100</v>
      </c>
      <c r="F1" t="s">
        <v>131</v>
      </c>
      <c r="G1" t="s">
        <v>32</v>
      </c>
      <c r="H1" t="s">
        <v>76</v>
      </c>
      <c r="I1" t="s">
        <v>116</v>
      </c>
      <c r="J1" t="s">
        <v>158</v>
      </c>
      <c r="K1" t="s">
        <v>33</v>
      </c>
      <c r="L1" t="s">
        <v>77</v>
      </c>
      <c r="M1" t="s">
        <v>117</v>
      </c>
      <c r="N1" t="s">
        <v>4</v>
      </c>
      <c r="O1" t="s">
        <v>37</v>
      </c>
      <c r="P1" t="s">
        <v>60</v>
      </c>
      <c r="Q1" t="s">
        <v>136</v>
      </c>
      <c r="R1" t="s">
        <v>92</v>
      </c>
      <c r="S1" t="s">
        <v>38</v>
      </c>
      <c r="T1" t="s">
        <v>112</v>
      </c>
      <c r="U1" t="s">
        <v>23</v>
      </c>
      <c r="V1" t="s">
        <v>129</v>
      </c>
      <c r="W1" t="s">
        <v>93</v>
      </c>
      <c r="X1" t="s">
        <v>96</v>
      </c>
      <c r="Y1" t="s">
        <v>61</v>
      </c>
      <c r="Z1" t="s">
        <v>47</v>
      </c>
      <c r="AA1" t="s">
        <v>149</v>
      </c>
      <c r="AB1" t="s">
        <v>150</v>
      </c>
    </row>
    <row r="2">
      <c r="A2" s="7">
        <v>1</v>
      </c>
      <c r="B2" s="7">
        <v>2</v>
      </c>
      <c r="C2" s="7" t="s">
        <v>5</v>
      </c>
      <c r="D2" s="12" t="s">
        <v>0</v>
      </c>
      <c r="E2" s="12" t="s">
        <v>157</v>
      </c>
      <c r="F2" s="14" t="s">
        <v>26</v>
      </c>
      <c r="G2" s="3">
        <v>1</v>
      </c>
      <c r="H2" s="3">
        <v>1</v>
      </c>
      <c r="I2" s="3">
        <v>10</v>
      </c>
      <c r="J2" s="3">
        <v>10</v>
      </c>
      <c r="K2" s="3" t="s">
        <v>84</v>
      </c>
      <c r="L2" s="3">
        <v>1</v>
      </c>
      <c r="M2" s="3">
        <v>25</v>
      </c>
      <c r="N2" s="3">
        <v>1</v>
      </c>
      <c r="O2" s="3">
        <v>887</v>
      </c>
      <c r="P2" s="3" t="s">
        <v>102</v>
      </c>
      <c r="Q2" s="4">
        <v>4307200597</v>
      </c>
      <c r="R2" s="4">
        <v>7165679</v>
      </c>
      <c r="S2" s="4">
        <v>384</v>
      </c>
      <c r="T2" s="9" t="str">
        <f>"28/06/2021"</f>
        <v>28/06/2021</v>
      </c>
      <c r="U2" s="15">
        <f>T2+5</f>
        <v>44380</v>
      </c>
      <c r="V2" s="4">
        <v>7153975</v>
      </c>
      <c r="W2" s="4">
        <v>160</v>
      </c>
      <c r="X2" s="9" t="str">
        <f>"07/07/2021"</f>
        <v>07/07/2021</v>
      </c>
      <c r="Y2" s="15">
        <f>X2+5</f>
        <v>44389</v>
      </c>
      <c r="Z2" s="10">
        <v>6</v>
      </c>
      <c r="AA2" s="10">
        <v>6</v>
      </c>
      <c r="AB2" s="18" t="s">
        <v>2</v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8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8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8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8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8" customWidth="1"/>
  </cols>
  <sheetData>
    <row r="1" ht="15.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8" customWidth="1"/>
  </cols>
  <sheetData>
    <row r="1" ht="15.1" customFormat="1"/>
  </sheetData>
  <pageMargins left="0.7" right="0.7" top="0.75" bottom="0.75" header="0.3" footer="0.3"/>
</worksheet>
</file>