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RunTimeResultFolderCreation" sheetId="2" r:id="rId2"/>
    <sheet name="DataTransfer_OneValue1" sheetId="3" r:id="rId3"/>
    <sheet name="Wait" sheetId="4" r:id="rId4"/>
    <sheet name="DataTransfer_OneValue 2" sheetId="5" r:id="rId5"/>
    <sheet name="DataTransfer_OneValue 4" sheetId="6" r:id="rId6"/>
    <sheet name="DataTransfer_OneValue 5" sheetId="7" r:id="rId7"/>
    <sheet name="DataTransfer_OneValue 6" sheetId="8" r:id="rId8"/>
    <sheet name="DataTransfer_OneValue 7" sheetId="9" r:id="rId9"/>
    <sheet name="DataTransfer_OneValue 8" sheetId="10" r:id="rId10"/>
    <sheet name="TC1_Test_06-01-02-02-01 MSI Net" sheetId="11" r:id="rId11"/>
    <sheet name="TC3_Test_06-02-01-02Genrate OBD" sheetId="12" r:id="rId12"/>
    <sheet name="TC5_Test_Maintain Stock" sheetId="13" r:id="rId13"/>
    <sheet name="DataTransfer_OneValue3" sheetId="14" r:id="rId14"/>
    <sheet name="TC6_Split IDOCs and send to PI" sheetId="15" r:id="rId15"/>
    <sheet name="TC7_Split IDOCs &amp; send to PI_P2" sheetId="16" r:id="rId16"/>
    <sheet name="TC8_Retrive child and post GI" sheetId="17" r:id="rId17"/>
    <sheet name="TC9_Test_VerifyGI doc_Affiliate" sheetId="18" r:id="rId18"/>
    <sheet name="TC10_Create Billing Doc OBD" sheetId="19" r:id="rId19"/>
    <sheet name="TC11_Test_Verify_Billing Doc" sheetId="20" r:id="rId20"/>
    <sheet name="TC4_Test_Retrive&amp;verify OBD SO" sheetId="21" r:id="rId21"/>
  </sheets>
  <externalReferences>
    <externalReference r:id="rId25"/>
  </externalReferences>
  <calcPr calcId="40001"/>
</workbook>
</file>

<file path=xl/sharedStrings.xml><?xml version="1.0" encoding="utf-8"?>
<sst xmlns="http://schemas.openxmlformats.org/spreadsheetml/2006/main" uniqueCount="96">
  <si>
    <t>AUTODLL</t>
  </si>
  <si>
    <t/>
  </si>
  <si>
    <t>DT_SAPTRANSACTIONCODE</t>
  </si>
  <si>
    <t>R1ECLNT200</t>
  </si>
  <si>
    <t>DLI</t>
  </si>
  <si>
    <t>DT_WE19_0300_RECV_SYS</t>
  </si>
  <si>
    <t>B</t>
  </si>
  <si>
    <t>S_TL_G</t>
  </si>
  <si>
    <t>DT_WE19_0400_SALES_QTY_DENOM</t>
  </si>
  <si>
    <t>DT_WE19_0010_CHECK_TEXT_OF_MESSTXT1_OCC1</t>
  </si>
  <si>
    <t>9140532303</t>
  </si>
  <si>
    <t>N</t>
  </si>
  <si>
    <t>DT_WE19_0300_BUSINESSPROCESS</t>
  </si>
  <si>
    <t>DT_WE19_0300_DEBUG_FLG</t>
  </si>
  <si>
    <t>DT_WE19_0400_DELIV_NUMB</t>
  </si>
  <si>
    <t>000020</t>
  </si>
  <si>
    <t>DT_WE19_0510_CHECK_ICONNAME_OF_EDI_STAT03ICON</t>
  </si>
  <si>
    <t>IDoc number 0000003800279856 was passed to the</t>
  </si>
  <si>
    <t>Scenario</t>
  </si>
  <si>
    <t>WE19</t>
  </si>
  <si>
    <t>3</t>
  </si>
  <si>
    <t>%blank%</t>
  </si>
  <si>
    <t>AT_BE Integrated - Dry</t>
  </si>
  <si>
    <t>AT_BE affiliate - Dry</t>
  </si>
  <si>
    <t>AT_LU Affiliate - Dry</t>
  </si>
  <si>
    <t>200</t>
  </si>
  <si>
    <t>DT_EXPECTEDVALUE</t>
  </si>
  <si>
    <t>SAPR1E</t>
  </si>
  <si>
    <t>LS</t>
  </si>
  <si>
    <t>DT_WE19_0100_PART_TYPE_OCC1</t>
  </si>
  <si>
    <t>DT_WE19_0300_DLV_TYPE</t>
  </si>
  <si>
    <t>ZLF</t>
  </si>
  <si>
    <t>DT_WE19_0400_SALES_QTY_NUM_OCC1</t>
  </si>
  <si>
    <t>IDoc number 0000000192223382 transferred to</t>
  </si>
  <si>
    <t>DT_CHECK_TEXT_OF_MESSTXT1_Output</t>
  </si>
  <si>
    <t>IDoc number 0000003800696147 was passed to the</t>
  </si>
  <si>
    <t>AT_BE Integrated - Dry_Partial_Missing</t>
  </si>
  <si>
    <t>DT_SAPSYSTEM</t>
  </si>
  <si>
    <t>DT_WE19_0100_PARTNER_NO</t>
  </si>
  <si>
    <t>DT_WE19_0100_PART_TYPE</t>
  </si>
  <si>
    <t>135</t>
  </si>
  <si>
    <t>ZNL</t>
  </si>
  <si>
    <t>AT_BE Integrated - Dry_Full_Missing</t>
  </si>
  <si>
    <t>DT_SAPLANGUAGE</t>
  </si>
  <si>
    <t>DT_SAPOPTIONS</t>
  </si>
  <si>
    <t>S</t>
  </si>
  <si>
    <t>DT_WE19_0100_PORT</t>
  </si>
  <si>
    <t>000010</t>
  </si>
  <si>
    <t>DT_WE19_0400_DLV_QTY_STOCK</t>
  </si>
  <si>
    <t>96</t>
  </si>
  <si>
    <t>0</t>
  </si>
  <si>
    <t>=AM13/2</t>
  </si>
  <si>
    <t>Row</t>
  </si>
  <si>
    <t>SAPIGE</t>
  </si>
  <si>
    <t>DT_WE19_0100_MESSAGE_VARIANT</t>
  </si>
  <si>
    <t>4</t>
  </si>
  <si>
    <t>DT_WE19_0010_CHECK_TEXT_OF_MESSTXT1</t>
  </si>
  <si>
    <t>AT_LU Integrated - Dry</t>
  </si>
  <si>
    <t>DT_WE19_0100_PARTNER_ROLE</t>
  </si>
  <si>
    <t>DT_WE19_0100_PARTNER_NO_OCC1</t>
  </si>
  <si>
    <t>DT_WE19_0100_PARTNER_ROLE_OCC1</t>
  </si>
  <si>
    <t>DT_WE19_0300_DELIVERYNEW</t>
  </si>
  <si>
    <t>=AL13/2</t>
  </si>
  <si>
    <t>IDoc number 0000001141837731 was passed to the</t>
  </si>
  <si>
    <t>EN</t>
  </si>
  <si>
    <t>ZBE1</t>
  </si>
  <si>
    <t>DT_WE19_0400_DLV_QTY</t>
  </si>
  <si>
    <t>IDoc number 0000003755417394 was passed to the</t>
  </si>
  <si>
    <t>56c5ea285bee0a5f1b826cf473f0da</t>
  </si>
  <si>
    <t>DT_WE19_0010_VIA_MESSAGE_TYPE_OCC1</t>
  </si>
  <si>
    <t>DT_WE19_0300_DELIVERYITEMSBELONGT</t>
  </si>
  <si>
    <t>DT_WE19_0400_DELIV_ITEM</t>
  </si>
  <si>
    <t>DT_WE19_0400_DELIV_ITEM_OCC1</t>
  </si>
  <si>
    <t>AT_BE interco - Dry</t>
  </si>
  <si>
    <t>DT_WE19_0010_VIA_MESSAGE_TYPE</t>
  </si>
  <si>
    <t>LDLBE01B04</t>
  </si>
  <si>
    <t>DT_WE19_0400_SALES_QTY_NUM</t>
  </si>
  <si>
    <t>DT_SALES_QTY_DENOM</t>
  </si>
  <si>
    <t>IDoc number 0000001141860539 was passed to the</t>
  </si>
  <si>
    <t>IDoc number</t>
  </si>
  <si>
    <t>R1E - SAP RETAIL Pre-Production EUROPE</t>
  </si>
  <si>
    <t>DT_SAPPASSWORD</t>
  </si>
  <si>
    <t>SHP_OBDLV_SPLIT_DECENTRAL</t>
  </si>
  <si>
    <t>DT_WE19_0400_CURR_QTY</t>
  </si>
  <si>
    <t>DT_WE19_0400_DLV_QTY_STOCK_OCC1</t>
  </si>
  <si>
    <t>IDoc number 0000000393081278 was passed to the</t>
  </si>
  <si>
    <t>IDoc number 0000003800289047 was passed to the</t>
  </si>
  <si>
    <t>DT_SAPUSER</t>
  </si>
  <si>
    <t>DT_DEL_QTY</t>
  </si>
  <si>
    <t>IDoc number 0000000393081241 was passed to the</t>
  </si>
  <si>
    <t>AS</t>
  </si>
  <si>
    <t>DT_SAPCLIENT</t>
  </si>
  <si>
    <t>DT_WE19_0100_PORT_OCC1</t>
  </si>
  <si>
    <t>DT_WE19_0100_MESSAGE_FUNCTION</t>
  </si>
  <si>
    <t>DT_WE19_0300_DELIVERY</t>
  </si>
  <si>
    <t>IDoc number 0000003800688021 was passed to the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</si>
</sst>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2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5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RETAIL\DT_Split%20IDOCs%20and%20send%20to%20PI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S20"/>
  <sheetViews>
    <sheetView workbookViewId="0">
      <pane xSplit="1" ySplit="0" topLeftCell="W2" activePane="topRight"/>
      <selection activeCell="W2" sqref="W2"/>
      <selection pane="topRight" activeCell="W2" sqref="W2"/>
    </sheetView>
  </sheetViews>
  <sheetFormatPr defaultColWidth="9.125" defaultRowHeight="14.25"/>
  <cols>
    <col min="1" max="1" width="4.875" style="11" customWidth="1"/>
    <col min="2" max="2" width="33.625" style="11" customWidth="1"/>
    <col min="3" max="3" width="38.125" style="11" customWidth="1"/>
    <col min="4" max="4" width="15" style="11" customWidth="1"/>
    <col min="5" max="5" width="13.625" style="11" customWidth="1"/>
    <col min="6" max="6" width="31.375" style="11" customWidth="1"/>
    <col min="7" max="7" width="18.625" style="11" customWidth="1"/>
    <col min="8" max="8" width="16.75" style="11" customWidth="1"/>
    <col min="9" max="9" width="27.125" style="11" customWidth="1"/>
    <col min="10" max="10" width="34.75" style="11" customWidth="1"/>
    <col min="11" max="11" width="40.625" style="11" customWidth="1"/>
    <col min="12" max="12" width="20.75" style="11" customWidth="1"/>
    <col min="13" max="13" width="20.875" style="11" customWidth="1"/>
    <col min="14" max="14" width="28.5" style="11" customWidth="1"/>
    <col min="15" max="15" width="26.75" style="11" customWidth="1"/>
    <col min="16" max="16" width="30.75" style="11" customWidth="1"/>
    <col min="17" max="17" width="26.75" style="11" customWidth="1"/>
    <col min="18" max="18" width="34.375" style="11" customWidth="1"/>
    <col min="19" max="19" width="32.625" style="11" customWidth="1"/>
    <col min="20" max="20" width="36.625" style="11" customWidth="1"/>
    <col min="21" max="21" width="34" style="11" customWidth="1"/>
    <col min="22" max="22" width="35.375" style="11" customWidth="1"/>
    <col min="23" max="23" width="24.875" style="11" customWidth="1"/>
    <col min="24" max="24" width="29.25" style="11" customWidth="1"/>
    <col min="25" max="25" width="39.5" style="11" customWidth="1"/>
    <col min="26" max="26" width="34.125" style="11" customWidth="1"/>
    <col min="27" max="27" width="26.75" style="11" customWidth="1"/>
    <col min="28" max="28" width="25.5" style="11" customWidth="1"/>
    <col min="29" max="29" width="25.25" style="11" customWidth="1"/>
    <col min="30" max="30" width="27.5" style="11" customWidth="1"/>
    <col min="31" max="31" width="26.5" style="11" customWidth="1"/>
    <col min="32" max="32" width="25.875" style="11" customWidth="1"/>
    <col min="33" max="33" width="24.125" style="11" customWidth="1"/>
    <col min="34" max="34" width="31.375" style="11" customWidth="1"/>
    <col min="35" max="35" width="31.75" style="11" customWidth="1"/>
    <col min="36" max="36" width="34.375" style="11" customWidth="1"/>
    <col min="37" max="38" width="32.375" style="11" customWidth="1"/>
    <col min="39" max="39" width="37.25" style="11" customWidth="1"/>
    <col min="40" max="41" width="37.625" style="11" customWidth="1"/>
    <col min="42" max="42" width="52.875" style="11" customWidth="1"/>
    <col min="43" max="43" width="43.625" style="11" customWidth="1"/>
    <col min="44" max="44" width="48" style="11" customWidth="1"/>
    <col min="45" max="16384" width="9.125" style="11" customWidth="1"/>
  </cols>
  <sheetData>
    <row r="1" ht="12.75" customHeight="1" customFormat="1">
      <c r="A1" t="s">
        <v>52</v>
      </c>
      <c r="B1" t="s">
        <v>18</v>
      </c>
      <c r="C1" t="s">
        <v>37</v>
      </c>
      <c r="D1" t="s">
        <v>91</v>
      </c>
      <c r="E1" t="s">
        <v>87</v>
      </c>
      <c r="F1" t="s">
        <v>81</v>
      </c>
      <c r="G1" t="s">
        <v>43</v>
      </c>
      <c r="H1" t="s">
        <v>44</v>
      </c>
      <c r="I1" t="s">
        <v>2</v>
      </c>
      <c r="J1" t="s">
        <v>74</v>
      </c>
      <c r="K1" t="s">
        <v>69</v>
      </c>
      <c r="L1" t="s">
        <v>26</v>
      </c>
      <c r="M1" t="s">
        <v>46</v>
      </c>
      <c r="N1" t="s">
        <v>38</v>
      </c>
      <c r="O1" t="s">
        <v>39</v>
      </c>
      <c r="P1" t="s">
        <v>58</v>
      </c>
      <c r="Q1" t="s">
        <v>92</v>
      </c>
      <c r="R1" t="s">
        <v>59</v>
      </c>
      <c r="S1" t="s">
        <v>29</v>
      </c>
      <c r="T1" t="s">
        <v>60</v>
      </c>
      <c r="U1" t="s">
        <v>54</v>
      </c>
      <c r="V1" t="s">
        <v>93</v>
      </c>
      <c r="W1" t="s">
        <v>94</v>
      </c>
      <c r="X1" t="s">
        <v>61</v>
      </c>
      <c r="Y1" t="s">
        <v>70</v>
      </c>
      <c r="Z1" t="s">
        <v>12</v>
      </c>
      <c r="AA1" t="s">
        <v>13</v>
      </c>
      <c r="AB1" t="s">
        <v>5</v>
      </c>
      <c r="AC1" t="s">
        <v>30</v>
      </c>
      <c r="AD1" t="s">
        <v>14</v>
      </c>
      <c r="AE1" t="s">
        <v>71</v>
      </c>
      <c r="AF1" t="s">
        <v>83</v>
      </c>
      <c r="AG1" t="s">
        <v>66</v>
      </c>
      <c r="AH1" t="s">
        <v>48</v>
      </c>
      <c r="AI1" t="s">
        <v>76</v>
      </c>
      <c r="AJ1" t="s">
        <v>8</v>
      </c>
      <c r="AK1" t="s">
        <v>72</v>
      </c>
      <c r="AL1" t="s">
        <v>88</v>
      </c>
      <c r="AM1" t="s">
        <v>84</v>
      </c>
      <c r="AN1" t="s">
        <v>32</v>
      </c>
      <c r="AO1" t="s">
        <v>77</v>
      </c>
      <c r="AP1" t="s">
        <v>16</v>
      </c>
      <c r="AQ1" t="s">
        <v>56</v>
      </c>
      <c r="AR1" t="s">
        <v>9</v>
      </c>
      <c r="AS1" t="s">
        <v>90</v>
      </c>
    </row>
    <row r="2">
      <c r="A2" s="1">
        <v>2</v>
      </c>
      <c r="B2" s="8" t="s">
        <v>22</v>
      </c>
      <c r="C2" s="3" t="s">
        <v>80</v>
      </c>
      <c r="D2" s="3" t="s">
        <v>25</v>
      </c>
      <c r="E2" s="3" t="s">
        <v>0</v>
      </c>
      <c r="F2" s="3" t="s">
        <v>68</v>
      </c>
      <c r="G2" s="3" t="s">
        <v>64</v>
      </c>
      <c r="H2" s="3" t="s">
        <v>1</v>
      </c>
      <c r="I2" s="1" t="s">
        <v>19</v>
      </c>
      <c r="J2" s="1" t="s">
        <v>20</v>
      </c>
      <c r="K2" s="2" t="s">
        <v>82</v>
      </c>
      <c r="L2" s="1" t="s">
        <v>45</v>
      </c>
      <c r="M2" s="2" t="s">
        <v>27</v>
      </c>
      <c r="N2" s="2" t="s">
        <v>3</v>
      </c>
      <c r="O2" s="2" t="s">
        <v>28</v>
      </c>
      <c r="P2" s="2" t="s">
        <v>21</v>
      </c>
      <c r="Q2" s="2" t="s">
        <v>53</v>
      </c>
      <c r="R2" s="2" t="s">
        <v>75</v>
      </c>
      <c r="S2" s="2" t="s">
        <v>28</v>
      </c>
      <c r="T2" s="2" t="s">
        <v>21</v>
      </c>
      <c r="U2" s="2" t="s">
        <v>4</v>
      </c>
      <c r="V2" s="2" t="s">
        <v>40</v>
      </c>
      <c r="W2" s="6">
        <v>9223102023</v>
      </c>
      <c r="X2" s="6" t="str">
        <f>"3249"&amp;MID(W2,5,7)</f>
        <v>3249102023</v>
      </c>
      <c r="Y2" s="2" t="s">
        <v>11</v>
      </c>
      <c r="Z2" s="2" t="s">
        <v>65</v>
      </c>
      <c r="AA2" s="2" t="s">
        <v>21</v>
      </c>
      <c r="AB2" s="2" t="s">
        <v>3</v>
      </c>
      <c r="AC2" s="2" t="s">
        <v>41</v>
      </c>
      <c r="AD2" s="2" t="str">
        <f>X2</f>
        <v>3249102023</v>
      </c>
      <c r="AE2" s="2" t="s">
        <v>47</v>
      </c>
      <c r="AF2" s="2" t="s">
        <v>6</v>
      </c>
      <c r="AG2" s="2">
        <v>0</v>
      </c>
      <c r="AH2" s="2">
        <v>96</v>
      </c>
      <c r="AI2" s="2">
        <v>24</v>
      </c>
      <c r="AJ2" s="2">
        <v>0</v>
      </c>
      <c r="AK2" s="2" t="s">
        <v>15</v>
      </c>
      <c r="AL2" s="2">
        <v>4</v>
      </c>
      <c r="AM2" s="2">
        <v>4</v>
      </c>
      <c r="AN2" s="2">
        <v>1</v>
      </c>
      <c r="AO2" s="2">
        <v>1</v>
      </c>
      <c r="AP2" s="5" t="s">
        <v>7</v>
      </c>
      <c r="AQ2" s="7" t="e">
        <f>[1]Output!A2</f>
        <v>#REF!</v>
      </c>
      <c r="AR2" s="5" t="s">
        <v>79</v>
      </c>
      <c r="AS2" s="12">
        <v>9200094700</v>
      </c>
    </row>
    <row r="3">
      <c r="A3" s="1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2"/>
    </row>
    <row r="4">
      <c r="A4" s="1">
        <v>4</v>
      </c>
      <c r="B4" s="8" t="s">
        <v>73</v>
      </c>
      <c r="C4" s="3" t="s">
        <v>80</v>
      </c>
      <c r="D4" s="3" t="s">
        <v>25</v>
      </c>
      <c r="E4" s="3" t="s">
        <v>0</v>
      </c>
      <c r="F4" s="3" t="s">
        <v>68</v>
      </c>
      <c r="G4" s="3" t="s">
        <v>64</v>
      </c>
      <c r="H4" s="3" t="s">
        <v>1</v>
      </c>
      <c r="I4" s="1" t="s">
        <v>19</v>
      </c>
      <c r="J4" s="1" t="s">
        <v>20</v>
      </c>
      <c r="K4" s="2" t="s">
        <v>82</v>
      </c>
      <c r="L4" s="1" t="s">
        <v>45</v>
      </c>
      <c r="M4" s="2" t="s">
        <v>27</v>
      </c>
      <c r="N4" s="2" t="s">
        <v>3</v>
      </c>
      <c r="O4" s="2" t="s">
        <v>28</v>
      </c>
      <c r="P4" s="2" t="s">
        <v>21</v>
      </c>
      <c r="Q4" s="2" t="s">
        <v>53</v>
      </c>
      <c r="R4" s="2" t="s">
        <v>75</v>
      </c>
      <c r="S4" s="2" t="s">
        <v>28</v>
      </c>
      <c r="T4" s="2" t="s">
        <v>21</v>
      </c>
      <c r="U4" s="2" t="s">
        <v>4</v>
      </c>
      <c r="V4" s="2" t="s">
        <v>40</v>
      </c>
      <c r="W4" s="6">
        <v>9223102026</v>
      </c>
      <c r="X4" s="6" t="str">
        <f>"3249"&amp;MID(W4,5,7)</f>
        <v>3249102026</v>
      </c>
      <c r="Y4" s="2" t="s">
        <v>11</v>
      </c>
      <c r="Z4" s="2" t="s">
        <v>65</v>
      </c>
      <c r="AA4" s="2" t="s">
        <v>21</v>
      </c>
      <c r="AB4" s="2" t="s">
        <v>3</v>
      </c>
      <c r="AC4" s="2" t="s">
        <v>41</v>
      </c>
      <c r="AD4" s="2" t="str">
        <f>X4</f>
        <v>3249102026</v>
      </c>
      <c r="AE4" s="2" t="s">
        <v>47</v>
      </c>
      <c r="AF4" s="2" t="s">
        <v>6</v>
      </c>
      <c r="AG4" s="2">
        <v>4</v>
      </c>
      <c r="AH4" s="2">
        <v>48</v>
      </c>
      <c r="AI4" s="2">
        <v>12</v>
      </c>
      <c r="AJ4" s="2">
        <v>1</v>
      </c>
      <c r="AK4" s="2" t="s">
        <v>15</v>
      </c>
      <c r="AL4" s="2">
        <v>10</v>
      </c>
      <c r="AM4" s="2">
        <v>60</v>
      </c>
      <c r="AN4" s="2">
        <v>6</v>
      </c>
      <c r="AO4" s="2">
        <v>1</v>
      </c>
      <c r="AP4" s="5" t="s">
        <v>7</v>
      </c>
      <c r="AQ4" s="7" t="s">
        <v>63</v>
      </c>
      <c r="AR4" s="5" t="s">
        <v>79</v>
      </c>
      <c r="AS4" s="12"/>
    </row>
    <row r="5">
      <c r="A5" s="1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2"/>
    </row>
    <row r="6">
      <c r="A6" s="1">
        <v>6</v>
      </c>
      <c r="B6" s="8" t="s">
        <v>23</v>
      </c>
      <c r="C6" s="3" t="s">
        <v>80</v>
      </c>
      <c r="D6" s="3" t="s">
        <v>25</v>
      </c>
      <c r="E6" s="3" t="s">
        <v>0</v>
      </c>
      <c r="F6" s="3" t="s">
        <v>68</v>
      </c>
      <c r="G6" s="3" t="s">
        <v>64</v>
      </c>
      <c r="H6" s="3" t="s">
        <v>1</v>
      </c>
      <c r="I6" s="1" t="s">
        <v>19</v>
      </c>
      <c r="J6" s="1" t="s">
        <v>20</v>
      </c>
      <c r="K6" s="2" t="s">
        <v>82</v>
      </c>
      <c r="L6" s="1" t="s">
        <v>45</v>
      </c>
      <c r="M6" s="2" t="s">
        <v>27</v>
      </c>
      <c r="N6" s="2" t="s">
        <v>3</v>
      </c>
      <c r="O6" s="2" t="s">
        <v>28</v>
      </c>
      <c r="P6" s="2" t="s">
        <v>21</v>
      </c>
      <c r="Q6" s="2" t="s">
        <v>53</v>
      </c>
      <c r="R6" s="2" t="s">
        <v>75</v>
      </c>
      <c r="S6" s="2" t="s">
        <v>28</v>
      </c>
      <c r="T6" s="2" t="s">
        <v>21</v>
      </c>
      <c r="U6" s="2" t="s">
        <v>4</v>
      </c>
      <c r="V6" s="2" t="s">
        <v>40</v>
      </c>
      <c r="W6" s="6">
        <v>9223161388</v>
      </c>
      <c r="X6" s="6" t="str">
        <f>"3249"&amp;MID(W6,5,7)</f>
        <v>3249161388</v>
      </c>
      <c r="Y6" s="2" t="s">
        <v>11</v>
      </c>
      <c r="Z6" s="2" t="s">
        <v>65</v>
      </c>
      <c r="AA6" s="2" t="s">
        <v>21</v>
      </c>
      <c r="AB6" s="2" t="s">
        <v>3</v>
      </c>
      <c r="AC6" s="2" t="s">
        <v>31</v>
      </c>
      <c r="AD6" s="2" t="str">
        <f>X6</f>
        <v>3249161388</v>
      </c>
      <c r="AE6" s="2" t="s">
        <v>47</v>
      </c>
      <c r="AF6" s="2" t="s">
        <v>6</v>
      </c>
      <c r="AG6" s="2">
        <v>5</v>
      </c>
      <c r="AH6" s="2">
        <v>60</v>
      </c>
      <c r="AI6" s="2">
        <v>12</v>
      </c>
      <c r="AJ6" s="2">
        <v>1</v>
      </c>
      <c r="AK6" s="2" t="s">
        <v>15</v>
      </c>
      <c r="AL6" s="2">
        <v>8</v>
      </c>
      <c r="AM6" s="2">
        <v>8</v>
      </c>
      <c r="AN6" s="2">
        <v>1</v>
      </c>
      <c r="AO6" s="2">
        <v>1</v>
      </c>
      <c r="AP6" s="5" t="s">
        <v>7</v>
      </c>
      <c r="AQ6" s="7" t="e">
        <f>[1]Output!A6</f>
        <v>#REF!</v>
      </c>
      <c r="AR6" s="5" t="s">
        <v>79</v>
      </c>
      <c r="AS6" s="12"/>
    </row>
    <row r="7">
      <c r="A7" s="1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6">
        <v>9208689155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2"/>
    </row>
    <row r="8">
      <c r="A8" s="1">
        <v>8</v>
      </c>
      <c r="B8" s="8" t="s">
        <v>24</v>
      </c>
      <c r="C8" s="3" t="s">
        <v>80</v>
      </c>
      <c r="D8" s="3" t="s">
        <v>25</v>
      </c>
      <c r="E8" s="3" t="s">
        <v>0</v>
      </c>
      <c r="F8" s="3" t="s">
        <v>68</v>
      </c>
      <c r="G8" s="3" t="s">
        <v>64</v>
      </c>
      <c r="H8" s="3" t="s">
        <v>1</v>
      </c>
      <c r="I8" s="1" t="s">
        <v>19</v>
      </c>
      <c r="J8" s="1" t="s">
        <v>20</v>
      </c>
      <c r="K8" s="2" t="s">
        <v>82</v>
      </c>
      <c r="L8" s="1" t="s">
        <v>45</v>
      </c>
      <c r="M8" s="2" t="s">
        <v>27</v>
      </c>
      <c r="N8" s="2" t="s">
        <v>3</v>
      </c>
      <c r="O8" s="2" t="s">
        <v>28</v>
      </c>
      <c r="P8" s="2" t="s">
        <v>21</v>
      </c>
      <c r="Q8" s="2" t="s">
        <v>53</v>
      </c>
      <c r="R8" s="2" t="s">
        <v>75</v>
      </c>
      <c r="S8" s="2" t="s">
        <v>28</v>
      </c>
      <c r="T8" s="2" t="s">
        <v>21</v>
      </c>
      <c r="U8" s="2" t="s">
        <v>4</v>
      </c>
      <c r="V8" s="2" t="s">
        <v>40</v>
      </c>
      <c r="W8" s="6">
        <v>9223147667</v>
      </c>
      <c r="X8" s="6" t="str">
        <f>"3249"&amp;MID(W8,5,7)</f>
        <v>3249147667</v>
      </c>
      <c r="Y8" s="2" t="s">
        <v>11</v>
      </c>
      <c r="Z8" s="2" t="s">
        <v>65</v>
      </c>
      <c r="AA8" s="2" t="s">
        <v>21</v>
      </c>
      <c r="AB8" s="2" t="s">
        <v>3</v>
      </c>
      <c r="AC8" s="2" t="s">
        <v>31</v>
      </c>
      <c r="AD8" s="2" t="str">
        <f>X8</f>
        <v>3249147667</v>
      </c>
      <c r="AE8" s="2" t="s">
        <v>47</v>
      </c>
      <c r="AF8" s="2" t="s">
        <v>6</v>
      </c>
      <c r="AG8" s="2">
        <v>1</v>
      </c>
      <c r="AH8" s="2">
        <v>0</v>
      </c>
      <c r="AI8" s="2">
        <v>25</v>
      </c>
      <c r="AJ8" s="2">
        <v>1</v>
      </c>
      <c r="AK8" s="2" t="s">
        <v>15</v>
      </c>
      <c r="AL8" s="2">
        <v>5</v>
      </c>
      <c r="AM8" s="2">
        <v>0</v>
      </c>
      <c r="AN8" s="2">
        <v>1</v>
      </c>
      <c r="AO8" s="2">
        <v>1</v>
      </c>
      <c r="AP8" s="5" t="s">
        <v>7</v>
      </c>
      <c r="AQ8" s="7" t="s">
        <v>78</v>
      </c>
      <c r="AR8" s="5" t="s">
        <v>79</v>
      </c>
      <c r="AS8" s="12">
        <v>9200102928</v>
      </c>
    </row>
    <row r="9">
      <c r="A9" s="1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2"/>
    </row>
    <row r="10">
      <c r="A10" s="1">
        <v>10</v>
      </c>
      <c r="B10" s="8" t="s">
        <v>57</v>
      </c>
      <c r="C10" s="3" t="s">
        <v>80</v>
      </c>
      <c r="D10" s="3" t="s">
        <v>25</v>
      </c>
      <c r="E10" s="3" t="s">
        <v>0</v>
      </c>
      <c r="F10" s="3" t="s">
        <v>68</v>
      </c>
      <c r="G10" s="3" t="s">
        <v>64</v>
      </c>
      <c r="H10" s="3" t="s">
        <v>1</v>
      </c>
      <c r="I10" s="1" t="s">
        <v>19</v>
      </c>
      <c r="J10" s="1" t="s">
        <v>20</v>
      </c>
      <c r="K10" s="2" t="s">
        <v>82</v>
      </c>
      <c r="L10" s="1" t="s">
        <v>45</v>
      </c>
      <c r="M10" s="2" t="s">
        <v>27</v>
      </c>
      <c r="N10" s="2" t="s">
        <v>3</v>
      </c>
      <c r="O10" s="2" t="s">
        <v>28</v>
      </c>
      <c r="P10" s="2" t="s">
        <v>21</v>
      </c>
      <c r="Q10" s="2" t="s">
        <v>53</v>
      </c>
      <c r="R10" s="2" t="s">
        <v>75</v>
      </c>
      <c r="S10" s="2" t="s">
        <v>28</v>
      </c>
      <c r="T10" s="2" t="s">
        <v>21</v>
      </c>
      <c r="U10" s="2" t="s">
        <v>4</v>
      </c>
      <c r="V10" s="2" t="s">
        <v>40</v>
      </c>
      <c r="W10" s="9">
        <v>9223147732</v>
      </c>
      <c r="X10" s="6" t="str">
        <f>"3249"&amp;MID(W10,5,7)</f>
        <v>3249147732</v>
      </c>
      <c r="Y10" s="2" t="s">
        <v>11</v>
      </c>
      <c r="Z10" s="2" t="s">
        <v>65</v>
      </c>
      <c r="AA10" s="2" t="s">
        <v>21</v>
      </c>
      <c r="AB10" s="2" t="s">
        <v>3</v>
      </c>
      <c r="AC10" s="2" t="s">
        <v>31</v>
      </c>
      <c r="AD10" s="2" t="str">
        <f>X10</f>
        <v>3249147732</v>
      </c>
      <c r="AE10" s="2" t="s">
        <v>47</v>
      </c>
      <c r="AF10" s="2" t="s">
        <v>6</v>
      </c>
      <c r="AG10" s="2">
        <v>10</v>
      </c>
      <c r="AH10" s="2">
        <v>250</v>
      </c>
      <c r="AI10" s="2">
        <v>25</v>
      </c>
      <c r="AJ10" s="2">
        <v>1</v>
      </c>
      <c r="AK10" s="2" t="s">
        <v>15</v>
      </c>
      <c r="AL10" s="2">
        <v>4</v>
      </c>
      <c r="AM10" s="2">
        <v>96</v>
      </c>
      <c r="AN10" s="2">
        <v>24</v>
      </c>
      <c r="AO10" s="2">
        <v>1</v>
      </c>
      <c r="AP10" s="5" t="s">
        <v>7</v>
      </c>
      <c r="AQ10" s="7" t="e">
        <f>[1]Output!A10</f>
        <v>#REF!</v>
      </c>
      <c r="AR10" s="5" t="s">
        <v>79</v>
      </c>
      <c r="AS10" s="12"/>
    </row>
    <row r="11">
      <c r="A11" s="1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2"/>
    </row>
    <row r="12">
      <c r="A12" s="1">
        <v>12</v>
      </c>
      <c r="B12" s="8" t="s">
        <v>57</v>
      </c>
      <c r="C12" s="3" t="s">
        <v>80</v>
      </c>
      <c r="D12" s="3" t="s">
        <v>25</v>
      </c>
      <c r="E12" s="3" t="s">
        <v>0</v>
      </c>
      <c r="F12" s="3" t="s">
        <v>68</v>
      </c>
      <c r="G12" s="3" t="s">
        <v>64</v>
      </c>
      <c r="H12" s="3" t="s">
        <v>1</v>
      </c>
      <c r="I12" s="1" t="s">
        <v>19</v>
      </c>
      <c r="J12" s="1" t="s">
        <v>20</v>
      </c>
      <c r="K12" s="2" t="s">
        <v>82</v>
      </c>
      <c r="L12" s="1" t="s">
        <v>45</v>
      </c>
      <c r="M12" s="2" t="s">
        <v>27</v>
      </c>
      <c r="N12" s="2" t="s">
        <v>3</v>
      </c>
      <c r="O12" s="2" t="s">
        <v>28</v>
      </c>
      <c r="P12" s="2" t="s">
        <v>21</v>
      </c>
      <c r="Q12" s="2" t="s">
        <v>53</v>
      </c>
      <c r="R12" s="2" t="s">
        <v>75</v>
      </c>
      <c r="S12" s="2" t="s">
        <v>28</v>
      </c>
      <c r="T12" s="2" t="s">
        <v>21</v>
      </c>
      <c r="U12" s="2" t="s">
        <v>4</v>
      </c>
      <c r="V12" s="2" t="s">
        <v>40</v>
      </c>
      <c r="W12" s="9" t="s">
        <v>10</v>
      </c>
      <c r="X12" s="6" t="str">
        <f>"3249"&amp;MID(W12,5,7)</f>
        <v>3249532303</v>
      </c>
      <c r="Y12" s="2" t="s">
        <v>11</v>
      </c>
      <c r="Z12" s="2" t="s">
        <v>65</v>
      </c>
      <c r="AA12" s="2" t="s">
        <v>21</v>
      </c>
      <c r="AB12" s="2" t="s">
        <v>3</v>
      </c>
      <c r="AC12" s="2" t="s">
        <v>31</v>
      </c>
      <c r="AD12" s="2" t="str">
        <f>X12</f>
        <v>3249532303</v>
      </c>
      <c r="AE12" s="2" t="s">
        <v>47</v>
      </c>
      <c r="AF12" s="2" t="s">
        <v>6</v>
      </c>
      <c r="AG12" s="2">
        <v>10</v>
      </c>
      <c r="AH12" s="2">
        <v>250</v>
      </c>
      <c r="AI12" s="2">
        <v>25</v>
      </c>
      <c r="AJ12" s="2">
        <v>1</v>
      </c>
      <c r="AK12" s="2" t="s">
        <v>15</v>
      </c>
      <c r="AL12" s="2">
        <v>4</v>
      </c>
      <c r="AM12" s="2">
        <v>4</v>
      </c>
      <c r="AN12" s="2">
        <v>1</v>
      </c>
      <c r="AO12" s="2">
        <v>1</v>
      </c>
      <c r="AP12" s="5" t="s">
        <v>7</v>
      </c>
      <c r="AQ12" s="7" t="s">
        <v>33</v>
      </c>
      <c r="AR12" s="5" t="s">
        <v>79</v>
      </c>
      <c r="AS12" s="12"/>
    </row>
    <row r="13">
      <c r="A13" s="1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9" t="s">
        <v>55</v>
      </c>
      <c r="AH13" s="9" t="s">
        <v>49</v>
      </c>
      <c r="AI13" s="1"/>
      <c r="AJ13" s="1"/>
      <c r="AK13" s="1"/>
      <c r="AL13" s="9" t="s">
        <v>55</v>
      </c>
      <c r="AM13" s="9" t="s">
        <v>55</v>
      </c>
      <c r="AN13" s="1"/>
      <c r="AO13" s="1"/>
      <c r="AP13" s="1"/>
      <c r="AQ13" s="1"/>
      <c r="AR13" s="1"/>
      <c r="AS13" s="12"/>
    </row>
    <row r="14">
      <c r="A14" s="1">
        <v>14</v>
      </c>
      <c r="B14" s="8" t="s">
        <v>36</v>
      </c>
      <c r="C14" s="3" t="s">
        <v>80</v>
      </c>
      <c r="D14" s="3" t="s">
        <v>25</v>
      </c>
      <c r="E14" s="3" t="s">
        <v>0</v>
      </c>
      <c r="F14" s="3" t="s">
        <v>68</v>
      </c>
      <c r="G14" s="3" t="s">
        <v>64</v>
      </c>
      <c r="H14" s="3" t="s">
        <v>1</v>
      </c>
      <c r="I14" s="1" t="s">
        <v>19</v>
      </c>
      <c r="J14" s="1" t="s">
        <v>20</v>
      </c>
      <c r="K14" s="2" t="s">
        <v>82</v>
      </c>
      <c r="L14" s="1" t="s">
        <v>45</v>
      </c>
      <c r="M14" s="2" t="s">
        <v>27</v>
      </c>
      <c r="N14" s="2" t="s">
        <v>3</v>
      </c>
      <c r="O14" s="2" t="s">
        <v>28</v>
      </c>
      <c r="P14" s="2" t="s">
        <v>21</v>
      </c>
      <c r="Q14" s="2" t="s">
        <v>53</v>
      </c>
      <c r="R14" s="2" t="s">
        <v>75</v>
      </c>
      <c r="S14" s="2" t="s">
        <v>28</v>
      </c>
      <c r="T14" s="2" t="s">
        <v>21</v>
      </c>
      <c r="U14" s="2" t="s">
        <v>4</v>
      </c>
      <c r="V14" s="2" t="s">
        <v>40</v>
      </c>
      <c r="W14" s="6">
        <v>9113690395</v>
      </c>
      <c r="X14" s="6" t="str">
        <f>"3249"&amp;MID(W14,5,7)</f>
        <v>3249690395</v>
      </c>
      <c r="Y14" s="2" t="s">
        <v>11</v>
      </c>
      <c r="Z14" s="2" t="s">
        <v>65</v>
      </c>
      <c r="AA14" s="2" t="s">
        <v>21</v>
      </c>
      <c r="AB14" s="2" t="s">
        <v>3</v>
      </c>
      <c r="AC14" s="2" t="s">
        <v>41</v>
      </c>
      <c r="AD14" s="2" t="str">
        <f>X14</f>
        <v>3249690395</v>
      </c>
      <c r="AE14" s="2" t="s">
        <v>47</v>
      </c>
      <c r="AF14" s="2" t="s">
        <v>6</v>
      </c>
      <c r="AG14" s="10">
        <f t="shared" si="0" ref="AG14:AH14">AG13/2</f>
        <v>2</v>
      </c>
      <c r="AH14" s="10">
        <f t="shared" si="0"/>
        <v>48</v>
      </c>
      <c r="AI14" s="2">
        <v>24</v>
      </c>
      <c r="AJ14" s="2">
        <v>1</v>
      </c>
      <c r="AK14" s="2" t="s">
        <v>15</v>
      </c>
      <c r="AL14" s="9" t="s">
        <v>62</v>
      </c>
      <c r="AM14" s="9" t="s">
        <v>51</v>
      </c>
      <c r="AN14" s="2">
        <v>1</v>
      </c>
      <c r="AO14" s="2">
        <v>1</v>
      </c>
      <c r="AP14" s="5" t="s">
        <v>7</v>
      </c>
      <c r="AQ14" s="7" t="s">
        <v>85</v>
      </c>
      <c r="AR14" s="5" t="s">
        <v>79</v>
      </c>
      <c r="AS14" s="12"/>
    </row>
    <row r="15">
      <c r="A15" s="1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2"/>
    </row>
    <row r="16">
      <c r="A16" s="1">
        <v>16</v>
      </c>
      <c r="B16" s="8" t="s">
        <v>42</v>
      </c>
      <c r="C16" s="3" t="s">
        <v>80</v>
      </c>
      <c r="D16" s="3" t="s">
        <v>25</v>
      </c>
      <c r="E16" s="3" t="s">
        <v>0</v>
      </c>
      <c r="F16" s="3" t="s">
        <v>68</v>
      </c>
      <c r="G16" s="3" t="s">
        <v>64</v>
      </c>
      <c r="H16" s="3" t="s">
        <v>1</v>
      </c>
      <c r="I16" s="1" t="s">
        <v>19</v>
      </c>
      <c r="J16" s="1" t="s">
        <v>20</v>
      </c>
      <c r="K16" s="2" t="s">
        <v>82</v>
      </c>
      <c r="L16" s="1" t="s">
        <v>45</v>
      </c>
      <c r="M16" s="2" t="s">
        <v>27</v>
      </c>
      <c r="N16" s="2" t="s">
        <v>3</v>
      </c>
      <c r="O16" s="2" t="s">
        <v>28</v>
      </c>
      <c r="P16" s="2" t="s">
        <v>21</v>
      </c>
      <c r="Q16" s="2" t="s">
        <v>53</v>
      </c>
      <c r="R16" s="2" t="s">
        <v>75</v>
      </c>
      <c r="S16" s="2" t="s">
        <v>28</v>
      </c>
      <c r="T16" s="2" t="s">
        <v>21</v>
      </c>
      <c r="U16" s="2" t="s">
        <v>4</v>
      </c>
      <c r="V16" s="2" t="s">
        <v>40</v>
      </c>
      <c r="W16" s="6">
        <v>9113690394</v>
      </c>
      <c r="X16" s="6" t="str">
        <f>"3249"&amp;MID(W16,5,7)</f>
        <v>3249690394</v>
      </c>
      <c r="Y16" s="2" t="s">
        <v>11</v>
      </c>
      <c r="Z16" s="2" t="s">
        <v>65</v>
      </c>
      <c r="AA16" s="2" t="s">
        <v>21</v>
      </c>
      <c r="AB16" s="2" t="s">
        <v>3</v>
      </c>
      <c r="AC16" s="2" t="s">
        <v>41</v>
      </c>
      <c r="AD16" s="2" t="str">
        <f>X16</f>
        <v>3249690394</v>
      </c>
      <c r="AE16" s="2" t="s">
        <v>47</v>
      </c>
      <c r="AF16" s="2" t="s">
        <v>6</v>
      </c>
      <c r="AG16" s="2">
        <v>0</v>
      </c>
      <c r="AH16" s="2">
        <v>0</v>
      </c>
      <c r="AI16" s="2">
        <v>24</v>
      </c>
      <c r="AJ16" s="2">
        <v>1</v>
      </c>
      <c r="AK16" s="2" t="s">
        <v>15</v>
      </c>
      <c r="AL16" s="2" t="s">
        <v>50</v>
      </c>
      <c r="AM16" s="2" t="s">
        <v>50</v>
      </c>
      <c r="AN16" s="2">
        <v>1</v>
      </c>
      <c r="AO16" s="2">
        <v>1</v>
      </c>
      <c r="AP16" s="5" t="s">
        <v>7</v>
      </c>
      <c r="AQ16" s="7" t="s">
        <v>89</v>
      </c>
      <c r="AR16" s="5" t="s">
        <v>79</v>
      </c>
      <c r="AS16" s="12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6">
        <v>9164859118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10"/>
  <sheetViews>
    <sheetView workbookViewId="0">
      <selection activeCell="A2" sqref="A2"/>
    </sheetView>
  </sheetViews>
  <sheetFormatPr defaultColWidth="9.125" defaultRowHeight="14.25"/>
  <cols>
    <col min="1" max="1" width="47.375" style="11" customWidth="1"/>
    <col min="2" max="16384" width="9.125" style="11" customWidth="1"/>
  </cols>
  <sheetData>
    <row r="1" ht="12.75" customHeight="1" customFormat="1">
      <c r="A1" t="s">
        <v>34</v>
      </c>
    </row>
    <row r="2">
      <c r="A2" s="12" t="s">
        <v>67</v>
      </c>
    </row>
    <row r="3">
      <c r="A3" s="12"/>
    </row>
    <row r="4">
      <c r="A4" s="12" t="s">
        <v>95</v>
      </c>
    </row>
    <row r="5">
      <c r="A5" s="12"/>
    </row>
    <row r="6">
      <c r="A6" s="12" t="s">
        <v>35</v>
      </c>
    </row>
    <row r="7">
      <c r="A7" s="12"/>
    </row>
    <row r="8">
      <c r="A8" s="12" t="s">
        <v>17</v>
      </c>
    </row>
    <row r="9">
      <c r="A9" s="12"/>
    </row>
    <row r="10">
      <c r="A10" s="12" t="s">
        <v>86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