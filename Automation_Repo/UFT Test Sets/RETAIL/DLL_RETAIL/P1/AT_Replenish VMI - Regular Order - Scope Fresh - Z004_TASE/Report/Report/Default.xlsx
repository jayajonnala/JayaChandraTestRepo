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7"/>
  </bookViews>
  <sheets>
    <sheet name="Global" sheetId="1" r:id="rId1"/>
    <sheet name="RunTimeResultFolderCreation" sheetId="2" r:id="rId2"/>
    <sheet name="DataTransfer_OneValue1" sheetId="3" r:id="rId3"/>
    <sheet name="DataTransfer_OneValue 2" sheetId="4" r:id="rId4"/>
    <sheet name="DataTransfer_OneValue 4" sheetId="5" r:id="rId5"/>
    <sheet name="DataTransfer_OneValue3" sheetId="6" r:id="rId6"/>
    <sheet name="TC8_Test_Create Billing Doc" sheetId="7" r:id="rId7"/>
    <sheet name="TC1_Test_Send VMI report" sheetId="8" r:id="rId8"/>
    <sheet name="TC2_Test_Order Proposal" sheetId="9" r:id="rId9"/>
    <sheet name="TC3_Test_Order Proposal" sheetId="10" r:id="rId10"/>
    <sheet name="TC4_Test_Order Proposal" sheetId="11" r:id="rId11"/>
    <sheet name="TC5_Test_Check_PO_Order" sheetId="12" r:id="rId12"/>
    <sheet name="TC6_Test_Send PO to EDI" sheetId="13" r:id="rId13"/>
    <sheet name="TC7_Test_Send PO to WMS" sheetId="14" r:id="rId14"/>
    <sheet name="TC9_Test_Update Order Pro" sheetId="15" r:id="rId15"/>
    <sheet name="TC10_Test_Check_PO_Orde" sheetId="16" r:id="rId16"/>
    <sheet name="TC11_Test_Send PO to DESMAN" sheetId="17" r:id="rId17"/>
    <sheet name="TC12_Test_Send PO to DESMAN" sheetId="18" r:id="rId18"/>
  </sheets>
  <calcPr calcId="40001"/>
</workbook>
</file>

<file path=xl/sharedStrings.xml><?xml version="1.0" encoding="utf-8"?>
<sst xmlns="http://schemas.openxmlformats.org/spreadsheetml/2006/main" uniqueCount="61">
  <si>
    <t>Replenish VMI - Regular Order - Scope Grocery</t>
  </si>
  <si>
    <t>AUTODLL</t>
  </si>
  <si>
    <t/>
  </si>
  <si>
    <t>DT_SAPTRANSACTIONCODE</t>
  </si>
  <si>
    <t>DLI</t>
  </si>
  <si>
    <t>DT_ZMDPU_WVMX_1000_PURCH_ORGANIZATION</t>
  </si>
  <si>
    <t>DT_ROW_NUMBER</t>
  </si>
  <si>
    <t>Data passed to port OK</t>
  </si>
  <si>
    <t>DT_SCENARIO</t>
  </si>
  <si>
    <t>Data Coming from another test</t>
  </si>
  <si>
    <t>DT_ZMDPU_WVMX_0100_CHECK_TEXT_OF_STATUS_OCC1</t>
  </si>
  <si>
    <t>Output Data</t>
  </si>
  <si>
    <t>DT_ZMDPU_WVMX_1000_SITE</t>
  </si>
  <si>
    <t>Formulas</t>
  </si>
  <si>
    <t>200</t>
  </si>
  <si>
    <t>DT_ZMDPU_WVMX_1100_MESSAGE_VARIANT</t>
  </si>
  <si>
    <t>DT_SAPSYSTEM</t>
  </si>
  <si>
    <t>DT_ZMDPU_WVMX_1000_CURRENT_DATE</t>
  </si>
  <si>
    <t>DT_ZMDPU_WVMX_1000_OKCD</t>
  </si>
  <si>
    <t>AT_Replenish VMI - Promo Order - Scope Drinks</t>
  </si>
  <si>
    <t>Input Data</t>
  </si>
  <si>
    <t>DT_SAPLANGUAGE</t>
  </si>
  <si>
    <t>DT_SAPOPTIONS</t>
  </si>
  <si>
    <t>Z008</t>
  </si>
  <si>
    <t>Z004</t>
  </si>
  <si>
    <t>0</t>
  </si>
  <si>
    <t>DT_ZMDPU_WVMX_1100_PARTNER_NUMBER</t>
  </si>
  <si>
    <t>DT_ZMDPU_WVMX_0100_GRIDCELL_0_IDOC_NUMBER</t>
  </si>
  <si>
    <t>DT_ZMDPU_WVMX_0100_CHECK_TEXT_OF_T100TEXT</t>
  </si>
  <si>
    <t>Replenish VMI - Regular Order - Scope Fresh</t>
  </si>
  <si>
    <t>Verifications</t>
  </si>
  <si>
    <t>Execution Control Data</t>
  </si>
  <si>
    <t>AUTODLL-555</t>
  </si>
  <si>
    <t>ZMDPU_WVMX</t>
  </si>
  <si>
    <t>DT_ZMDPU_WVMX_1000_VSR_SPLIT</t>
  </si>
  <si>
    <t>EN</t>
  </si>
  <si>
    <t>BW04</t>
  </si>
  <si>
    <t>BW15</t>
  </si>
  <si>
    <t>Z009</t>
  </si>
  <si>
    <t>WE02</t>
  </si>
  <si>
    <t>DT_ROW</t>
  </si>
  <si>
    <t>BW08</t>
  </si>
  <si>
    <t>DT_ZMDPU_WVMX_1000_PROACT_CONTROL_PROF</t>
  </si>
  <si>
    <t>LogIn Information</t>
  </si>
  <si>
    <t>true</t>
  </si>
  <si>
    <t>03</t>
  </si>
  <si>
    <t>Fixed Data</t>
  </si>
  <si>
    <t>R1E - SAP RETAIL Pre-Production EUROPE</t>
  </si>
  <si>
    <t>DT_SAPPASSWORD</t>
  </si>
  <si>
    <t>5a69d65e1c5f28be1a6b7342a16935</t>
  </si>
  <si>
    <t>326</t>
  </si>
  <si>
    <t>DT_ZMDPU_WVMX_0100_CHECK_TEXT_OF_STATUS</t>
  </si>
  <si>
    <t>DT_SAPUSER</t>
  </si>
  <si>
    <t>BP10</t>
  </si>
  <si>
    <t>Z013</t>
  </si>
  <si>
    <t>Z006</t>
  </si>
  <si>
    <t>DT_ZMDPU_WVMX_1100_MESSAGE_FUNCTION</t>
  </si>
  <si>
    <t>IDoc sent to SAP system or external program</t>
  </si>
  <si>
    <t>DT_SAPCLIENT</t>
  </si>
  <si>
    <t>DT_ZMDPU_WVMX_1000_VENDOR</t>
  </si>
  <si>
    <t>BW09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</si>
</sst>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0" fillId="4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49" fontId="0" fillId="0" borderId="1" xfId="0" applyNumberFormat="1" applyBorder="1" applyProtection="1">
      <protection locked="0"/>
    </xf>
    <xf numFmtId="0" fontId="0" fillId="0" borderId="2" xfId="0" applyBorder="1" applyProtection="1">
      <protection locked="0"/>
    </xf>
    <xf numFmtId="49" fontId="0" fillId="3" borderId="1" xfId="0" applyNumberForma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164" fontId="1" fillId="2" borderId="1" xfId="0" applyNumberFormat="1" applyFont="1" applyFill="1" applyBorder="1" applyProtection="1">
      <protection locked="0"/>
    </xf>
    <xf numFmtId="0" fontId="2" fillId="6" borderId="2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164" fontId="1" fillId="7" borderId="1" xfId="0" applyNumberFormat="1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164" fontId="1" fillId="3" borderId="1" xfId="0" applyNumberFormat="1" applyFont="1" applyFill="1" applyBorder="1" applyProtection="1">
      <protection locked="0"/>
    </xf>
    <xf numFmtId="0" fontId="0" fillId="3" borderId="0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9" Type="http://schemas.openxmlformats.org/officeDocument/2006/relationships/theme" Target="theme/theme1.xml" /><Relationship Id="rId20" Type="http://schemas.openxmlformats.org/officeDocument/2006/relationships/styles" Target="styles.xml" /><Relationship Id="rId2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X22"/>
  <sheetViews>
    <sheetView workbookViewId="0">
      <pane xSplit="1" ySplit="0" topLeftCell="N2" activePane="topRight"/>
      <selection activeCell="N2" sqref="N2"/>
      <selection pane="topRight" activeCell="N2" sqref="N2"/>
    </sheetView>
  </sheetViews>
  <sheetFormatPr defaultColWidth="9.42578125" defaultRowHeight="15"/>
  <cols>
    <col min="1" max="1" width="8.7109375" style="2" bestFit="1" customWidth="1"/>
    <col min="2" max="2" width="48.5703125" style="2" bestFit="1" customWidth="1"/>
    <col min="3" max="3" width="37.5703125" style="2" bestFit="1" customWidth="1"/>
    <col min="4" max="4" width="13.85546875" style="2" bestFit="1" customWidth="1"/>
    <col min="5" max="5" width="12.140625" style="2" bestFit="1" customWidth="1"/>
    <col min="6" max="6" width="32" style="2" bestFit="1" customWidth="1"/>
    <col min="7" max="7" width="17.7109375" style="2" bestFit="1" customWidth="1"/>
    <col min="8" max="8" width="15.85546875" style="2" bestFit="1" customWidth="1"/>
    <col min="9" max="9" width="25.85546875" style="2" bestFit="1" customWidth="1"/>
    <col min="10" max="10" width="33.42578125" style="2" bestFit="1" customWidth="1"/>
    <col min="11" max="11" width="32" style="2" bestFit="1" customWidth="1"/>
    <col min="12" max="12" width="45.7109375" style="2" bestFit="1" customWidth="1"/>
    <col min="13" max="13" width="27.85546875" style="2" bestFit="1" customWidth="1"/>
    <col min="14" max="14" width="38.42578125" style="2" bestFit="1" customWidth="1"/>
    <col min="15" max="15" width="47.28515625" style="2" bestFit="1" customWidth="1"/>
    <col min="16" max="16" width="17.7109375" style="2" bestFit="1" customWidth="1"/>
    <col min="17" max="17" width="29.28515625" style="2" bestFit="1" customWidth="1"/>
    <col min="18" max="18" width="42.140625" style="2" bestFit="1" customWidth="1"/>
    <col min="19" max="19" width="43.42578125" style="2" bestFit="1" customWidth="1"/>
    <col min="20" max="20" width="41.5703125" style="2" bestFit="1" customWidth="1"/>
    <col min="21" max="21" width="49.28515625" style="2" bestFit="1" customWidth="1"/>
    <col min="22" max="22" width="46.85546875" style="2" bestFit="1" customWidth="1"/>
    <col min="23" max="23" width="52.7109375" style="2" bestFit="1" customWidth="1"/>
    <col min="24" max="24" width="48.42578125" style="2" bestFit="1" customWidth="1"/>
    <col min="25" max="16384" width="9.42578125" style="2" customWidth="1"/>
  </cols>
  <sheetData>
    <row r="1" ht="15.1" customFormat="1">
      <c r="A1" t="s">
        <v>40</v>
      </c>
      <c r="B1" t="s">
        <v>8</v>
      </c>
      <c r="C1" t="s">
        <v>16</v>
      </c>
      <c r="D1" t="s">
        <v>58</v>
      </c>
      <c r="E1" t="s">
        <v>52</v>
      </c>
      <c r="F1" t="s">
        <v>48</v>
      </c>
      <c r="G1" t="s">
        <v>21</v>
      </c>
      <c r="H1" t="s">
        <v>22</v>
      </c>
      <c r="I1" t="s">
        <v>3</v>
      </c>
      <c r="J1" t="s">
        <v>34</v>
      </c>
      <c r="K1" t="s">
        <v>59</v>
      </c>
      <c r="L1" t="s">
        <v>5</v>
      </c>
      <c r="M1" t="s">
        <v>12</v>
      </c>
      <c r="N1" t="s">
        <v>17</v>
      </c>
      <c r="O1" t="s">
        <v>42</v>
      </c>
      <c r="P1" t="s">
        <v>6</v>
      </c>
      <c r="Q1" t="s">
        <v>18</v>
      </c>
      <c r="R1" t="s">
        <v>15</v>
      </c>
      <c r="S1" t="s">
        <v>56</v>
      </c>
      <c r="T1" t="s">
        <v>26</v>
      </c>
      <c r="U1" t="s">
        <v>27</v>
      </c>
      <c r="V1" t="s">
        <v>51</v>
      </c>
      <c r="W1" t="s">
        <v>10</v>
      </c>
      <c r="X1" t="s">
        <v>28</v>
      </c>
    </row>
    <row r="2">
      <c r="A2" s="7">
        <v>1</v>
      </c>
      <c r="B2" s="7" t="s">
        <v>29</v>
      </c>
      <c r="C2" s="5" t="s">
        <v>47</v>
      </c>
      <c r="D2" s="5" t="s">
        <v>14</v>
      </c>
      <c r="E2" s="5" t="s">
        <v>1</v>
      </c>
      <c r="F2" s="5" t="s">
        <v>49</v>
      </c>
      <c r="G2" s="5" t="s">
        <v>35</v>
      </c>
      <c r="H2" s="5" t="s">
        <v>2</v>
      </c>
      <c r="I2" s="9" t="s">
        <v>33</v>
      </c>
      <c r="J2" s="3" t="s">
        <v>44</v>
      </c>
      <c r="K2" s="3">
        <v>10001635</v>
      </c>
      <c r="L2" s="3" t="s">
        <v>53</v>
      </c>
      <c r="M2" s="3" t="s">
        <v>60</v>
      </c>
      <c r="N2" s="13">
        <f ca="1" t="shared" si="0" ref="N2:N10">TODAY()</f>
        <v>45957</v>
      </c>
      <c r="O2" s="3" t="s">
        <v>23</v>
      </c>
      <c r="P2" s="3">
        <v>1</v>
      </c>
      <c r="Q2" s="9" t="s">
        <v>39</v>
      </c>
      <c r="R2" s="3" t="s">
        <v>4</v>
      </c>
      <c r="S2" s="3" t="s">
        <v>50</v>
      </c>
      <c r="T2" s="3">
        <f t="shared" si="1" ref="T2:T7">K2</f>
        <v>10001635</v>
      </c>
      <c r="U2" s="3" t="s">
        <v>25</v>
      </c>
      <c r="V2" s="8" t="s">
        <v>45</v>
      </c>
      <c r="W2" s="8" t="s">
        <v>7</v>
      </c>
      <c r="X2" s="14" t="s">
        <v>57</v>
      </c>
    </row>
    <row r="3">
      <c r="A3" s="7">
        <v>2</v>
      </c>
      <c r="B3" s="7" t="s">
        <v>0</v>
      </c>
      <c r="C3" s="5" t="s">
        <v>47</v>
      </c>
      <c r="D3" s="5" t="s">
        <v>14</v>
      </c>
      <c r="E3" s="5" t="s">
        <v>1</v>
      </c>
      <c r="F3" s="5" t="s">
        <v>49</v>
      </c>
      <c r="G3" s="5" t="s">
        <v>35</v>
      </c>
      <c r="H3" s="5" t="s">
        <v>2</v>
      </c>
      <c r="I3" s="9" t="s">
        <v>33</v>
      </c>
      <c r="J3" s="3" t="s">
        <v>44</v>
      </c>
      <c r="K3" s="3">
        <v>10007670</v>
      </c>
      <c r="L3" s="3" t="s">
        <v>53</v>
      </c>
      <c r="M3" s="3" t="s">
        <v>36</v>
      </c>
      <c r="N3" s="13">
        <f ca="1" t="shared" si="0"/>
        <v>45957</v>
      </c>
      <c r="O3" s="3" t="s">
        <v>38</v>
      </c>
      <c r="P3" s="3">
        <v>1</v>
      </c>
      <c r="Q3" s="9" t="s">
        <v>39</v>
      </c>
      <c r="R3" s="3" t="s">
        <v>4</v>
      </c>
      <c r="S3" s="3" t="s">
        <v>50</v>
      </c>
      <c r="T3" s="3">
        <f t="shared" si="1"/>
        <v>10007670</v>
      </c>
      <c r="U3" s="3" t="s">
        <v>25</v>
      </c>
      <c r="V3" s="8" t="s">
        <v>45</v>
      </c>
      <c r="W3" s="8" t="s">
        <v>7</v>
      </c>
      <c r="X3" s="14" t="s">
        <v>57</v>
      </c>
    </row>
    <row r="4">
      <c r="A4" s="7">
        <v>3</v>
      </c>
      <c r="B4" s="7" t="s">
        <v>29</v>
      </c>
      <c r="C4" s="5" t="s">
        <v>47</v>
      </c>
      <c r="D4" s="5" t="s">
        <v>14</v>
      </c>
      <c r="E4" s="5" t="s">
        <v>1</v>
      </c>
      <c r="F4" s="5" t="s">
        <v>49</v>
      </c>
      <c r="G4" s="5" t="s">
        <v>35</v>
      </c>
      <c r="H4" s="5" t="s">
        <v>2</v>
      </c>
      <c r="I4" s="9" t="s">
        <v>33</v>
      </c>
      <c r="J4" s="3" t="s">
        <v>44</v>
      </c>
      <c r="K4" s="3">
        <v>10001635</v>
      </c>
      <c r="L4" s="3" t="s">
        <v>53</v>
      </c>
      <c r="M4" s="3" t="s">
        <v>60</v>
      </c>
      <c r="N4" s="13">
        <f ca="1" t="shared" si="0"/>
        <v>45957</v>
      </c>
      <c r="O4" s="3" t="s">
        <v>23</v>
      </c>
      <c r="P4" s="3">
        <v>1</v>
      </c>
      <c r="Q4" s="9" t="s">
        <v>39</v>
      </c>
      <c r="R4" s="3" t="s">
        <v>4</v>
      </c>
      <c r="S4" s="3" t="s">
        <v>50</v>
      </c>
      <c r="T4" s="3">
        <f t="shared" si="1"/>
        <v>10001635</v>
      </c>
      <c r="U4" s="3" t="s">
        <v>25</v>
      </c>
      <c r="V4" s="8" t="s">
        <v>45</v>
      </c>
      <c r="W4" s="8" t="s">
        <v>7</v>
      </c>
      <c r="X4" s="14" t="s">
        <v>57</v>
      </c>
    </row>
    <row r="5">
      <c r="A5" s="7">
        <v>4</v>
      </c>
      <c r="B5" s="7" t="s">
        <v>0</v>
      </c>
      <c r="C5" s="5" t="s">
        <v>47</v>
      </c>
      <c r="D5" s="5" t="s">
        <v>14</v>
      </c>
      <c r="E5" s="5" t="s">
        <v>1</v>
      </c>
      <c r="F5" s="5" t="s">
        <v>49</v>
      </c>
      <c r="G5" s="5" t="s">
        <v>35</v>
      </c>
      <c r="H5" s="5" t="s">
        <v>2</v>
      </c>
      <c r="I5" s="9" t="s">
        <v>33</v>
      </c>
      <c r="J5" s="3" t="s">
        <v>44</v>
      </c>
      <c r="K5" s="3">
        <v>10007670</v>
      </c>
      <c r="L5" s="3" t="s">
        <v>53</v>
      </c>
      <c r="M5" s="3" t="s">
        <v>36</v>
      </c>
      <c r="N5" s="13">
        <f ca="1" t="shared" si="0"/>
        <v>45957</v>
      </c>
      <c r="O5" s="3" t="s">
        <v>38</v>
      </c>
      <c r="P5" s="3">
        <v>1</v>
      </c>
      <c r="Q5" s="9" t="s">
        <v>39</v>
      </c>
      <c r="R5" s="3" t="s">
        <v>4</v>
      </c>
      <c r="S5" s="3" t="s">
        <v>50</v>
      </c>
      <c r="T5" s="3">
        <f t="shared" si="1"/>
        <v>10007670</v>
      </c>
      <c r="U5" s="3" t="s">
        <v>25</v>
      </c>
      <c r="V5" s="8" t="s">
        <v>45</v>
      </c>
      <c r="W5" s="8" t="s">
        <v>7</v>
      </c>
      <c r="X5" s="14" t="s">
        <v>57</v>
      </c>
    </row>
    <row r="6">
      <c r="A6" s="7">
        <v>5</v>
      </c>
      <c r="B6" s="7" t="s">
        <v>19</v>
      </c>
      <c r="C6" s="5" t="s">
        <v>47</v>
      </c>
      <c r="D6" s="5" t="s">
        <v>14</v>
      </c>
      <c r="E6" s="5" t="s">
        <v>1</v>
      </c>
      <c r="F6" s="5" t="s">
        <v>49</v>
      </c>
      <c r="G6" s="5" t="s">
        <v>35</v>
      </c>
      <c r="H6" s="5" t="s">
        <v>2</v>
      </c>
      <c r="I6" s="9" t="s">
        <v>33</v>
      </c>
      <c r="J6" s="3" t="s">
        <v>44</v>
      </c>
      <c r="K6" s="3">
        <v>10006540</v>
      </c>
      <c r="L6" s="3" t="s">
        <v>53</v>
      </c>
      <c r="M6" s="3" t="s">
        <v>37</v>
      </c>
      <c r="N6" s="13">
        <f ca="1" t="shared" si="0"/>
        <v>45957</v>
      </c>
      <c r="O6" s="3" t="s">
        <v>54</v>
      </c>
      <c r="P6" s="3">
        <v>5</v>
      </c>
      <c r="Q6" s="9" t="s">
        <v>39</v>
      </c>
      <c r="R6" s="3" t="s">
        <v>4</v>
      </c>
      <c r="S6" s="3" t="s">
        <v>50</v>
      </c>
      <c r="T6" s="3">
        <f t="shared" si="1"/>
        <v>10006540</v>
      </c>
      <c r="U6" s="3" t="s">
        <v>25</v>
      </c>
      <c r="V6" s="8" t="s">
        <v>45</v>
      </c>
      <c r="W6" s="8" t="s">
        <v>7</v>
      </c>
      <c r="X6" s="14" t="s">
        <v>57</v>
      </c>
    </row>
    <row r="7">
      <c r="A7" s="7">
        <v>6</v>
      </c>
      <c r="B7" s="7" t="s">
        <v>19</v>
      </c>
      <c r="C7" s="5" t="s">
        <v>47</v>
      </c>
      <c r="D7" s="5" t="s">
        <v>14</v>
      </c>
      <c r="E7" s="5" t="s">
        <v>1</v>
      </c>
      <c r="F7" s="5" t="s">
        <v>32</v>
      </c>
      <c r="G7" s="5" t="s">
        <v>35</v>
      </c>
      <c r="H7" s="5" t="s">
        <v>2</v>
      </c>
      <c r="I7" s="9" t="s">
        <v>33</v>
      </c>
      <c r="J7" s="3" t="s">
        <v>44</v>
      </c>
      <c r="K7" s="3">
        <v>10006540</v>
      </c>
      <c r="L7" s="3" t="s">
        <v>53</v>
      </c>
      <c r="M7" s="3" t="s">
        <v>37</v>
      </c>
      <c r="N7" s="13">
        <f ca="1" t="shared" si="0"/>
        <v>45957</v>
      </c>
      <c r="O7" s="3" t="s">
        <v>54</v>
      </c>
      <c r="P7" s="3">
        <v>5</v>
      </c>
      <c r="Q7" s="9" t="s">
        <v>39</v>
      </c>
      <c r="R7" s="3" t="s">
        <v>4</v>
      </c>
      <c r="S7" s="3" t="s">
        <v>50</v>
      </c>
      <c r="T7" s="3">
        <f t="shared" si="1"/>
        <v>10006540</v>
      </c>
      <c r="U7" s="3" t="s">
        <v>25</v>
      </c>
      <c r="V7" s="8" t="s">
        <v>45</v>
      </c>
      <c r="W7" s="8" t="s">
        <v>7</v>
      </c>
      <c r="X7" s="14" t="s">
        <v>57</v>
      </c>
    </row>
    <row r="8">
      <c r="A8" s="7">
        <v>7</v>
      </c>
      <c r="B8" s="7" t="s">
        <v>29</v>
      </c>
      <c r="C8" s="5" t="s">
        <v>47</v>
      </c>
      <c r="D8" s="5" t="s">
        <v>14</v>
      </c>
      <c r="E8" s="5" t="s">
        <v>1</v>
      </c>
      <c r="F8" s="5" t="s">
        <v>32</v>
      </c>
      <c r="G8" s="5" t="s">
        <v>35</v>
      </c>
      <c r="H8" s="5" t="s">
        <v>2</v>
      </c>
      <c r="I8" s="9" t="s">
        <v>33</v>
      </c>
      <c r="J8" s="3" t="s">
        <v>44</v>
      </c>
      <c r="K8" s="3">
        <v>10008475</v>
      </c>
      <c r="L8" s="3" t="s">
        <v>53</v>
      </c>
      <c r="M8" s="3" t="s">
        <v>60</v>
      </c>
      <c r="N8" s="13">
        <f ca="1" t="shared" si="0"/>
        <v>45957</v>
      </c>
      <c r="O8" s="3" t="s">
        <v>24</v>
      </c>
      <c r="P8" s="3">
        <v>1</v>
      </c>
      <c r="Q8" s="9" t="s">
        <v>39</v>
      </c>
      <c r="R8" s="3" t="s">
        <v>4</v>
      </c>
      <c r="S8" s="3" t="s">
        <v>50</v>
      </c>
      <c r="T8" s="3">
        <v>10008475</v>
      </c>
      <c r="U8" s="3" t="s">
        <v>25</v>
      </c>
      <c r="V8" s="8" t="s">
        <v>45</v>
      </c>
      <c r="W8" s="8" t="s">
        <v>7</v>
      </c>
      <c r="X8" s="14" t="s">
        <v>57</v>
      </c>
    </row>
    <row r="9">
      <c r="A9" s="7">
        <v>8</v>
      </c>
      <c r="B9" s="7" t="s">
        <v>29</v>
      </c>
      <c r="C9" s="5" t="s">
        <v>47</v>
      </c>
      <c r="D9" s="5" t="s">
        <v>14</v>
      </c>
      <c r="E9" s="5" t="s">
        <v>1</v>
      </c>
      <c r="F9" s="5" t="s">
        <v>49</v>
      </c>
      <c r="G9" s="5" t="s">
        <v>35</v>
      </c>
      <c r="H9" s="5" t="s">
        <v>2</v>
      </c>
      <c r="I9" s="9" t="s">
        <v>33</v>
      </c>
      <c r="J9" s="3" t="s">
        <v>44</v>
      </c>
      <c r="K9" s="3">
        <v>10003086</v>
      </c>
      <c r="L9" s="3" t="s">
        <v>53</v>
      </c>
      <c r="M9" s="3" t="s">
        <v>60</v>
      </c>
      <c r="N9" s="13">
        <f ca="1" t="shared" si="0"/>
        <v>45957</v>
      </c>
      <c r="O9" s="3" t="s">
        <v>55</v>
      </c>
      <c r="P9" s="3">
        <v>1</v>
      </c>
      <c r="Q9" s="9" t="s">
        <v>39</v>
      </c>
      <c r="R9" s="3" t="s">
        <v>4</v>
      </c>
      <c r="S9" s="3" t="s">
        <v>50</v>
      </c>
      <c r="T9" s="3">
        <f t="shared" si="2" ref="T9:T10">K9</f>
        <v>10003086</v>
      </c>
      <c r="U9" s="3" t="s">
        <v>25</v>
      </c>
      <c r="V9" s="8" t="s">
        <v>45</v>
      </c>
      <c r="W9" s="8" t="s">
        <v>7</v>
      </c>
      <c r="X9" s="14" t="s">
        <v>57</v>
      </c>
    </row>
    <row r="10">
      <c r="A10" s="7">
        <v>9</v>
      </c>
      <c r="B10" s="7" t="s">
        <v>29</v>
      </c>
      <c r="C10" s="5" t="s">
        <v>47</v>
      </c>
      <c r="D10" s="5" t="s">
        <v>14</v>
      </c>
      <c r="E10" s="5" t="s">
        <v>1</v>
      </c>
      <c r="F10" s="5" t="s">
        <v>49</v>
      </c>
      <c r="G10" s="5" t="s">
        <v>35</v>
      </c>
      <c r="H10" s="5" t="s">
        <v>2</v>
      </c>
      <c r="I10" s="9" t="s">
        <v>33</v>
      </c>
      <c r="J10" s="3" t="s">
        <v>44</v>
      </c>
      <c r="K10" s="3">
        <v>10003103</v>
      </c>
      <c r="L10" s="3" t="s">
        <v>53</v>
      </c>
      <c r="M10" s="3" t="s">
        <v>41</v>
      </c>
      <c r="N10" s="13">
        <f ca="1" t="shared" si="0"/>
        <v>45957</v>
      </c>
      <c r="O10" s="3" t="s">
        <v>23</v>
      </c>
      <c r="P10" s="3">
        <v>1</v>
      </c>
      <c r="Q10" s="9" t="s">
        <v>39</v>
      </c>
      <c r="R10" s="3" t="s">
        <v>4</v>
      </c>
      <c r="S10" s="3" t="s">
        <v>50</v>
      </c>
      <c r="T10" s="3">
        <f t="shared" si="2"/>
        <v>10003103</v>
      </c>
      <c r="U10" s="3" t="s">
        <v>25</v>
      </c>
      <c r="V10" s="8" t="s">
        <v>45</v>
      </c>
      <c r="W10" s="8" t="s">
        <v>7</v>
      </c>
      <c r="X10" s="14" t="s">
        <v>57</v>
      </c>
    </row>
    <row r="11" s="21" customFormat="1">
      <c r="A11" s="4"/>
      <c r="B11" s="4"/>
      <c r="C11" s="6"/>
      <c r="D11" s="6"/>
      <c r="E11" s="6"/>
      <c r="F11" s="6"/>
      <c r="G11" s="6"/>
      <c r="H11" s="6"/>
      <c r="I11" s="11"/>
      <c r="J11" s="4"/>
      <c r="K11" s="4"/>
      <c r="L11" s="4"/>
      <c r="M11" s="4"/>
      <c r="N11" s="20"/>
      <c r="O11" s="4"/>
      <c r="P11" s="4">
        <v>5</v>
      </c>
      <c r="Q11" s="11"/>
      <c r="R11" s="4"/>
      <c r="S11" s="4"/>
      <c r="T11" s="4"/>
      <c r="U11" s="4"/>
      <c r="V11" s="12"/>
      <c r="W11" s="12"/>
      <c r="X11" s="17"/>
    </row>
    <row r="12">
      <c r="A12" s="1"/>
      <c r="B12" s="5" t="s">
        <v>43</v>
      </c>
      <c r="C12" s="1"/>
      <c r="D12" s="1"/>
      <c r="E12" s="1"/>
      <c r="F12" s="1"/>
      <c r="G12" s="1"/>
      <c r="H12" s="1"/>
      <c r="I12" s="1"/>
      <c r="J12" s="1"/>
      <c r="K12" s="3">
        <v>10008475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0"/>
    </row>
    <row r="13">
      <c r="A13" s="1"/>
      <c r="B13" s="3" t="s">
        <v>20</v>
      </c>
      <c r="C13" s="1"/>
      <c r="D13" s="1"/>
      <c r="E13" s="1"/>
      <c r="F13" s="1"/>
      <c r="G13" s="1"/>
      <c r="H13" s="1"/>
      <c r="I13" s="1"/>
      <c r="J13" s="1"/>
      <c r="K13" s="3">
        <v>10007670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0"/>
    </row>
    <row r="14">
      <c r="A14" s="1"/>
      <c r="B14" s="18" t="s">
        <v>46</v>
      </c>
      <c r="C14" s="1"/>
      <c r="D14" s="1"/>
      <c r="E14" s="1"/>
      <c r="F14" s="1"/>
      <c r="G14" s="1"/>
      <c r="H14" s="1"/>
      <c r="I14" s="1"/>
      <c r="J14" s="1"/>
      <c r="K14" s="3">
        <v>10007670</v>
      </c>
      <c r="L14" s="3" t="s">
        <v>53</v>
      </c>
      <c r="M14" s="3" t="s">
        <v>36</v>
      </c>
      <c r="N14" s="1"/>
      <c r="O14" s="1"/>
      <c r="P14" s="1"/>
      <c r="Q14" s="1"/>
      <c r="R14" s="1"/>
      <c r="S14" s="1"/>
      <c r="T14" s="3">
        <f>K14</f>
        <v>10007670</v>
      </c>
      <c r="U14" s="1"/>
      <c r="V14" s="1"/>
      <c r="W14" s="1"/>
      <c r="X14" s="10"/>
    </row>
    <row r="15">
      <c r="A15" s="1"/>
      <c r="B15" s="19" t="s">
        <v>11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0"/>
    </row>
    <row r="16">
      <c r="A16" s="1"/>
      <c r="B16" s="16" t="s">
        <v>13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0"/>
    </row>
    <row r="17">
      <c r="A17" s="1"/>
      <c r="B17" s="8" t="s">
        <v>30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0"/>
    </row>
    <row r="18">
      <c r="A18" s="1"/>
      <c r="B18" s="15" t="s">
        <v>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0"/>
    </row>
    <row r="19">
      <c r="A19" s="1"/>
      <c r="B19" s="7" t="s">
        <v>31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0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0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0"/>
    </row>
    <row r="22">
      <c r="A22" s="1"/>
      <c r="B22" s="1" t="s">
        <v>19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0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A10"/>
  <sheetViews>
    <sheetView workbookViewId="0">
      <selection activeCell="A2" sqref="A2"/>
    </sheetView>
  </sheetViews>
  <sheetFormatPr defaultColWidth="9.42578125" defaultRowHeight="15.1"/>
  <cols>
    <col min="1" max="16384" width="9.42578125" style="2" customWidth="1"/>
  </cols>
  <sheetData>
    <row r="1" customFormat="1">
      <c r="A1" t="s">
        <v>28</v>
      </c>
    </row>
    <row r="2">
      <c r="A2" s="10"/>
    </row>
    <row r="3">
      <c r="A3" s="10" t="s">
        <v>57</v>
      </c>
    </row>
    <row r="4">
      <c r="A4" s="10"/>
    </row>
    <row r="5">
      <c r="A5" s="10"/>
    </row>
    <row r="6">
      <c r="A6" s="10"/>
    </row>
    <row r="7">
      <c r="A7" s="10"/>
    </row>
    <row r="8">
      <c r="A8" s="10" t="s">
        <v>57</v>
      </c>
    </row>
    <row r="9">
      <c r="A9" s="10"/>
    </row>
    <row r="10">
      <c r="A10" s="10" t="s">
        <v>57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