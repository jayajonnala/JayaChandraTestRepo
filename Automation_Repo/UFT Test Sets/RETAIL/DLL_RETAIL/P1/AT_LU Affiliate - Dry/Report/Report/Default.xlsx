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9"/>
  </bookViews>
  <sheets>
    <sheet name="Global" sheetId="1" r:id="rId1"/>
    <sheet name="RunTimeResultFolderCreation" sheetId="2" r:id="rId2"/>
    <sheet name="DataTransfer_OneValue1" sheetId="3" r:id="rId3"/>
    <sheet name="Wait" sheetId="4" r:id="rId4"/>
    <sheet name="DataTransfer_OneValue 2" sheetId="5" r:id="rId5"/>
    <sheet name="DataTransfer_OneValue 3" sheetId="6" r:id="rId6"/>
    <sheet name="DataTransfer_OneValue 4" sheetId="7" r:id="rId7"/>
    <sheet name="DataTransfer_OneValue 5" sheetId="8" r:id="rId8"/>
    <sheet name="DataTransfer_OneValue 6" sheetId="9" r:id="rId9"/>
    <sheet name="DataTransfer_OneValue 7" sheetId="10" r:id="rId10"/>
    <sheet name="DataTransfer_OneValue 8" sheetId="11" r:id="rId11"/>
    <sheet name="DataTransfer_OneValue 9" sheetId="12" r:id="rId12"/>
    <sheet name="DataTransfer_OneValue 10" sheetId="13" r:id="rId13"/>
    <sheet name="DataTransfer_OneValue 11" sheetId="14" r:id="rId14"/>
    <sheet name="DataTransfer_OneValue 12" sheetId="15" r:id="rId15"/>
    <sheet name="DataTransfer_OneValue 13" sheetId="16" r:id="rId16"/>
    <sheet name="DataTransfer_OneValue 14" sheetId="17" r:id="rId17"/>
    <sheet name="DataTransfer_OneValue 15" sheetId="18" r:id="rId18"/>
    <sheet name="TC2_Test_06-01-02-02-02-Check" sheetId="19" r:id="rId19"/>
    <sheet name="TC3_Test_06-01-02-13-04 CPO LUX" sheetId="20" r:id="rId20"/>
  </sheets>
  <externalReferences>
    <externalReference r:id="rId24"/>
  </externalReferences>
  <calcPr calcId="40001"/>
</workbook>
</file>

<file path=xl/sharedStrings.xml><?xml version="1.0" encoding="utf-8"?>
<sst xmlns="http://schemas.openxmlformats.org/spreadsheetml/2006/main" uniqueCount="85">
  <si>
    <t>AUTODLL</t>
  </si>
  <si>
    <t/>
  </si>
  <si>
    <t>DT_SAPTRANSACTIONCODE</t>
  </si>
  <si>
    <t>DT_ME23N_0003_PUR_ORDER</t>
  </si>
  <si>
    <t>DT_ME23N_0841_SEARCH_TERM</t>
  </si>
  <si>
    <t>DT_ME23N_0100_GRIDCELL_0_ARTICLE_DOCUMENT</t>
  </si>
  <si>
    <t>DT_ME23N_1102_CHECK_TEXT_OF_TABLECELL_DELIV_QTY_1</t>
  </si>
  <si>
    <t>DT_ME23N_0100_CHECK_GETCELLVALUE_OF_GRIDCELL_0_BELNR_OUTPUT</t>
  </si>
  <si>
    <t>DT_ME23N_0100_CHECK_GETCELLVALUE_OF_GRIDCELL_0_BELNR</t>
  </si>
  <si>
    <t>DT_DELIV_QTY_4_ART_2</t>
  </si>
  <si>
    <t>B008</t>
  </si>
  <si>
    <t>DT_DELIV_QTY_4_ART_2_OUTPUT</t>
  </si>
  <si>
    <t>LW01</t>
  </si>
  <si>
    <t>DT_ME23N_1000_PICKING</t>
  </si>
  <si>
    <t>09.03.2016</t>
  </si>
  <si>
    <t>DT_ME23N_1000_ITEM_OVERVIEW</t>
  </si>
  <si>
    <t>Scenario</t>
  </si>
  <si>
    <t>DT_PICK_QTY_1</t>
  </si>
  <si>
    <t>23.10.2025</t>
  </si>
  <si>
    <t>DT_ME23N_1102_CHECK_TEXT_OF_TABLECELL_ARTICLE_0</t>
  </si>
  <si>
    <t>AT_BE Integrated - Dry</t>
  </si>
  <si>
    <t>AT_BE affiliate - Dry</t>
  </si>
  <si>
    <t>AT_LU Affiliate - Dry</t>
  </si>
  <si>
    <t>200</t>
  </si>
  <si>
    <t>ME23N</t>
  </si>
  <si>
    <t>DT_EXPECTEDVALUE</t>
  </si>
  <si>
    <t>DT_DELIV_QTY_1_ART_2</t>
  </si>
  <si>
    <t>DT_ME23N_1102_CHECK_TEXT_OF_TABLECELL_SITE_0</t>
  </si>
  <si>
    <t>DT_PICK_QTY_4_OUTPUT</t>
  </si>
  <si>
    <t>DT_SAPSYSTEM</t>
  </si>
  <si>
    <t>DT_CHECK_REASON_ART_2</t>
  </si>
  <si>
    <t>B001</t>
  </si>
  <si>
    <t>DT_ME23N_1102_CHECK_TEXT_OF_TABLECELL_SLOC_0</t>
  </si>
  <si>
    <t>AT_BE interco - Frozen</t>
  </si>
  <si>
    <t>DT_SAPLANGUAGE</t>
  </si>
  <si>
    <t>DT_SAPOPTIONS</t>
  </si>
  <si>
    <t>S</t>
  </si>
  <si>
    <t>0</t>
  </si>
  <si>
    <t>_9156759117</t>
  </si>
  <si>
    <t>Row</t>
  </si>
  <si>
    <t>56c46afbcc6ac8daf77c653301d615</t>
  </si>
  <si>
    <t>DT_ME23N_0841_CHECK_TEXT_OF_GS_SEARCHSEARCH_INFO</t>
  </si>
  <si>
    <t>DT_ME23N_0100_GRIDCELL_0_ARTICLE_DOCUMENT_OCC1</t>
  </si>
  <si>
    <t>DT_PICK_QTY_2</t>
  </si>
  <si>
    <t>DT_ME23N_1104_CHECK_TEXT_OF_PICK_DATETIME</t>
  </si>
  <si>
    <t>DT_ME23N_1102_CHECK_TEXT_OF_TABLECELL_ARTICLE_1</t>
  </si>
  <si>
    <t>DT_PICK_QTY_3_OUTPUT</t>
  </si>
  <si>
    <t>DT_DELIV_QTY_1_ART_2_OUTPUT</t>
  </si>
  <si>
    <t>AT_LU Integrated - Dry</t>
  </si>
  <si>
    <t>AT_LU Inteco - Dry</t>
  </si>
  <si>
    <t>Hit displayed : 1</t>
  </si>
  <si>
    <t>DT_CHECK_REASON</t>
  </si>
  <si>
    <t>DT_DELIV_QTY_3_ART_2</t>
  </si>
  <si>
    <t>08.09.2025</t>
  </si>
  <si>
    <t>28.10.2025</t>
  </si>
  <si>
    <t>DT_ME23N_1102_CHECK_TEXT_OF_TABLECELL_SITE_1</t>
  </si>
  <si>
    <t>DT_DELIV_QTY_3_ART_2_OUTPUT</t>
  </si>
  <si>
    <t>Lfs</t>
  </si>
  <si>
    <t>DT_ME23N_1502_CHECK_TEXT_OF_SHIPTO_PARTY</t>
  </si>
  <si>
    <t>09.09.2025</t>
  </si>
  <si>
    <t>0001</t>
  </si>
  <si>
    <t>DT_ME23N_1102_CHECK_TEXT_OF_TABLECELL_SLOC_1</t>
  </si>
  <si>
    <t>EN</t>
  </si>
  <si>
    <t>BW04</t>
  </si>
  <si>
    <t>1</t>
  </si>
  <si>
    <t>BW11</t>
  </si>
  <si>
    <t>DT_PICK_QTY_2_OUTPUT</t>
  </si>
  <si>
    <t>AT_BE Integrated - Frozen</t>
  </si>
  <si>
    <t>DT_ME23N_1303_PURCHASE_ORDER_HISTORY</t>
  </si>
  <si>
    <t>DT_PICK_QTY_3</t>
  </si>
  <si>
    <t>09.07.2017</t>
  </si>
  <si>
    <t>AT_BE interco - Dry</t>
  </si>
  <si>
    <t>6975021-01</t>
  </si>
  <si>
    <t>BELNR</t>
  </si>
  <si>
    <t>DT_ME23N_1102_CHECK_TEXT_OF_TABLECELL_DELIV_QTY_0</t>
  </si>
  <si>
    <t>AT_LU Integrated - Frozen</t>
  </si>
  <si>
    <t>R1E - SAP RETAIL Pre-Production EUROPE</t>
  </si>
  <si>
    <t>DT_SAPPASSWORD</t>
  </si>
  <si>
    <t>DT_PICK_QTY_1_OUTPUT</t>
  </si>
  <si>
    <t>DT_SAPUSER</t>
  </si>
  <si>
    <t>DT_DELIV_QTY_2_ART_2</t>
  </si>
  <si>
    <t>DT_SAPCLIENT</t>
  </si>
  <si>
    <t>6</t>
  </si>
  <si>
    <t>DT_PICK_QTY_4</t>
  </si>
  <si>
    <t>DT_DELIV_QTY_2_ART_2_OUTPUT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</si>
</sst>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4" fontId="2" fillId="2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1" Type="http://schemas.openxmlformats.org/officeDocument/2006/relationships/theme" Target="theme/theme1.xml" /><Relationship Id="rId22" Type="http://schemas.openxmlformats.org/officeDocument/2006/relationships/styles" Target="styles.xml" /><Relationship Id="rId2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4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RETAIL\DT_Retrieve%20and%20verify%20parent%20OBD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M21"/>
  <sheetViews>
    <sheetView workbookViewId="0">
      <pane xSplit="1" ySplit="0" topLeftCell="AB2" activePane="topRight"/>
      <selection activeCell="AB2" sqref="AB2"/>
      <selection pane="topRight" activeCell="AB2" sqref="AB2"/>
    </sheetView>
  </sheetViews>
  <sheetFormatPr defaultColWidth="9.125" defaultRowHeight="14.25"/>
  <cols>
    <col min="1" max="1" width="4.875" style="14" customWidth="1"/>
    <col min="2" max="2" width="25" style="14" customWidth="1"/>
    <col min="3" max="3" width="38.125" style="14" customWidth="1"/>
    <col min="4" max="4" width="15" style="14" customWidth="1"/>
    <col min="5" max="5" width="13.625" style="14" customWidth="1"/>
    <col min="6" max="6" width="30.875" style="14" customWidth="1"/>
    <col min="7" max="7" width="18.625" style="14" customWidth="1"/>
    <col min="8" max="8" width="16.75" style="14" customWidth="1"/>
    <col min="9" max="9" width="27.125" style="14" customWidth="1"/>
    <col min="10" max="10" width="28.5" style="14" customWidth="1"/>
    <col min="11" max="11" width="44.25" style="14" customWidth="1"/>
    <col min="12" max="13" width="23.625" style="14" customWidth="1"/>
    <col min="14" max="14" width="44.25" style="14" customWidth="1"/>
    <col min="15" max="15" width="61.375" style="14" customWidth="1"/>
    <col min="16" max="16" width="48.5" style="14" customWidth="1"/>
    <col min="17" max="27" width="54.375" style="14" customWidth="1"/>
    <col min="28" max="28" width="47.75" style="14" customWidth="1"/>
    <col min="29" max="29" width="24.125" style="14" customWidth="1"/>
    <col min="30" max="30" width="48.125" style="14" customWidth="1"/>
    <col min="31" max="31" width="32.25" style="14" customWidth="1"/>
    <col min="32" max="33" width="54.75" style="14" customWidth="1"/>
    <col min="34" max="35" width="57.125" style="14" customWidth="1"/>
    <col min="36" max="37" width="51.125" style="14" customWidth="1"/>
    <col min="38" max="39" width="51.75" style="14" customWidth="1"/>
    <col min="40" max="16384" width="9.125" style="14" customWidth="1"/>
  </cols>
  <sheetData>
    <row r="1" ht="12.75" customHeight="1" customFormat="1">
      <c r="A1" t="s">
        <v>39</v>
      </c>
      <c r="B1" t="s">
        <v>16</v>
      </c>
      <c r="C1" t="s">
        <v>29</v>
      </c>
      <c r="D1" t="s">
        <v>81</v>
      </c>
      <c r="E1" t="s">
        <v>79</v>
      </c>
      <c r="F1" t="s">
        <v>77</v>
      </c>
      <c r="G1" t="s">
        <v>34</v>
      </c>
      <c r="H1" t="s">
        <v>35</v>
      </c>
      <c r="I1" t="s">
        <v>2</v>
      </c>
      <c r="J1" t="s">
        <v>3</v>
      </c>
      <c r="K1" t="s">
        <v>68</v>
      </c>
      <c r="L1" t="s">
        <v>4</v>
      </c>
      <c r="M1" t="s">
        <v>25</v>
      </c>
      <c r="N1" t="s">
        <v>41</v>
      </c>
      <c r="O1" t="s">
        <v>8</v>
      </c>
      <c r="P1" t="s">
        <v>5</v>
      </c>
      <c r="Q1" t="s">
        <v>42</v>
      </c>
      <c r="R1" t="s">
        <v>51</v>
      </c>
      <c r="S1" t="s">
        <v>30</v>
      </c>
      <c r="T1" t="s">
        <v>17</v>
      </c>
      <c r="U1" t="s">
        <v>43</v>
      </c>
      <c r="V1" t="s">
        <v>69</v>
      </c>
      <c r="W1" t="s">
        <v>83</v>
      </c>
      <c r="X1" t="s">
        <v>26</v>
      </c>
      <c r="Y1" t="s">
        <v>80</v>
      </c>
      <c r="Z1" t="s">
        <v>52</v>
      </c>
      <c r="AA1" t="s">
        <v>9</v>
      </c>
      <c r="AB1" t="s">
        <v>58</v>
      </c>
      <c r="AC1" t="s">
        <v>13</v>
      </c>
      <c r="AD1" t="s">
        <v>44</v>
      </c>
      <c r="AE1" t="s">
        <v>15</v>
      </c>
      <c r="AF1" t="s">
        <v>19</v>
      </c>
      <c r="AG1" t="s">
        <v>45</v>
      </c>
      <c r="AH1" t="s">
        <v>74</v>
      </c>
      <c r="AI1" t="s">
        <v>6</v>
      </c>
      <c r="AJ1" t="s">
        <v>27</v>
      </c>
      <c r="AK1" t="s">
        <v>55</v>
      </c>
      <c r="AL1" t="s">
        <v>32</v>
      </c>
      <c r="AM1" t="s">
        <v>61</v>
      </c>
    </row>
    <row r="2">
      <c r="A2" s="1">
        <v>2</v>
      </c>
      <c r="B2" s="1" t="s">
        <v>20</v>
      </c>
      <c r="C2" s="4" t="s">
        <v>76</v>
      </c>
      <c r="D2" s="4" t="s">
        <v>23</v>
      </c>
      <c r="E2" s="4" t="s">
        <v>0</v>
      </c>
      <c r="F2" s="4" t="s">
        <v>40</v>
      </c>
      <c r="G2" s="4" t="s">
        <v>62</v>
      </c>
      <c r="H2" s="4" t="s">
        <v>1</v>
      </c>
      <c r="I2" s="1" t="s">
        <v>24</v>
      </c>
      <c r="J2" s="8">
        <v>5567872387</v>
      </c>
      <c r="K2" s="1" t="s">
        <v>82</v>
      </c>
      <c r="L2" s="11" t="s">
        <v>57</v>
      </c>
      <c r="M2" s="5" t="s">
        <v>36</v>
      </c>
      <c r="N2" s="5" t="s">
        <v>50</v>
      </c>
      <c r="O2" s="9" t="e">
        <f>[1]Output!A2</f>
        <v>#REF!</v>
      </c>
      <c r="P2" s="1" t="s">
        <v>73</v>
      </c>
      <c r="Q2" s="1" t="s">
        <v>37</v>
      </c>
      <c r="R2" s="1">
        <v>0</v>
      </c>
      <c r="S2" s="1">
        <v>0</v>
      </c>
      <c r="T2" s="3">
        <v>0</v>
      </c>
      <c r="U2" s="3">
        <v>96</v>
      </c>
      <c r="V2" s="3">
        <v>24</v>
      </c>
      <c r="W2" s="3">
        <v>0</v>
      </c>
      <c r="X2" s="3">
        <v>4</v>
      </c>
      <c r="Y2" s="3">
        <v>4</v>
      </c>
      <c r="Z2" s="3">
        <v>1</v>
      </c>
      <c r="AA2" s="3">
        <v>1</v>
      </c>
      <c r="AB2" s="2" t="s">
        <v>31</v>
      </c>
      <c r="AC2" s="1" t="s">
        <v>64</v>
      </c>
      <c r="AD2" s="12" t="s">
        <v>53</v>
      </c>
      <c r="AE2" s="1" t="s">
        <v>37</v>
      </c>
      <c r="AF2" s="2">
        <v>7152554</v>
      </c>
      <c r="AG2" s="2">
        <v>7253580</v>
      </c>
      <c r="AH2" s="2">
        <v>4</v>
      </c>
      <c r="AI2" s="2">
        <v>4</v>
      </c>
      <c r="AJ2" s="2" t="s">
        <v>63</v>
      </c>
      <c r="AK2" s="2" t="str">
        <f>AJ2</f>
        <v>BW04</v>
      </c>
      <c r="AL2" s="2" t="s">
        <v>60</v>
      </c>
      <c r="AM2" s="10" t="str">
        <f>AL2</f>
        <v>0001</v>
      </c>
    </row>
    <row r="3">
      <c r="A3" s="1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7"/>
    </row>
    <row r="4">
      <c r="A4" s="1">
        <v>4</v>
      </c>
      <c r="B4" s="1" t="s">
        <v>71</v>
      </c>
      <c r="C4" s="4" t="s">
        <v>76</v>
      </c>
      <c r="D4" s="4" t="s">
        <v>23</v>
      </c>
      <c r="E4" s="4" t="s">
        <v>0</v>
      </c>
      <c r="F4" s="4" t="s">
        <v>40</v>
      </c>
      <c r="G4" s="4" t="s">
        <v>62</v>
      </c>
      <c r="H4" s="4" t="s">
        <v>1</v>
      </c>
      <c r="I4" s="1" t="s">
        <v>24</v>
      </c>
      <c r="J4" s="8">
        <v>4900656694</v>
      </c>
      <c r="K4" s="1" t="s">
        <v>82</v>
      </c>
      <c r="L4" s="11" t="s">
        <v>57</v>
      </c>
      <c r="M4" s="5" t="s">
        <v>36</v>
      </c>
      <c r="N4" s="5" t="s">
        <v>50</v>
      </c>
      <c r="O4" s="9" t="e">
        <f>[1]Output!A4</f>
        <v>#REF!</v>
      </c>
      <c r="P4" s="1" t="s">
        <v>73</v>
      </c>
      <c r="Q4" s="1" t="s">
        <v>37</v>
      </c>
      <c r="R4" s="1">
        <v>0</v>
      </c>
      <c r="S4" s="1">
        <v>0</v>
      </c>
      <c r="T4" s="3">
        <v>4</v>
      </c>
      <c r="U4" s="3">
        <v>48</v>
      </c>
      <c r="V4" s="3">
        <v>12</v>
      </c>
      <c r="W4" s="3">
        <v>1</v>
      </c>
      <c r="X4" s="3">
        <v>10</v>
      </c>
      <c r="Y4" s="3">
        <v>60</v>
      </c>
      <c r="Z4" s="3">
        <v>6</v>
      </c>
      <c r="AA4" s="3">
        <v>1</v>
      </c>
      <c r="AB4" s="2" t="s">
        <v>10</v>
      </c>
      <c r="AC4" s="1" t="s">
        <v>64</v>
      </c>
      <c r="AD4" s="13" t="s">
        <v>54</v>
      </c>
      <c r="AE4" s="1" t="s">
        <v>37</v>
      </c>
      <c r="AF4" s="2">
        <v>7168028</v>
      </c>
      <c r="AG4" s="2">
        <v>7160694</v>
      </c>
      <c r="AH4" s="2">
        <v>4</v>
      </c>
      <c r="AI4" s="2">
        <v>10</v>
      </c>
      <c r="AJ4" s="2" t="s">
        <v>63</v>
      </c>
      <c r="AK4" s="2" t="str">
        <f>AJ4</f>
        <v>BW04</v>
      </c>
      <c r="AL4" s="2" t="s">
        <v>60</v>
      </c>
      <c r="AM4" s="10" t="str">
        <f>AL4</f>
        <v>0001</v>
      </c>
    </row>
    <row r="5">
      <c r="A5" s="1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7"/>
    </row>
    <row r="6">
      <c r="A6" s="1">
        <v>6</v>
      </c>
      <c r="B6" s="1" t="s">
        <v>21</v>
      </c>
      <c r="C6" s="4" t="s">
        <v>76</v>
      </c>
      <c r="D6" s="4" t="s">
        <v>23</v>
      </c>
      <c r="E6" s="4" t="s">
        <v>0</v>
      </c>
      <c r="F6" s="4" t="s">
        <v>40</v>
      </c>
      <c r="G6" s="4" t="s">
        <v>62</v>
      </c>
      <c r="H6" s="4" t="s">
        <v>1</v>
      </c>
      <c r="I6" s="1" t="s">
        <v>24</v>
      </c>
      <c r="J6" s="8" t="s">
        <v>72</v>
      </c>
      <c r="K6" s="1" t="s">
        <v>82</v>
      </c>
      <c r="L6" s="11" t="s">
        <v>57</v>
      </c>
      <c r="M6" s="5" t="s">
        <v>36</v>
      </c>
      <c r="N6" s="5" t="s">
        <v>50</v>
      </c>
      <c r="O6" s="9">
        <v>9101373603</v>
      </c>
      <c r="P6" s="1" t="s">
        <v>73</v>
      </c>
      <c r="Q6" s="1" t="s">
        <v>37</v>
      </c>
      <c r="R6" s="1">
        <v>0</v>
      </c>
      <c r="S6" s="1">
        <v>0</v>
      </c>
      <c r="T6" s="3"/>
      <c r="U6" s="3"/>
      <c r="V6" s="3"/>
      <c r="W6" s="3"/>
      <c r="X6" s="3"/>
      <c r="Y6" s="3"/>
      <c r="Z6" s="3">
        <v>1</v>
      </c>
      <c r="AA6" s="3">
        <v>1</v>
      </c>
      <c r="AB6" s="2" t="s">
        <v>31</v>
      </c>
      <c r="AC6" s="1" t="s">
        <v>64</v>
      </c>
      <c r="AD6" s="2" t="s">
        <v>14</v>
      </c>
      <c r="AE6" s="1" t="s">
        <v>37</v>
      </c>
      <c r="AF6" s="2">
        <v>7168028</v>
      </c>
      <c r="AG6" s="2">
        <v>7227802</v>
      </c>
      <c r="AH6" s="2">
        <v>5</v>
      </c>
      <c r="AI6" s="2">
        <v>8</v>
      </c>
      <c r="AJ6" s="2" t="s">
        <v>63</v>
      </c>
      <c r="AK6" s="2" t="str">
        <f>AJ6</f>
        <v>BW04</v>
      </c>
      <c r="AL6" s="2" t="s">
        <v>60</v>
      </c>
      <c r="AM6" s="10" t="str">
        <f>AL6</f>
        <v>0001</v>
      </c>
    </row>
    <row r="7">
      <c r="A7" s="1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7"/>
    </row>
    <row r="8">
      <c r="A8" s="1">
        <v>8</v>
      </c>
      <c r="B8" s="1" t="s">
        <v>22</v>
      </c>
      <c r="C8" s="4" t="s">
        <v>76</v>
      </c>
      <c r="D8" s="4" t="s">
        <v>23</v>
      </c>
      <c r="E8" s="4" t="s">
        <v>0</v>
      </c>
      <c r="F8" s="4" t="s">
        <v>40</v>
      </c>
      <c r="G8" s="4" t="s">
        <v>62</v>
      </c>
      <c r="H8" s="4" t="s">
        <v>1</v>
      </c>
      <c r="I8" s="1" t="s">
        <v>24</v>
      </c>
      <c r="J8" s="8">
        <v>0</v>
      </c>
      <c r="K8" s="1" t="s">
        <v>82</v>
      </c>
      <c r="L8" s="11" t="s">
        <v>57</v>
      </c>
      <c r="M8" s="5" t="s">
        <v>36</v>
      </c>
      <c r="N8" s="5" t="s">
        <v>50</v>
      </c>
      <c r="O8" s="9" t="e">
        <f>[1]Output!A8</f>
        <v>#REF!</v>
      </c>
      <c r="P8" s="1" t="s">
        <v>73</v>
      </c>
      <c r="Q8" s="1" t="s">
        <v>37</v>
      </c>
      <c r="R8" s="1">
        <v>0</v>
      </c>
      <c r="S8" s="1">
        <v>0</v>
      </c>
      <c r="T8" s="3" t="e">
        <f>[1]Output!B8</f>
        <v>#REF!</v>
      </c>
      <c r="U8" s="3" t="e">
        <f>[1]Output!C8</f>
        <v>#REF!</v>
      </c>
      <c r="V8" s="3" t="e">
        <f>[1]Output!D8</f>
        <v>#REF!</v>
      </c>
      <c r="W8" s="3" t="e">
        <f>[1]Output!E8</f>
        <v>#REF!</v>
      </c>
      <c r="X8" s="3" t="e">
        <f>[1]Output!F8</f>
        <v>#REF!</v>
      </c>
      <c r="Y8" s="3" t="e">
        <f>[1]Output!G8</f>
        <v>#REF!</v>
      </c>
      <c r="Z8" s="3">
        <v>1</v>
      </c>
      <c r="AA8" s="3" t="e">
        <f>[1]Output!I8</f>
        <v>#REF!</v>
      </c>
      <c r="AB8" s="2" t="s">
        <v>63</v>
      </c>
      <c r="AC8" s="1" t="s">
        <v>64</v>
      </c>
      <c r="AD8" s="12">
        <f ca="1">TODAY()+1</f>
        <v>45959</v>
      </c>
      <c r="AE8" s="1" t="s">
        <v>37</v>
      </c>
      <c r="AF8" s="2">
        <v>7153446</v>
      </c>
      <c r="AG8" s="2">
        <v>7227802</v>
      </c>
      <c r="AH8" s="2">
        <v>1</v>
      </c>
      <c r="AI8" s="2">
        <v>5</v>
      </c>
      <c r="AJ8" s="2" t="s">
        <v>63</v>
      </c>
      <c r="AK8" s="2" t="s">
        <v>63</v>
      </c>
      <c r="AL8" s="2" t="s">
        <v>60</v>
      </c>
      <c r="AM8" s="10" t="str">
        <f>AL8</f>
        <v>0001</v>
      </c>
    </row>
    <row r="9">
      <c r="A9" s="1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7"/>
    </row>
    <row r="10">
      <c r="A10" s="1">
        <v>10</v>
      </c>
      <c r="B10" s="1" t="s">
        <v>48</v>
      </c>
      <c r="C10" s="4" t="s">
        <v>76</v>
      </c>
      <c r="D10" s="4" t="s">
        <v>23</v>
      </c>
      <c r="E10" s="4" t="s">
        <v>0</v>
      </c>
      <c r="F10" s="4" t="s">
        <v>40</v>
      </c>
      <c r="G10" s="4" t="s">
        <v>62</v>
      </c>
      <c r="H10" s="4" t="s">
        <v>1</v>
      </c>
      <c r="I10" s="1" t="s">
        <v>24</v>
      </c>
      <c r="J10" s="8">
        <v>6503824484</v>
      </c>
      <c r="K10" s="1" t="s">
        <v>82</v>
      </c>
      <c r="L10" s="11" t="s">
        <v>57</v>
      </c>
      <c r="M10" s="5" t="s">
        <v>36</v>
      </c>
      <c r="N10" s="5" t="s">
        <v>50</v>
      </c>
      <c r="O10" s="9" t="e">
        <f>[1]Output!A10</f>
        <v>#REF!</v>
      </c>
      <c r="P10" s="1" t="s">
        <v>73</v>
      </c>
      <c r="Q10" s="1" t="s">
        <v>37</v>
      </c>
      <c r="R10" s="1">
        <v>0</v>
      </c>
      <c r="S10" s="1">
        <v>0</v>
      </c>
      <c r="T10" s="3">
        <v>10</v>
      </c>
      <c r="U10" s="3">
        <v>250</v>
      </c>
      <c r="V10" s="3">
        <v>25</v>
      </c>
      <c r="W10" s="3">
        <v>1</v>
      </c>
      <c r="X10" s="3">
        <v>4</v>
      </c>
      <c r="Y10" s="3">
        <v>96</v>
      </c>
      <c r="Z10" s="3">
        <v>24</v>
      </c>
      <c r="AA10" s="3">
        <v>1</v>
      </c>
      <c r="AB10" s="2" t="s">
        <v>12</v>
      </c>
      <c r="AC10" s="1" t="s">
        <v>64</v>
      </c>
      <c r="AD10" s="12">
        <f ca="1">TODAY()+1</f>
        <v>45959</v>
      </c>
      <c r="AE10" s="1" t="s">
        <v>37</v>
      </c>
      <c r="AF10" s="2">
        <v>7153446</v>
      </c>
      <c r="AG10" s="2">
        <v>7152554</v>
      </c>
      <c r="AH10" s="2">
        <v>10</v>
      </c>
      <c r="AI10" s="2">
        <v>4</v>
      </c>
      <c r="AJ10" s="2" t="s">
        <v>63</v>
      </c>
      <c r="AK10" s="2" t="s">
        <v>63</v>
      </c>
      <c r="AL10" s="2" t="s">
        <v>60</v>
      </c>
      <c r="AM10" s="10" t="str">
        <f>AL10</f>
        <v>0001</v>
      </c>
    </row>
    <row r="11">
      <c r="A11" s="1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7"/>
    </row>
    <row r="12">
      <c r="A12" s="1">
        <v>12</v>
      </c>
      <c r="B12" s="1" t="s">
        <v>49</v>
      </c>
      <c r="C12" s="4" t="s">
        <v>76</v>
      </c>
      <c r="D12" s="4" t="s">
        <v>23</v>
      </c>
      <c r="E12" s="4" t="s">
        <v>0</v>
      </c>
      <c r="F12" s="4" t="s">
        <v>40</v>
      </c>
      <c r="G12" s="4" t="s">
        <v>62</v>
      </c>
      <c r="H12" s="4" t="s">
        <v>1</v>
      </c>
      <c r="I12" s="1" t="s">
        <v>24</v>
      </c>
      <c r="J12" s="8">
        <v>6500336324</v>
      </c>
      <c r="K12" s="1" t="s">
        <v>82</v>
      </c>
      <c r="L12" s="11" t="s">
        <v>57</v>
      </c>
      <c r="M12" s="5" t="s">
        <v>36</v>
      </c>
      <c r="N12" s="5" t="s">
        <v>50</v>
      </c>
      <c r="O12" s="9">
        <v>9140532302</v>
      </c>
      <c r="P12" s="1" t="s">
        <v>73</v>
      </c>
      <c r="Q12" s="1" t="s">
        <v>37</v>
      </c>
      <c r="R12" s="1">
        <v>0</v>
      </c>
      <c r="S12" s="1">
        <v>0</v>
      </c>
      <c r="T12" s="3">
        <v>10</v>
      </c>
      <c r="U12" s="3">
        <v>120</v>
      </c>
      <c r="V12" s="3">
        <v>12</v>
      </c>
      <c r="W12" s="3">
        <v>1</v>
      </c>
      <c r="X12" s="3">
        <v>4</v>
      </c>
      <c r="Y12" s="3">
        <v>4</v>
      </c>
      <c r="Z12" s="3">
        <v>1</v>
      </c>
      <c r="AA12" s="3">
        <v>1</v>
      </c>
      <c r="AB12" s="2" t="s">
        <v>12</v>
      </c>
      <c r="AC12" s="1" t="s">
        <v>64</v>
      </c>
      <c r="AD12" s="13" t="s">
        <v>70</v>
      </c>
      <c r="AE12" s="1" t="s">
        <v>37</v>
      </c>
      <c r="AF12" s="2">
        <v>7168028</v>
      </c>
      <c r="AG12" s="2">
        <v>7227802</v>
      </c>
      <c r="AH12" s="2">
        <v>10</v>
      </c>
      <c r="AI12" s="2">
        <v>4</v>
      </c>
      <c r="AJ12" s="2" t="s">
        <v>63</v>
      </c>
      <c r="AK12" s="2" t="s">
        <v>63</v>
      </c>
      <c r="AL12" s="2" t="s">
        <v>60</v>
      </c>
      <c r="AM12" s="10" t="str">
        <f>AL12</f>
        <v>0001</v>
      </c>
    </row>
    <row r="13">
      <c r="A13" s="1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7"/>
    </row>
    <row r="14">
      <c r="A14" s="1">
        <v>14</v>
      </c>
      <c r="B14" s="1" t="s">
        <v>67</v>
      </c>
      <c r="C14" s="4" t="s">
        <v>76</v>
      </c>
      <c r="D14" s="4" t="s">
        <v>23</v>
      </c>
      <c r="E14" s="4" t="s">
        <v>0</v>
      </c>
      <c r="F14" s="4" t="s">
        <v>40</v>
      </c>
      <c r="G14" s="4" t="s">
        <v>62</v>
      </c>
      <c r="H14" s="4" t="s">
        <v>1</v>
      </c>
      <c r="I14" s="1" t="s">
        <v>24</v>
      </c>
      <c r="J14" s="8">
        <v>5567872341</v>
      </c>
      <c r="K14" s="1" t="s">
        <v>82</v>
      </c>
      <c r="L14" s="11" t="s">
        <v>57</v>
      </c>
      <c r="M14" s="5" t="s">
        <v>36</v>
      </c>
      <c r="N14" s="5" t="s">
        <v>50</v>
      </c>
      <c r="O14" s="9" t="e">
        <f>[1]Output!A14</f>
        <v>#REF!</v>
      </c>
      <c r="P14" s="1" t="s">
        <v>73</v>
      </c>
      <c r="Q14" s="1" t="s">
        <v>37</v>
      </c>
      <c r="R14" s="1">
        <v>0</v>
      </c>
      <c r="S14" s="1">
        <v>0</v>
      </c>
      <c r="T14" s="3" t="e">
        <f>[1]Output!B14</f>
        <v>#REF!</v>
      </c>
      <c r="U14" s="3" t="e">
        <f>[1]Output!C14</f>
        <v>#REF!</v>
      </c>
      <c r="V14" s="3" t="e">
        <f>[1]Output!D14</f>
        <v>#REF!</v>
      </c>
      <c r="W14" s="3" t="e">
        <f>[1]Output!E14</f>
        <v>#REF!</v>
      </c>
      <c r="X14" s="3" t="e">
        <f>[1]Output!F14</f>
        <v>#REF!</v>
      </c>
      <c r="Y14" s="3" t="e">
        <f>[1]Output!G14</f>
        <v>#REF!</v>
      </c>
      <c r="Z14" s="3" t="e">
        <f>[1]Output!H14</f>
        <v>#REF!</v>
      </c>
      <c r="AA14" s="3" t="e">
        <f>[1]Output!I14</f>
        <v>#REF!</v>
      </c>
      <c r="AB14" s="2" t="s">
        <v>31</v>
      </c>
      <c r="AC14" s="1" t="s">
        <v>64</v>
      </c>
      <c r="AD14" s="13" t="s">
        <v>59</v>
      </c>
      <c r="AE14" s="1" t="s">
        <v>37</v>
      </c>
      <c r="AF14" s="2">
        <v>7131247</v>
      </c>
      <c r="AG14" s="2">
        <v>7131661</v>
      </c>
      <c r="AH14" s="2">
        <v>4</v>
      </c>
      <c r="AI14" s="2">
        <v>8</v>
      </c>
      <c r="AJ14" s="2" t="s">
        <v>65</v>
      </c>
      <c r="AK14" s="2" t="str">
        <f>AJ14</f>
        <v>BW11</v>
      </c>
      <c r="AL14" s="2" t="s">
        <v>60</v>
      </c>
      <c r="AM14" s="10" t="str">
        <f>AL14</f>
        <v>0001</v>
      </c>
    </row>
    <row r="15">
      <c r="A15" s="1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7"/>
    </row>
    <row r="16">
      <c r="A16" s="1">
        <v>16</v>
      </c>
      <c r="B16" s="1" t="s">
        <v>33</v>
      </c>
      <c r="C16" s="4" t="s">
        <v>76</v>
      </c>
      <c r="D16" s="4" t="s">
        <v>23</v>
      </c>
      <c r="E16" s="4" t="s">
        <v>0</v>
      </c>
      <c r="F16" s="4" t="s">
        <v>40</v>
      </c>
      <c r="G16" s="4" t="s">
        <v>62</v>
      </c>
      <c r="H16" s="4" t="s">
        <v>1</v>
      </c>
      <c r="I16" s="1" t="s">
        <v>24</v>
      </c>
      <c r="J16" s="8">
        <v>5567863707</v>
      </c>
      <c r="K16" s="1" t="s">
        <v>82</v>
      </c>
      <c r="L16" s="11" t="s">
        <v>57</v>
      </c>
      <c r="M16" s="5" t="s">
        <v>36</v>
      </c>
      <c r="N16" s="5" t="s">
        <v>50</v>
      </c>
      <c r="O16" s="9" t="e">
        <f>[1]Output!A16</f>
        <v>#REF!</v>
      </c>
      <c r="P16" s="1" t="s">
        <v>73</v>
      </c>
      <c r="Q16" s="1" t="s">
        <v>37</v>
      </c>
      <c r="R16" s="1">
        <v>0</v>
      </c>
      <c r="S16" s="1">
        <v>0</v>
      </c>
      <c r="T16" s="3">
        <v>3</v>
      </c>
      <c r="U16" s="3">
        <v>36</v>
      </c>
      <c r="V16" s="3">
        <v>12</v>
      </c>
      <c r="W16" s="3">
        <v>1</v>
      </c>
      <c r="X16" s="3">
        <v>6</v>
      </c>
      <c r="Y16" s="3">
        <v>24</v>
      </c>
      <c r="Z16" s="3">
        <v>4</v>
      </c>
      <c r="AA16" s="3">
        <v>1</v>
      </c>
      <c r="AB16" s="2" t="s">
        <v>10</v>
      </c>
      <c r="AC16" s="1" t="s">
        <v>64</v>
      </c>
      <c r="AD16" s="13" t="s">
        <v>18</v>
      </c>
      <c r="AE16" s="1" t="s">
        <v>37</v>
      </c>
      <c r="AF16" s="2">
        <v>7131247</v>
      </c>
      <c r="AG16" s="2">
        <v>7131661</v>
      </c>
      <c r="AH16" s="2">
        <v>3</v>
      </c>
      <c r="AI16" s="2">
        <v>6</v>
      </c>
      <c r="AJ16" s="2" t="s">
        <v>65</v>
      </c>
      <c r="AK16" s="2" t="str">
        <f>AJ16</f>
        <v>BW11</v>
      </c>
      <c r="AL16" s="2" t="s">
        <v>60</v>
      </c>
      <c r="AM16" s="10" t="str">
        <f>AL16</f>
        <v>0001</v>
      </c>
    </row>
    <row r="17">
      <c r="A17" s="1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7"/>
    </row>
    <row r="18">
      <c r="A18" s="1">
        <v>18</v>
      </c>
      <c r="B18" s="1" t="s">
        <v>75</v>
      </c>
      <c r="C18" s="4" t="s">
        <v>76</v>
      </c>
      <c r="D18" s="4" t="s">
        <v>23</v>
      </c>
      <c r="E18" s="4" t="s">
        <v>0</v>
      </c>
      <c r="F18" s="4" t="s">
        <v>40</v>
      </c>
      <c r="G18" s="4" t="s">
        <v>62</v>
      </c>
      <c r="H18" s="4" t="s">
        <v>1</v>
      </c>
      <c r="I18" s="1" t="s">
        <v>24</v>
      </c>
      <c r="J18" s="8">
        <v>6503824483</v>
      </c>
      <c r="K18" s="1" t="s">
        <v>82</v>
      </c>
      <c r="L18" s="11" t="s">
        <v>57</v>
      </c>
      <c r="M18" s="5" t="s">
        <v>36</v>
      </c>
      <c r="N18" s="5" t="s">
        <v>50</v>
      </c>
      <c r="O18" s="9" t="e">
        <f>[1]Output!A18</f>
        <v>#REF!</v>
      </c>
      <c r="P18" s="1" t="s">
        <v>73</v>
      </c>
      <c r="Q18" s="1" t="s">
        <v>37</v>
      </c>
      <c r="R18" s="1">
        <v>0</v>
      </c>
      <c r="S18" s="1">
        <v>0</v>
      </c>
      <c r="T18" s="3">
        <v>5</v>
      </c>
      <c r="U18" s="3">
        <v>60</v>
      </c>
      <c r="V18" s="3">
        <v>12</v>
      </c>
      <c r="W18" s="3">
        <v>1</v>
      </c>
      <c r="X18" s="3">
        <v>10</v>
      </c>
      <c r="Y18" s="3">
        <v>40</v>
      </c>
      <c r="Z18" s="3">
        <v>4</v>
      </c>
      <c r="AA18" s="3">
        <v>1</v>
      </c>
      <c r="AB18" s="2" t="s">
        <v>12</v>
      </c>
      <c r="AC18" s="1" t="s">
        <v>64</v>
      </c>
      <c r="AD18" s="12">
        <f ca="1">TODAY()+1</f>
        <v>45959</v>
      </c>
      <c r="AE18" s="1" t="s">
        <v>37</v>
      </c>
      <c r="AF18" s="2">
        <v>7131247</v>
      </c>
      <c r="AG18" s="2">
        <v>7131661</v>
      </c>
      <c r="AH18" s="2">
        <v>5</v>
      </c>
      <c r="AI18" s="2">
        <v>10</v>
      </c>
      <c r="AJ18" s="2" t="s">
        <v>65</v>
      </c>
      <c r="AK18" s="2" t="s">
        <v>65</v>
      </c>
      <c r="AL18" s="2" t="s">
        <v>60</v>
      </c>
      <c r="AM18" s="10" t="str">
        <f>AL18</f>
        <v>0001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7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7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2">
        <f>AJ21</f>
        <v>0</v>
      </c>
      <c r="AL21" s="1"/>
      <c r="AM21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K18"/>
  <sheetViews>
    <sheetView workbookViewId="0">
      <selection activeCell="A2" sqref="A2"/>
    </sheetView>
  </sheetViews>
  <sheetFormatPr defaultColWidth="9.125" defaultRowHeight="14.25"/>
  <cols>
    <col min="1" max="1" width="71.625" style="14" customWidth="1"/>
    <col min="2" max="2" width="16.625" style="14" customWidth="1"/>
    <col min="3" max="3" width="16.5" style="14" customWidth="1"/>
    <col min="4" max="4" width="14.75" style="14" customWidth="1"/>
    <col min="5" max="5" width="16.25" style="14" customWidth="1"/>
    <col min="6" max="6" width="24.875" style="14" customWidth="1"/>
    <col min="7" max="7" width="25.5" style="14" customWidth="1"/>
    <col min="8" max="8" width="22.875" style="14" customWidth="1"/>
    <col min="9" max="9" width="23.75" style="14" customWidth="1"/>
    <col min="10" max="16384" width="9.125" style="14" customWidth="1"/>
  </cols>
  <sheetData>
    <row r="1" ht="12.75" customHeight="1" customFormat="1">
      <c r="A1" t="s">
        <v>7</v>
      </c>
      <c r="B1" t="s">
        <v>78</v>
      </c>
      <c r="C1" t="s">
        <v>66</v>
      </c>
      <c r="D1" t="s">
        <v>46</v>
      </c>
      <c r="E1" t="s">
        <v>28</v>
      </c>
      <c r="F1" t="s">
        <v>47</v>
      </c>
      <c r="G1" t="s">
        <v>84</v>
      </c>
      <c r="H1" t="s">
        <v>56</v>
      </c>
      <c r="I1" t="s">
        <v>11</v>
      </c>
      <c r="J1" t="s">
        <v>38</v>
      </c>
      <c r="K1" t="s">
        <v>8</v>
      </c>
    </row>
    <row r="2">
      <c r="A2" s="1">
        <v>9223102023</v>
      </c>
      <c r="B2" s="1">
        <v>4</v>
      </c>
      <c r="C2" s="1">
        <v>0</v>
      </c>
      <c r="D2" s="1">
        <v>96</v>
      </c>
      <c r="E2" s="1">
        <v>1</v>
      </c>
      <c r="F2" s="1">
        <v>4</v>
      </c>
      <c r="G2" s="1">
        <v>0</v>
      </c>
      <c r="H2" s="1">
        <v>4</v>
      </c>
      <c r="I2" s="1">
        <v>1</v>
      </c>
      <c r="J2" s="1"/>
      <c r="K2" s="7">
        <v>9164858576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7"/>
    </row>
    <row r="4">
      <c r="A4" s="1">
        <v>9223102026</v>
      </c>
      <c r="B4" s="1">
        <v>4</v>
      </c>
      <c r="C4" s="1">
        <v>0</v>
      </c>
      <c r="D4" s="1">
        <v>48</v>
      </c>
      <c r="E4" s="1">
        <v>1</v>
      </c>
      <c r="F4" s="1">
        <v>10</v>
      </c>
      <c r="G4" s="1">
        <v>0</v>
      </c>
      <c r="H4" s="1">
        <v>60</v>
      </c>
      <c r="I4" s="1">
        <v>1</v>
      </c>
      <c r="J4" s="1"/>
      <c r="K4" s="7">
        <v>9164859201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7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7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7"/>
    </row>
    <row r="8">
      <c r="A8" s="1">
        <v>3249147667</v>
      </c>
      <c r="B8" s="1">
        <v>1</v>
      </c>
      <c r="C8" s="1">
        <v>0</v>
      </c>
      <c r="D8" s="1">
        <v>25</v>
      </c>
      <c r="E8" s="1">
        <v>1</v>
      </c>
      <c r="F8" s="1">
        <v>5</v>
      </c>
      <c r="G8" s="1">
        <v>0</v>
      </c>
      <c r="H8" s="1">
        <v>5</v>
      </c>
      <c r="I8" s="1">
        <v>1</v>
      </c>
      <c r="J8" s="1"/>
      <c r="K8" s="7">
        <v>3916941581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7"/>
    </row>
    <row r="10">
      <c r="A10" s="1">
        <v>9223147732</v>
      </c>
      <c r="B10" s="1">
        <v>10</v>
      </c>
      <c r="C10" s="1">
        <v>0</v>
      </c>
      <c r="D10" s="1">
        <v>250</v>
      </c>
      <c r="E10" s="1">
        <v>1</v>
      </c>
      <c r="F10" s="1">
        <v>4</v>
      </c>
      <c r="G10" s="1">
        <v>0</v>
      </c>
      <c r="H10" s="1">
        <v>96</v>
      </c>
      <c r="I10" s="1">
        <v>1</v>
      </c>
      <c r="J10" s="1"/>
      <c r="K10" s="7">
        <v>9164851760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7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7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7"/>
    </row>
    <row r="14">
      <c r="A14" s="1">
        <v>9223102025</v>
      </c>
      <c r="B14" s="1">
        <v>4</v>
      </c>
      <c r="C14" s="1">
        <v>0</v>
      </c>
      <c r="D14" s="1">
        <v>48</v>
      </c>
      <c r="E14" s="1">
        <v>1</v>
      </c>
      <c r="F14" s="1">
        <v>8</v>
      </c>
      <c r="G14" s="1">
        <v>0</v>
      </c>
      <c r="H14" s="1">
        <v>32</v>
      </c>
      <c r="I14" s="1">
        <v>1</v>
      </c>
      <c r="J14" s="1"/>
      <c r="K14" s="7">
        <v>9164859402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7"/>
    </row>
    <row r="16">
      <c r="A16" s="1">
        <v>9222895468</v>
      </c>
      <c r="B16" s="1">
        <v>3</v>
      </c>
      <c r="C16" s="1">
        <v>3</v>
      </c>
      <c r="D16" s="1">
        <v>36</v>
      </c>
      <c r="E16" s="1">
        <v>1</v>
      </c>
      <c r="F16" s="1">
        <v>6</v>
      </c>
      <c r="G16" s="1">
        <v>6</v>
      </c>
      <c r="H16" s="1">
        <v>24</v>
      </c>
      <c r="I16" s="1">
        <v>1</v>
      </c>
      <c r="J16" s="1"/>
      <c r="K16" s="7">
        <v>9164859405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7"/>
    </row>
    <row r="18">
      <c r="A18" s="1">
        <v>9223147246</v>
      </c>
      <c r="B18" s="1">
        <v>5</v>
      </c>
      <c r="C18" s="1">
        <v>0</v>
      </c>
      <c r="D18" s="1">
        <v>60</v>
      </c>
      <c r="E18" s="1">
        <v>1</v>
      </c>
      <c r="F18" s="1">
        <v>10</v>
      </c>
      <c r="G18" s="1">
        <v>0</v>
      </c>
      <c r="H18" s="1">
        <v>40</v>
      </c>
      <c r="I18" s="1">
        <v>1</v>
      </c>
      <c r="J18" s="1"/>
      <c r="K18" s="7">
        <v>9164859406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