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1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  <sheet name="DataTransfer_OneValue 8" sheetId="10" r:id="rId10"/>
    <sheet name="DataTransfer_OneValue 9" sheetId="11" r:id="rId11"/>
    <sheet name="DataTransfer_OneValue 10" sheetId="12" r:id="rId12"/>
    <sheet name="DataTransfer_OneValue 11" sheetId="13" r:id="rId13"/>
    <sheet name="TC1_Test_06-01-02-02-01 MSI Net" sheetId="14" r:id="rId14"/>
    <sheet name="TC2_Test_06-01-02-02-02-Check" sheetId="15" r:id="rId15"/>
    <sheet name="TC3_Test_06-02-01-02Genrate OBD" sheetId="16" r:id="rId16"/>
    <sheet name="TC4_Test_Retrieve &amp; verify OBD" sheetId="17" r:id="rId17"/>
    <sheet name="TC5_Test_Maintain Stock" sheetId="18" r:id="rId18"/>
    <sheet name="TC6_Test_Frozen IDOC Creation" sheetId="19" r:id="rId19"/>
    <sheet name="TC7_Test_Post GI" sheetId="20" r:id="rId20"/>
    <sheet name="TC8_Test_Retrive&amp;Veri child OBD" sheetId="21" r:id="rId21"/>
    <sheet name="TC9_Verify GI document_InterCo" sheetId="22" r:id="rId22"/>
  </sheets>
  <calcPr calcId="40001"/>
</workbook>
</file>

<file path=xl/sharedStrings.xml><?xml version="1.0" encoding="utf-8"?>
<sst xmlns="http://schemas.openxmlformats.org/spreadsheetml/2006/main" uniqueCount="102">
  <si>
    <t>Starting_Number</t>
  </si>
  <si>
    <t>DT_ARTICLE_DESC</t>
  </si>
  <si>
    <t>DT_ORDER_NO</t>
  </si>
  <si>
    <t>Os3n20177_</t>
  </si>
  <si>
    <t>0105</t>
  </si>
  <si>
    <t>150G C.OR CHOC.LAIT       .</t>
  </si>
  <si>
    <t>BE_AFFILIATE_FROZEN.DWL</t>
  </si>
  <si>
    <t>sapdev</t>
  </si>
  <si>
    <t>Data Coming from another test</t>
  </si>
  <si>
    <t>Area</t>
  </si>
  <si>
    <t>750G DLL Broccoli-caulifl.soup</t>
  </si>
  <si>
    <t>Extra1</t>
  </si>
  <si>
    <t>DT_USERNAME</t>
  </si>
  <si>
    <t>Output Data</t>
  </si>
  <si>
    <t>Scenario</t>
  </si>
  <si>
    <t>LU interco - Dry</t>
  </si>
  <si>
    <t>System</t>
  </si>
  <si>
    <t>Hope_ID</t>
  </si>
  <si>
    <t>DT_QUANTITY</t>
  </si>
  <si>
    <t>BE_INTERCO_FROZEN.DWL</t>
  </si>
  <si>
    <t>Formulas</t>
  </si>
  <si>
    <t>LU integrated - Dry</t>
  </si>
  <si>
    <t>01</t>
  </si>
  <si>
    <t>Extra</t>
  </si>
  <si>
    <t>BE_AFFILIATE_DRY.DWL</t>
  </si>
  <si>
    <t>sgora</t>
  </si>
  <si>
    <t>Best67Tb$</t>
  </si>
  <si>
    <t>BE integrated - Dry/Full/Partial Missing</t>
  </si>
  <si>
    <t>LU integrated - Frozen</t>
  </si>
  <si>
    <t>600G MCCAIN FOUR CLASSIQUES</t>
  </si>
  <si>
    <t>DelDate</t>
  </si>
  <si>
    <t>0000</t>
  </si>
  <si>
    <t>BE_INTERCO_DRY.DWL</t>
  </si>
  <si>
    <t>LU_INTEGR_FROZEN.DWL</t>
  </si>
  <si>
    <t>Iovio%2b16</t>
  </si>
  <si>
    <t>DT_DESTINATION</t>
  </si>
  <si>
    <t>Input Data</t>
  </si>
  <si>
    <t>LU affiliate - Dry</t>
  </si>
  <si>
    <t>BE affiliate - Frozen</t>
  </si>
  <si>
    <t>BE Integrated - Frozen</t>
  </si>
  <si>
    <t>DT_UNIQUE_ORDER</t>
  </si>
  <si>
    <t>GR3</t>
  </si>
  <si>
    <t>Time</t>
  </si>
  <si>
    <t>LU_INTEGR_DRY.DWL</t>
  </si>
  <si>
    <t>EU341337-OSS</t>
  </si>
  <si>
    <t>BE Inteco - Frozen</t>
  </si>
  <si>
    <t>DT_ARTICLE_DESC_1</t>
  </si>
  <si>
    <t>DT_TEXT</t>
  </si>
  <si>
    <t>S:\TestAssets\DLL\FlatFiles</t>
  </si>
  <si>
    <t>BE_INTEGR_DS_DRY.DWL</t>
  </si>
  <si>
    <t>akals</t>
  </si>
  <si>
    <t>Verifications</t>
  </si>
  <si>
    <t>Execution Control Data</t>
  </si>
  <si>
    <t>02</t>
  </si>
  <si>
    <t>DT_ARTICLE</t>
  </si>
  <si>
    <t>500G BARILLA LINGUINE</t>
  </si>
  <si>
    <t>12X75ML FERMETTE CUP VANI</t>
  </si>
  <si>
    <t>kthi</t>
  </si>
  <si>
    <t>Iovio-123</t>
  </si>
  <si>
    <t>Delhaize44</t>
  </si>
  <si>
    <t>Row_Number</t>
  </si>
  <si>
    <t>0110</t>
  </si>
  <si>
    <t>1.5L DLL LIQ WOLWASH</t>
  </si>
  <si>
    <t>250 ALL SPAARKAART</t>
  </si>
  <si>
    <t>EU34QGE1-VIR</t>
  </si>
  <si>
    <t>DT_INCREMENT</t>
  </si>
  <si>
    <t>Item</t>
  </si>
  <si>
    <t>GR0</t>
  </si>
  <si>
    <t>4 INKCARTRIDGES HP364</t>
  </si>
  <si>
    <t>1KG 365 CHICKEN FILLETS</t>
  </si>
  <si>
    <t>600G MCCAIN OVEN CLASSIQUES</t>
  </si>
  <si>
    <t>DelDate2</t>
  </si>
  <si>
    <t>DT_DEL_DATE</t>
  </si>
  <si>
    <t>EU34QGE0-VIR</t>
  </si>
  <si>
    <t>cmite</t>
  </si>
  <si>
    <t>DT_PASSWORD</t>
  </si>
  <si>
    <t>DT_SOURCEFILE</t>
  </si>
  <si>
    <t>DT_FILEPATH</t>
  </si>
  <si>
    <t>BE interco - Dry</t>
  </si>
  <si>
    <t>150G C.OR CHOC.LAIT</t>
  </si>
  <si>
    <t>DT_FILENAME</t>
  </si>
  <si>
    <t>Fixed Data</t>
  </si>
  <si>
    <t>MSI</t>
  </si>
  <si>
    <t>Date</t>
  </si>
  <si>
    <t>ItemSet</t>
  </si>
  <si>
    <t>0100</t>
  </si>
  <si>
    <t>0111</t>
  </si>
  <si>
    <t>0500</t>
  </si>
  <si>
    <t>515ML KNORR KIPPENCREME</t>
  </si>
  <si>
    <t>DT_ORD_DATE</t>
  </si>
  <si>
    <t>DT_SERVERNAME</t>
  </si>
  <si>
    <t>Login Information</t>
  </si>
  <si>
    <t>LUSSENDRAAGTAS ECO 63u</t>
  </si>
  <si>
    <t>1KG MCCAIN SPECIAL OVEN KROKET</t>
  </si>
  <si>
    <t>BE_INTG_DRY.DWL</t>
  </si>
  <si>
    <t>BE affiliate - Dry</t>
  </si>
  <si>
    <t>Store</t>
  </si>
  <si>
    <t>515ML KNORR CHICKENCREAM</t>
  </si>
  <si>
    <t>0.5L AA SPORTWATER LEMON</t>
  </si>
  <si>
    <t>600G MCCAIN SPECIAL OVEN FRITES CL.</t>
  </si>
  <si>
    <t>LU_AFFILIATE_DRY_CPO.DWL</t>
  </si>
  <si>
    <t>BE_INTEGRATED_FROZEN.DWL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</si>
</sst>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3" Type="http://schemas.openxmlformats.org/officeDocument/2006/relationships/theme" Target="theme/theme1.xml" /><Relationship Id="rId24" Type="http://schemas.openxmlformats.org/officeDocument/2006/relationships/styles" Target="styles.xml" /><Relationship Id="rId2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46"/>
  <sheetViews>
    <sheetView workbookViewId="0">
      <pane xSplit="1" ySplit="0" topLeftCell="B2" activePane="topRight"/>
      <selection activeCell="B2" sqref="B2"/>
      <selection pane="topRight" activeCell="B2" sqref="B2"/>
    </sheetView>
  </sheetViews>
  <sheetFormatPr defaultColWidth="9.42578125" defaultRowHeight="14.25"/>
  <cols>
    <col min="1" max="1" width="30.85546875" style="15" bestFit="1" customWidth="1"/>
    <col min="2" max="2" width="32.5703125" style="15" customWidth="1"/>
    <col min="3" max="3" width="7.42578125" style="15" customWidth="1"/>
    <col min="4" max="4" width="15.42578125" style="15" customWidth="1"/>
    <col min="5" max="5" width="16.28515625" style="15" customWidth="1"/>
    <col min="6" max="6" width="19.7109375" style="15" customWidth="1"/>
    <col min="7" max="7" width="4.5703125" style="15" customWidth="1"/>
    <col min="8" max="8" width="10.28515625" style="15" customWidth="1"/>
    <col min="9" max="9" width="5.140625" style="15" customWidth="1"/>
    <col min="10" max="10" width="13.140625" style="15" customWidth="1"/>
    <col min="11" max="11" width="7.42578125" style="15" customWidth="1"/>
    <col min="12" max="12" width="11" style="15" customWidth="1"/>
    <col min="13" max="13" width="12.42578125" style="15" customWidth="1"/>
    <col min="14" max="14" width="14.28515625" style="15" customWidth="1"/>
    <col min="15" max="15" width="37.42578125" style="15" customWidth="1"/>
    <col min="16" max="16" width="36.28515625" style="15" customWidth="1"/>
    <col min="17" max="17" width="5.42578125" style="15" customWidth="1"/>
    <col min="18" max="18" width="10.28515625" style="15" customWidth="1"/>
    <col min="19" max="19" width="6.42578125" style="15" customWidth="1"/>
    <col min="20" max="20" width="11.85546875" style="15" customWidth="1"/>
    <col min="21" max="21" width="5.42578125" style="15" customWidth="1"/>
    <col min="22" max="22" width="14.85546875" style="15" customWidth="1"/>
    <col min="23" max="23" width="14.42578125" style="15" customWidth="1"/>
    <col min="24" max="24" width="15.28515625" style="15" customWidth="1"/>
    <col min="25" max="25" width="122.42578125" style="15" customWidth="1"/>
    <col min="26" max="26" width="24.42578125" style="15" customWidth="1"/>
    <col min="27" max="27" width="31.28515625" style="15" customWidth="1"/>
    <col min="28" max="28" width="17.7109375" style="15" customWidth="1"/>
    <col min="29" max="29" width="15.28515625" style="15" customWidth="1"/>
    <col min="30" max="30" width="15.42578125" style="15" customWidth="1"/>
    <col min="31" max="31" width="54.42578125" style="15" customWidth="1"/>
    <col min="32" max="32" width="55.7109375" style="15" customWidth="1"/>
    <col min="33" max="16384" width="9.140625" style="15" customWidth="1"/>
  </cols>
  <sheetData>
    <row r="1" ht="12.75" customHeight="1" customFormat="1">
      <c r="A1" t="s">
        <v>60</v>
      </c>
      <c r="B1" t="s">
        <v>14</v>
      </c>
      <c r="C1" t="s">
        <v>16</v>
      </c>
      <c r="D1" t="s">
        <v>0</v>
      </c>
      <c r="E1" t="s">
        <v>65</v>
      </c>
      <c r="F1" t="s">
        <v>40</v>
      </c>
      <c r="G1" t="s">
        <v>66</v>
      </c>
      <c r="H1" t="s">
        <v>83</v>
      </c>
      <c r="I1" t="s">
        <v>9</v>
      </c>
      <c r="J1" t="s">
        <v>96</v>
      </c>
      <c r="K1" t="s">
        <v>84</v>
      </c>
      <c r="L1" t="s">
        <v>17</v>
      </c>
      <c r="M1" t="s">
        <v>54</v>
      </c>
      <c r="N1" t="s">
        <v>18</v>
      </c>
      <c r="O1" t="s">
        <v>1</v>
      </c>
      <c r="P1" t="s">
        <v>46</v>
      </c>
      <c r="Q1" t="s">
        <v>23</v>
      </c>
      <c r="R1" t="s">
        <v>30</v>
      </c>
      <c r="S1" t="s">
        <v>11</v>
      </c>
      <c r="T1" t="s">
        <v>71</v>
      </c>
      <c r="U1" t="s">
        <v>42</v>
      </c>
      <c r="V1" t="s">
        <v>89</v>
      </c>
      <c r="W1" t="s">
        <v>72</v>
      </c>
      <c r="X1" t="s">
        <v>2</v>
      </c>
      <c r="Y1" t="s">
        <v>47</v>
      </c>
      <c r="Z1" t="s">
        <v>77</v>
      </c>
      <c r="AA1" t="s">
        <v>80</v>
      </c>
      <c r="AB1" t="s">
        <v>90</v>
      </c>
      <c r="AC1" t="s">
        <v>12</v>
      </c>
      <c r="AD1" t="s">
        <v>75</v>
      </c>
      <c r="AE1" t="s">
        <v>76</v>
      </c>
      <c r="AF1" t="s">
        <v>35</v>
      </c>
    </row>
    <row r="2" ht="12.75" customHeight="1">
      <c r="A2" s="7">
        <v>2</v>
      </c>
      <c r="B2" s="7" t="s">
        <v>27</v>
      </c>
      <c r="C2" s="2" t="s">
        <v>82</v>
      </c>
      <c r="D2" s="2">
        <v>6986000</v>
      </c>
      <c r="E2" s="12">
        <v>54</v>
      </c>
      <c r="F2" s="3">
        <f t="shared" si="0" ref="F2:F3">D2+E2</f>
        <v>6986054</v>
      </c>
      <c r="G2" s="2" t="s">
        <v>22</v>
      </c>
      <c r="H2" s="3" t="str">
        <f ca="1" t="shared" si="1" ref="H2:H3">TEXT(NOW(),"yyyymmdd")</f>
        <v>20251022</v>
      </c>
      <c r="I2" s="2" t="s">
        <v>41</v>
      </c>
      <c r="J2" s="2">
        <v>14002</v>
      </c>
      <c r="K2" s="2" t="s">
        <v>85</v>
      </c>
      <c r="L2" s="2">
        <v>710194</v>
      </c>
      <c r="M2" s="2">
        <v>7152554</v>
      </c>
      <c r="N2" s="2">
        <v>4</v>
      </c>
      <c r="O2" s="2" t="s">
        <v>5</v>
      </c>
      <c r="P2" s="2"/>
      <c r="Q2" s="2"/>
      <c r="R2" s="3" t="str">
        <f ca="1" t="shared" si="2" ref="R2:R3">TEXT(NOW()+1,"yyyymmdd")</f>
        <v>20251023</v>
      </c>
      <c r="S2" s="2" t="s">
        <v>31</v>
      </c>
      <c r="T2" s="3" t="str">
        <f ca="1" t="shared" si="3" ref="T2:T3">TEXT(NOW()+1,"yyyymmdd")</f>
        <v>20251023</v>
      </c>
      <c r="U2" s="3" t="str">
        <f ca="1" t="shared" si="4" ref="U2:U3">TEXT(NOW(),"hhmm")</f>
        <v>1040</v>
      </c>
      <c r="V2" s="5" t="str">
        <f ca="1" t="shared" si="5" ref="V2:W3">TEXT(NOW(),"dd.mm.yyyy")</f>
        <v>22.10.2025</v>
      </c>
      <c r="W2" s="3" t="str">
        <f ca="1" t="shared" si="5"/>
        <v>22.10.2025</v>
      </c>
      <c r="X2" s="5" t="str">
        <f>F2&amp;"-"&amp;G2</f>
        <v>6986054-01</v>
      </c>
      <c r="Y2" s="3" t="str">
        <f ca="1" t="shared" si="6" ref="Y2:Y3">""&amp;C2&amp;";"&amp;X2&amp;";"&amp;H2&amp;";"&amp;I2&amp;";"&amp;J2&amp;";"&amp;K2&amp;";"&amp;L2&amp;";"&amp;N2&amp;";"&amp;Q2&amp;";"&amp;R2&amp;";"&amp;S2&amp;";"&amp;T2&amp;";"&amp;U2&amp;""</f>
        <v>MSI;6986054-01;20251022;GR3;14002;0100;710194;4;;20251023;0000;20251023;1040</v>
      </c>
      <c r="Z2" s="1" t="s">
        <v>48</v>
      </c>
      <c r="AA2" s="1" t="s">
        <v>94</v>
      </c>
      <c r="AB2" s="6" t="s">
        <v>64</v>
      </c>
      <c r="AC2" s="6" t="s">
        <v>57</v>
      </c>
      <c r="AD2" s="11" t="s">
        <v>58</v>
      </c>
      <c r="AE2" s="2" t="str">
        <f t="shared" si="7" ref="AE2:AE3">Z2 &amp;"\"&amp;AA2</f>
        <v>S:\TestAssets\DLL\FlatFiles\BE_INTG_DRY.DWL</v>
      </c>
      <c r="AF2" s="8" t="str">
        <f t="shared" si="8" ref="AF2:AF3">"/operations/download/DLI138/"&amp;AA2</f>
        <v>/operations/download/DLI138/BE_INTG_DRY.DWL</v>
      </c>
    </row>
    <row r="3">
      <c r="A3" s="7">
        <v>3</v>
      </c>
      <c r="B3" s="7" t="s">
        <v>27</v>
      </c>
      <c r="C3" s="2" t="s">
        <v>82</v>
      </c>
      <c r="D3" s="2">
        <f>D2</f>
        <v>6986000</v>
      </c>
      <c r="E3" s="2">
        <v>8</v>
      </c>
      <c r="F3" s="3">
        <f t="shared" si="0"/>
        <v>6986008</v>
      </c>
      <c r="G3" s="2" t="s">
        <v>22</v>
      </c>
      <c r="H3" s="3" t="str">
        <f ca="1" t="shared" si="1"/>
        <v>20251022</v>
      </c>
      <c r="I3" s="2" t="s">
        <v>41</v>
      </c>
      <c r="J3" s="2">
        <v>14002</v>
      </c>
      <c r="K3" s="2" t="s">
        <v>61</v>
      </c>
      <c r="L3" s="2">
        <v>681495</v>
      </c>
      <c r="M3" s="2">
        <v>7253580</v>
      </c>
      <c r="N3" s="2">
        <v>4</v>
      </c>
      <c r="O3" s="2" t="s">
        <v>68</v>
      </c>
      <c r="P3" s="2"/>
      <c r="Q3" s="2"/>
      <c r="R3" s="3" t="str">
        <f ca="1" t="shared" si="2"/>
        <v>20251023</v>
      </c>
      <c r="S3" s="2" t="s">
        <v>31</v>
      </c>
      <c r="T3" s="3" t="str">
        <f ca="1" t="shared" si="3"/>
        <v>20251023</v>
      </c>
      <c r="U3" s="3" t="str">
        <f ca="1" t="shared" si="4"/>
        <v>1040</v>
      </c>
      <c r="V3" s="5" t="str">
        <f ca="1" t="shared" si="5"/>
        <v>22.10.2025</v>
      </c>
      <c r="W3" s="3" t="str">
        <f ca="1" t="shared" si="5"/>
        <v>22.10.2025</v>
      </c>
      <c r="X3" s="5" t="str">
        <f>X2</f>
        <v>6986054-01</v>
      </c>
      <c r="Y3" s="3" t="str">
        <f ca="1" t="shared" si="6"/>
        <v>MSI;6986054-01;20251022;GR3;14002;0110;681495;4;;20251023;0000;20251023;1040</v>
      </c>
      <c r="Z3" s="1" t="s">
        <v>48</v>
      </c>
      <c r="AA3" s="1" t="s">
        <v>94</v>
      </c>
      <c r="AB3" s="6" t="s">
        <v>64</v>
      </c>
      <c r="AC3" s="6" t="s">
        <v>57</v>
      </c>
      <c r="AD3" s="11" t="s">
        <v>58</v>
      </c>
      <c r="AE3" s="2" t="str">
        <f t="shared" si="7"/>
        <v>S:\TestAssets\DLL\FlatFiles\BE_INTG_DRY.DWL</v>
      </c>
      <c r="AF3" s="8" t="str">
        <f t="shared" si="8"/>
        <v>/operations/download/DLI138/BE_INTG_DRY.DWL</v>
      </c>
    </row>
    <row r="4">
      <c r="A4" s="7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6" t="s">
        <v>57</v>
      </c>
      <c r="AD4" s="11" t="s">
        <v>58</v>
      </c>
      <c r="AE4" s="1"/>
      <c r="AF4" s="9"/>
    </row>
    <row r="5">
      <c r="A5" s="7">
        <v>5</v>
      </c>
      <c r="B5" s="7" t="s">
        <v>78</v>
      </c>
      <c r="C5" s="2" t="s">
        <v>82</v>
      </c>
      <c r="D5" s="2">
        <v>6987000</v>
      </c>
      <c r="E5" s="2">
        <v>326</v>
      </c>
      <c r="F5" s="3">
        <f t="shared" si="9" ref="F5:F9">D5+E5</f>
        <v>6987326</v>
      </c>
      <c r="G5" s="2" t="s">
        <v>22</v>
      </c>
      <c r="H5" s="3" t="str">
        <f ca="1" t="shared" si="10" ref="H5:H6">TEXT(NOW(),"yyyymmdd")</f>
        <v>20251022</v>
      </c>
      <c r="I5" s="2" t="s">
        <v>41</v>
      </c>
      <c r="J5" s="2">
        <v>39301</v>
      </c>
      <c r="K5" s="2" t="s">
        <v>85</v>
      </c>
      <c r="L5" s="2">
        <v>563283</v>
      </c>
      <c r="M5" s="2">
        <v>7168028</v>
      </c>
      <c r="N5" s="2">
        <v>4</v>
      </c>
      <c r="O5" s="2" t="s">
        <v>97</v>
      </c>
      <c r="P5" s="2"/>
      <c r="Q5" s="2"/>
      <c r="R5" s="3" t="str">
        <f ca="1" t="shared" si="11" ref="R5:R6">TEXT(NOW()+1,"yyyymmdd")</f>
        <v>20251023</v>
      </c>
      <c r="S5" s="2" t="s">
        <v>31</v>
      </c>
      <c r="T5" s="3" t="str">
        <f ca="1" t="shared" si="12" ref="T5:T6">TEXT(NOW()+1,"yyyymmdd")</f>
        <v>20251023</v>
      </c>
      <c r="U5" s="3" t="str">
        <f ca="1" t="shared" si="13" ref="U5:U6">TEXT(NOW(),"hhmm")</f>
        <v>1040</v>
      </c>
      <c r="V5" s="5" t="str">
        <f ca="1" t="shared" si="14" ref="V5:V6">TEXT(NOW(),"dd.mm.yyyy")</f>
        <v>22.10.2025</v>
      </c>
      <c r="W5" s="3" t="str">
        <f ca="1" t="shared" si="15" ref="W5:W6">TEXT(NOW()+1,"dd.mm.yyyy")</f>
        <v>23.10.2025</v>
      </c>
      <c r="X5" s="5" t="str">
        <f>F5&amp;"-"&amp;G5</f>
        <v>6987326-01</v>
      </c>
      <c r="Y5" s="3" t="str">
        <f ca="1" t="shared" si="16" ref="Y5:Y6">""&amp;C5&amp;";"&amp;X5&amp;";"&amp;H5&amp;";"&amp;I5&amp;";"&amp;J5&amp;";"&amp;K5&amp;";"&amp;L5&amp;";"&amp;N5&amp;";"&amp;Q5&amp;";"&amp;R5&amp;";"&amp;S5&amp;";"&amp;T5&amp;";"&amp;U5&amp;""</f>
        <v>MSI;6987326-01;20251022;GR3;39301;0100;563283;4;;20251023;0000;20251023;1040</v>
      </c>
      <c r="Z5" s="1" t="s">
        <v>48</v>
      </c>
      <c r="AA5" s="1" t="s">
        <v>32</v>
      </c>
      <c r="AB5" s="6" t="s">
        <v>64</v>
      </c>
      <c r="AC5" s="6" t="s">
        <v>57</v>
      </c>
      <c r="AD5" s="11" t="s">
        <v>58</v>
      </c>
      <c r="AE5" s="2" t="str">
        <f t="shared" si="17" ref="AE5:AE6">Z5 &amp;"\"&amp;AA5</f>
        <v>S:\TestAssets\DLL\FlatFiles\BE_INTERCO_DRY.DWL</v>
      </c>
      <c r="AF5" s="8" t="str">
        <f t="shared" si="18" ref="AF5:AF6">"/operations/download/DLI138/"&amp;AA5</f>
        <v>/operations/download/DLI138/BE_INTERCO_DRY.DWL</v>
      </c>
    </row>
    <row r="6">
      <c r="A6" s="7">
        <v>6</v>
      </c>
      <c r="B6" s="7" t="s">
        <v>78</v>
      </c>
      <c r="C6" s="2" t="s">
        <v>82</v>
      </c>
      <c r="D6" s="2">
        <f>D5</f>
        <v>6987000</v>
      </c>
      <c r="E6" s="2">
        <f>E2</f>
        <v>54</v>
      </c>
      <c r="F6" s="3">
        <f t="shared" si="9"/>
        <v>6987054</v>
      </c>
      <c r="G6" s="2" t="s">
        <v>22</v>
      </c>
      <c r="H6" s="3" t="str">
        <f ca="1" t="shared" si="10"/>
        <v>20251022</v>
      </c>
      <c r="I6" s="2" t="s">
        <v>41</v>
      </c>
      <c r="J6" s="2">
        <v>39301</v>
      </c>
      <c r="K6" s="2" t="s">
        <v>86</v>
      </c>
      <c r="L6" s="2">
        <v>800653</v>
      </c>
      <c r="M6" s="2">
        <v>7160694</v>
      </c>
      <c r="N6" s="2">
        <v>10</v>
      </c>
      <c r="O6" s="2" t="s">
        <v>62</v>
      </c>
      <c r="P6" s="2"/>
      <c r="Q6" s="2"/>
      <c r="R6" s="3" t="str">
        <f ca="1" t="shared" si="11"/>
        <v>20251023</v>
      </c>
      <c r="S6" s="2" t="s">
        <v>31</v>
      </c>
      <c r="T6" s="3" t="str">
        <f ca="1" t="shared" si="12"/>
        <v>20251023</v>
      </c>
      <c r="U6" s="3" t="str">
        <f ca="1" t="shared" si="13"/>
        <v>1040</v>
      </c>
      <c r="V6" s="5" t="str">
        <f ca="1" t="shared" si="14"/>
        <v>22.10.2025</v>
      </c>
      <c r="W6" s="3" t="str">
        <f ca="1" t="shared" si="15"/>
        <v>23.10.2025</v>
      </c>
      <c r="X6" s="5" t="str">
        <f>X5</f>
        <v>6987326-01</v>
      </c>
      <c r="Y6" s="3" t="str">
        <f ca="1" t="shared" si="16"/>
        <v>MSI;6987326-01;20251022;GR3;39301;0111;800653;10;;20251023;0000;20251023;1040</v>
      </c>
      <c r="Z6" s="1" t="s">
        <v>48</v>
      </c>
      <c r="AA6" s="1" t="s">
        <v>32</v>
      </c>
      <c r="AB6" s="6" t="s">
        <v>64</v>
      </c>
      <c r="AC6" s="6" t="s">
        <v>57</v>
      </c>
      <c r="AD6" s="11" t="s">
        <v>58</v>
      </c>
      <c r="AE6" s="2" t="str">
        <f t="shared" si="17"/>
        <v>S:\TestAssets\DLL\FlatFiles\BE_INTERCO_DRY.DWL</v>
      </c>
      <c r="AF6" s="8" t="str">
        <f t="shared" si="18"/>
        <v>/operations/download/DLI138/BE_INTERCO_DRY.DWL</v>
      </c>
    </row>
    <row r="7">
      <c r="A7" s="7">
        <v>7</v>
      </c>
      <c r="B7" s="1"/>
      <c r="C7" s="1"/>
      <c r="D7" s="1"/>
      <c r="E7" s="1"/>
      <c r="F7" s="3">
        <f t="shared" si="9"/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6" t="s">
        <v>57</v>
      </c>
      <c r="AD7" s="11" t="s">
        <v>58</v>
      </c>
      <c r="AE7" s="1"/>
      <c r="AF7" s="9"/>
    </row>
    <row r="8">
      <c r="A8" s="7">
        <v>8</v>
      </c>
      <c r="B8" s="7" t="s">
        <v>95</v>
      </c>
      <c r="C8" s="2" t="s">
        <v>82</v>
      </c>
      <c r="D8" s="2">
        <v>6988000</v>
      </c>
      <c r="E8" s="2">
        <v>372</v>
      </c>
      <c r="F8" s="3">
        <f t="shared" si="9"/>
        <v>6988372</v>
      </c>
      <c r="G8" s="2" t="s">
        <v>53</v>
      </c>
      <c r="H8" s="3" t="str">
        <f ca="1" t="shared" si="19" ref="H8:H9">TEXT(NOW(),"yyyymmdd")</f>
        <v>20251022</v>
      </c>
      <c r="I8" s="2" t="s">
        <v>67</v>
      </c>
      <c r="J8" s="2">
        <v>41020</v>
      </c>
      <c r="K8" s="2" t="s">
        <v>85</v>
      </c>
      <c r="L8" s="2">
        <v>689728</v>
      </c>
      <c r="M8" s="2">
        <v>7303329</v>
      </c>
      <c r="N8" s="2">
        <v>5</v>
      </c>
      <c r="O8" s="2" t="s">
        <v>98</v>
      </c>
      <c r="P8" s="2"/>
      <c r="Q8" s="2"/>
      <c r="R8" s="3" t="str">
        <f ca="1" t="shared" si="20" ref="R8:R9">TEXT(NOW()+1,"yyyymmdd")</f>
        <v>20251023</v>
      </c>
      <c r="S8" s="2" t="s">
        <v>31</v>
      </c>
      <c r="T8" s="3" t="str">
        <f ca="1" t="shared" si="21" ref="T8:T9">TEXT(NOW()+1,"yyyymmdd")</f>
        <v>20251023</v>
      </c>
      <c r="U8" s="3" t="str">
        <f ca="1" t="shared" si="22" ref="U8:U9">TEXT(NOW(),"hhmm")</f>
        <v>1040</v>
      </c>
      <c r="V8" s="5" t="str">
        <f ca="1" t="shared" si="23" ref="V8:V9">TEXT(NOW(),"dd.mm.yyyy")</f>
        <v>22.10.2025</v>
      </c>
      <c r="W8" s="3" t="str">
        <f ca="1" t="shared" si="24" ref="W8:W9">TEXT(NOW()+1,"dd.mm.yyyy")</f>
        <v>23.10.2025</v>
      </c>
      <c r="X8" s="5" t="str">
        <f>F8&amp;"-"&amp;G8</f>
        <v>6988372-02</v>
      </c>
      <c r="Y8" s="3" t="str">
        <f ca="1" t="shared" si="25" ref="Y8:Y9">""&amp;C8&amp;";"&amp;X8&amp;";"&amp;H8&amp;";"&amp;I8&amp;";"&amp;J8&amp;";"&amp;K8&amp;";"&amp;L8&amp;";"&amp;N8&amp;";"&amp;Q8&amp;";"&amp;R8&amp;";"&amp;S8&amp;";"&amp;T8&amp;";"&amp;U8&amp;""</f>
        <v>MSI;6988372-02;20251022;GR0;41020;0100;689728;5;;20251023;0000;20251023;1040</v>
      </c>
      <c r="Z8" s="1" t="s">
        <v>48</v>
      </c>
      <c r="AA8" s="1" t="s">
        <v>24</v>
      </c>
      <c r="AB8" s="6" t="s">
        <v>64</v>
      </c>
      <c r="AC8" s="6" t="s">
        <v>57</v>
      </c>
      <c r="AD8" s="11" t="s">
        <v>58</v>
      </c>
      <c r="AE8" s="2" t="str">
        <f t="shared" si="26" ref="AE8:AE9">Z8 &amp;"\"&amp;AA8</f>
        <v>S:\TestAssets\DLL\FlatFiles\BE_AFFILIATE_DRY.DWL</v>
      </c>
      <c r="AF8" s="8" t="str">
        <f t="shared" si="27" ref="AF8:AF9">"/operations/download/DLI138/"&amp;AA8</f>
        <v>/operations/download/DLI138/BE_AFFILIATE_DRY.DWL</v>
      </c>
    </row>
    <row r="9">
      <c r="A9" s="7">
        <v>9</v>
      </c>
      <c r="B9" s="7" t="s">
        <v>95</v>
      </c>
      <c r="C9" s="2" t="s">
        <v>82</v>
      </c>
      <c r="D9" s="2">
        <f>D8</f>
        <v>6988000</v>
      </c>
      <c r="E9" s="2">
        <f>E2</f>
        <v>54</v>
      </c>
      <c r="F9" s="3">
        <f t="shared" si="9"/>
        <v>6988054</v>
      </c>
      <c r="G9" s="2" t="s">
        <v>53</v>
      </c>
      <c r="H9" s="3" t="str">
        <f ca="1" t="shared" si="19"/>
        <v>20251022</v>
      </c>
      <c r="I9" s="2" t="s">
        <v>67</v>
      </c>
      <c r="J9" s="2">
        <v>41020</v>
      </c>
      <c r="K9" s="2" t="s">
        <v>4</v>
      </c>
      <c r="L9" s="2" t="str">
        <f>CONCATENATE(0, "27450")</f>
        <v>027450</v>
      </c>
      <c r="M9" s="2">
        <v>7487128</v>
      </c>
      <c r="N9" s="2">
        <v>8</v>
      </c>
      <c r="O9" s="2" t="s">
        <v>92</v>
      </c>
      <c r="P9" s="2"/>
      <c r="Q9" s="2"/>
      <c r="R9" s="3" t="str">
        <f ca="1" t="shared" si="20"/>
        <v>20251023</v>
      </c>
      <c r="S9" s="2" t="s">
        <v>31</v>
      </c>
      <c r="T9" s="3" t="str">
        <f ca="1" t="shared" si="21"/>
        <v>20251023</v>
      </c>
      <c r="U9" s="3" t="str">
        <f ca="1" t="shared" si="22"/>
        <v>1040</v>
      </c>
      <c r="V9" s="5" t="str">
        <f ca="1" t="shared" si="23"/>
        <v>22.10.2025</v>
      </c>
      <c r="W9" s="3" t="str">
        <f ca="1" t="shared" si="24"/>
        <v>23.10.2025</v>
      </c>
      <c r="X9" s="5" t="str">
        <f>X8</f>
        <v>6988372-02</v>
      </c>
      <c r="Y9" s="3" t="str">
        <f ca="1" t="shared" si="25"/>
        <v>MSI;6988372-02;20251022;GR0;41020;0105;027450;8;;20251023;0000;20251023;1040</v>
      </c>
      <c r="Z9" s="1" t="s">
        <v>48</v>
      </c>
      <c r="AA9" s="1" t="s">
        <v>24</v>
      </c>
      <c r="AB9" s="6" t="s">
        <v>64</v>
      </c>
      <c r="AC9" s="6" t="s">
        <v>57</v>
      </c>
      <c r="AD9" s="11" t="s">
        <v>58</v>
      </c>
      <c r="AE9" s="2" t="str">
        <f t="shared" si="26"/>
        <v>S:\TestAssets\DLL\FlatFiles\BE_AFFILIATE_DRY.DWL</v>
      </c>
      <c r="AF9" s="8" t="str">
        <f t="shared" si="27"/>
        <v>/operations/download/DLI138/BE_AFFILIATE_DRY.DWL</v>
      </c>
    </row>
    <row r="10" ht="18" customHeight="1">
      <c r="A10" s="7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6" t="s">
        <v>57</v>
      </c>
      <c r="AD10" s="11" t="s">
        <v>58</v>
      </c>
      <c r="AE10" s="1"/>
      <c r="AF10" s="9"/>
    </row>
    <row r="11">
      <c r="A11" s="7">
        <v>11</v>
      </c>
      <c r="B11" s="7" t="s">
        <v>21</v>
      </c>
      <c r="C11" s="2" t="s">
        <v>82</v>
      </c>
      <c r="D11" s="2">
        <v>6989000</v>
      </c>
      <c r="E11" s="2">
        <v>381</v>
      </c>
      <c r="F11" s="3">
        <f t="shared" si="28" ref="F11:F12">D11+E11</f>
        <v>6989381</v>
      </c>
      <c r="G11" s="2" t="s">
        <v>22</v>
      </c>
      <c r="H11" s="3" t="str">
        <f ca="1" t="shared" si="29" ref="H11:H12">TEXT(NOW(),"yyyymmdd")</f>
        <v>20251022</v>
      </c>
      <c r="I11" s="2" t="s">
        <v>41</v>
      </c>
      <c r="J11" s="2">
        <v>64706</v>
      </c>
      <c r="K11" s="2" t="s">
        <v>85</v>
      </c>
      <c r="L11" s="2">
        <v>590254</v>
      </c>
      <c r="M11" s="2">
        <v>7153446</v>
      </c>
      <c r="N11" s="2">
        <v>10</v>
      </c>
      <c r="O11" s="2" t="s">
        <v>55</v>
      </c>
      <c r="P11" s="2"/>
      <c r="Q11" s="2"/>
      <c r="R11" s="3" t="str">
        <f ca="1" t="shared" si="30" ref="R11:R12">TEXT(NOW()+1,"yyyymmdd")</f>
        <v>20251023</v>
      </c>
      <c r="S11" s="2" t="s">
        <v>31</v>
      </c>
      <c r="T11" s="3" t="str">
        <f ca="1" t="shared" si="31" ref="T11:T12">TEXT(NOW()+1,"yyyymmdd")</f>
        <v>20251023</v>
      </c>
      <c r="U11" s="3" t="str">
        <f ca="1" t="shared" si="32" ref="U11:U12">TEXT(NOW(),"hhmm")</f>
        <v>1040</v>
      </c>
      <c r="V11" s="5" t="str">
        <f ca="1" t="shared" si="33" ref="V11:V12">TEXT(NOW(),"dd.mm.yyyy")</f>
        <v>22.10.2025</v>
      </c>
      <c r="W11" s="3" t="str">
        <f ca="1" t="shared" si="34" ref="W11:W12">TEXT(NOW()+1,"dd.mm.yyyy")</f>
        <v>23.10.2025</v>
      </c>
      <c r="X11" s="5" t="str">
        <f>F11&amp;"-"&amp;G11</f>
        <v>6989381-01</v>
      </c>
      <c r="Y11" s="3" t="str">
        <f ca="1" t="shared" si="35" ref="Y11:Y12">""&amp;C11&amp;";"&amp;X11&amp;";"&amp;H11&amp;";"&amp;I11&amp;";"&amp;J11&amp;";"&amp;K11&amp;";"&amp;L11&amp;";"&amp;N11&amp;";"&amp;Q11&amp;";"&amp;R11&amp;";"&amp;S11&amp;";"&amp;T11&amp;";"&amp;U11&amp;""</f>
        <v>MSI;6989381-01;20251022;GR3;64706;0100;590254;10;;20251023;0000;20251023;1040</v>
      </c>
      <c r="Z11" s="1" t="s">
        <v>48</v>
      </c>
      <c r="AA11" s="1" t="s">
        <v>43</v>
      </c>
      <c r="AB11" s="6" t="s">
        <v>64</v>
      </c>
      <c r="AC11" s="6" t="s">
        <v>57</v>
      </c>
      <c r="AD11" s="11" t="s">
        <v>58</v>
      </c>
      <c r="AE11" s="2" t="str">
        <f t="shared" si="36" ref="AE11:AE12">Z11 &amp;"\"&amp;AA11</f>
        <v>S:\TestAssets\DLL\FlatFiles\LU_INTEGR_DRY.DWL</v>
      </c>
      <c r="AF11" s="8" t="str">
        <f t="shared" si="37" ref="AF11:AF12">"/operations/download/DLI138/"&amp;AA11</f>
        <v>/operations/download/DLI138/LU_INTEGR_DRY.DWL</v>
      </c>
    </row>
    <row r="12">
      <c r="A12" s="7">
        <v>12</v>
      </c>
      <c r="B12" s="7" t="s">
        <v>21</v>
      </c>
      <c r="C12" s="2" t="s">
        <v>82</v>
      </c>
      <c r="D12" s="2">
        <f>D11</f>
        <v>6989000</v>
      </c>
      <c r="E12" s="2">
        <v>285</v>
      </c>
      <c r="F12" s="3">
        <f t="shared" si="28"/>
        <v>6989285</v>
      </c>
      <c r="G12" s="2" t="s">
        <v>22</v>
      </c>
      <c r="H12" s="3" t="str">
        <f ca="1" t="shared" si="29"/>
        <v>20251022</v>
      </c>
      <c r="I12" s="2" t="s">
        <v>41</v>
      </c>
      <c r="J12" s="2">
        <v>64706</v>
      </c>
      <c r="K12" s="2" t="s">
        <v>85</v>
      </c>
      <c r="L12" s="2">
        <v>710194</v>
      </c>
      <c r="M12" s="2">
        <v>7152554</v>
      </c>
      <c r="N12" s="2">
        <v>4</v>
      </c>
      <c r="O12" s="2" t="s">
        <v>79</v>
      </c>
      <c r="P12" s="2"/>
      <c r="Q12" s="2"/>
      <c r="R12" s="3" t="str">
        <f ca="1" t="shared" si="30"/>
        <v>20251023</v>
      </c>
      <c r="S12" s="2" t="s">
        <v>31</v>
      </c>
      <c r="T12" s="3" t="str">
        <f ca="1" t="shared" si="31"/>
        <v>20251023</v>
      </c>
      <c r="U12" s="3" t="str">
        <f ca="1" t="shared" si="32"/>
        <v>1040</v>
      </c>
      <c r="V12" s="5" t="str">
        <f ca="1" t="shared" si="33"/>
        <v>22.10.2025</v>
      </c>
      <c r="W12" s="3" t="str">
        <f ca="1" t="shared" si="34"/>
        <v>23.10.2025</v>
      </c>
      <c r="X12" s="5" t="str">
        <f>X11</f>
        <v>6989381-01</v>
      </c>
      <c r="Y12" s="3" t="str">
        <f ca="1" t="shared" si="35"/>
        <v>MSI;6989381-01;20251022;GR3;64706;0100;710194;4;;20251023;0000;20251023;1040</v>
      </c>
      <c r="Z12" s="1" t="s">
        <v>48</v>
      </c>
      <c r="AA12" s="1" t="s">
        <v>43</v>
      </c>
      <c r="AB12" s="6" t="s">
        <v>64</v>
      </c>
      <c r="AC12" s="6" t="s">
        <v>57</v>
      </c>
      <c r="AD12" s="11" t="s">
        <v>58</v>
      </c>
      <c r="AE12" s="2" t="str">
        <f t="shared" si="36"/>
        <v>S:\TestAssets\DLL\FlatFiles\LU_INTEGR_DRY.DWL</v>
      </c>
      <c r="AF12" s="8" t="str">
        <f t="shared" si="37"/>
        <v>/operations/download/DLI138/LU_INTEGR_DRY.DWL</v>
      </c>
    </row>
    <row r="13">
      <c r="A13" s="7">
        <v>13</v>
      </c>
      <c r="B13" s="1"/>
      <c r="C13" s="1"/>
      <c r="D13" s="1"/>
      <c r="E13" s="1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6" t="str">
        <f t="shared" si="38" ref="AC13:AD30">AC12</f>
        <v>kthi</v>
      </c>
      <c r="AD13" s="11" t="str">
        <f t="shared" si="38"/>
        <v>Iovio-123</v>
      </c>
      <c r="AE13" s="1"/>
      <c r="AF13" s="9"/>
    </row>
    <row r="14">
      <c r="A14" s="7">
        <v>14</v>
      </c>
      <c r="B14" s="7" t="s">
        <v>37</v>
      </c>
      <c r="C14" s="2" t="s">
        <v>82</v>
      </c>
      <c r="D14" s="2">
        <v>6990000</v>
      </c>
      <c r="E14" s="2">
        <v>452</v>
      </c>
      <c r="F14" s="3">
        <f t="shared" si="39" ref="F14:F15">D14+E14</f>
        <v>6990452</v>
      </c>
      <c r="G14" s="2" t="s">
        <v>22</v>
      </c>
      <c r="H14" s="3" t="str">
        <f ca="1" t="shared" si="40" ref="H14:H15">TEXT(NOW(),"yyyymmdd")</f>
        <v>20251022</v>
      </c>
      <c r="I14" s="2" t="s">
        <v>41</v>
      </c>
      <c r="J14" s="2">
        <v>49855</v>
      </c>
      <c r="K14" s="2" t="s">
        <v>85</v>
      </c>
      <c r="L14" s="2">
        <v>590254</v>
      </c>
      <c r="M14" s="2">
        <v>7153446</v>
      </c>
      <c r="N14" s="2">
        <v>1</v>
      </c>
      <c r="O14" s="2" t="s">
        <v>55</v>
      </c>
      <c r="P14" s="2"/>
      <c r="Q14" s="2"/>
      <c r="R14" s="3" t="str">
        <f ca="1" t="shared" si="41" ref="R14:R15">TEXT(NOW()+1,"yyyymmdd")</f>
        <v>20251023</v>
      </c>
      <c r="S14" s="2" t="s">
        <v>31</v>
      </c>
      <c r="T14" s="3" t="str">
        <f ca="1" t="shared" si="42" ref="T14:T15">TEXT(NOW()+1,"yyyymmdd")</f>
        <v>20251023</v>
      </c>
      <c r="U14" s="3" t="str">
        <f ca="1" t="shared" si="43" ref="U14:U15">TEXT(NOW(),"hhmm")</f>
        <v>1040</v>
      </c>
      <c r="V14" s="5" t="str">
        <f ca="1" t="shared" si="44" ref="V14:V15">TEXT(NOW(),"dd.mm.yyyy")</f>
        <v>22.10.2025</v>
      </c>
      <c r="W14" s="3" t="str">
        <f ca="1" t="shared" si="45" ref="W14:W15">TEXT(NOW()+1,"dd.mm.yyyy")</f>
        <v>23.10.2025</v>
      </c>
      <c r="X14" s="5" t="str">
        <f>F14&amp;"-"&amp;G14</f>
        <v>6990452-01</v>
      </c>
      <c r="Y14" s="3" t="str">
        <f ca="1" t="shared" si="46" ref="Y14:Y15">""&amp;C14&amp;";"&amp;X14&amp;";"&amp;H14&amp;";"&amp;I14&amp;";"&amp;J14&amp;";"&amp;K14&amp;";"&amp;L14&amp;";"&amp;N14&amp;";"&amp;Q14&amp;";"&amp;R14&amp;";"&amp;S14&amp;";"&amp;T14&amp;";"&amp;U14&amp;""</f>
        <v>MSI;6990452-01;20251022;GR3;49855;0100;590254;1;;20251023;0000;20251023;1040</v>
      </c>
      <c r="Z14" s="1" t="s">
        <v>48</v>
      </c>
      <c r="AA14" s="1" t="s">
        <v>100</v>
      </c>
      <c r="AB14" s="6" t="s">
        <v>64</v>
      </c>
      <c r="AC14" s="6" t="str">
        <f t="shared" si="38"/>
        <v>kthi</v>
      </c>
      <c r="AD14" s="11" t="str">
        <f t="shared" si="38"/>
        <v>Iovio-123</v>
      </c>
      <c r="AE14" s="2" t="str">
        <f t="shared" si="47" ref="AE14:AE15">Z14 &amp;"\"&amp;AA14</f>
        <v>S:\TestAssets\DLL\FlatFiles\LU_AFFILIATE_DRY_CPO.DWL</v>
      </c>
      <c r="AF14" s="8" t="str">
        <f t="shared" si="48" ref="AF14:AF15">"/operations/download/DLI138/"&amp;AA14</f>
        <v>/operations/download/DLI138/LU_AFFILIATE_DRY_CPO.DWL</v>
      </c>
    </row>
    <row r="15">
      <c r="A15" s="7">
        <v>15</v>
      </c>
      <c r="B15" s="7" t="s">
        <v>37</v>
      </c>
      <c r="C15" s="2" t="s">
        <v>82</v>
      </c>
      <c r="D15" s="2">
        <f t="shared" si="49" ref="D15:E15">D14</f>
        <v>6990000</v>
      </c>
      <c r="E15" s="2">
        <f t="shared" si="49"/>
        <v>452</v>
      </c>
      <c r="F15" s="3">
        <f t="shared" si="39"/>
        <v>6990452</v>
      </c>
      <c r="G15" s="2" t="s">
        <v>22</v>
      </c>
      <c r="H15" s="3" t="str">
        <f ca="1" t="shared" si="40"/>
        <v>20251022</v>
      </c>
      <c r="I15" s="2" t="s">
        <v>41</v>
      </c>
      <c r="J15" s="2">
        <v>49855</v>
      </c>
      <c r="K15" s="2" t="s">
        <v>4</v>
      </c>
      <c r="L15" s="2" t="str">
        <f>CONCATENATE(0, "29820")</f>
        <v>029820</v>
      </c>
      <c r="M15" s="2">
        <v>7227802</v>
      </c>
      <c r="N15" s="2">
        <v>5</v>
      </c>
      <c r="O15" s="2" t="s">
        <v>63</v>
      </c>
      <c r="P15" s="2"/>
      <c r="Q15" s="2"/>
      <c r="R15" s="3" t="str">
        <f ca="1" t="shared" si="41"/>
        <v>20251023</v>
      </c>
      <c r="S15" s="2" t="s">
        <v>31</v>
      </c>
      <c r="T15" s="3" t="str">
        <f ca="1" t="shared" si="42"/>
        <v>20251023</v>
      </c>
      <c r="U15" s="3" t="str">
        <f ca="1" t="shared" si="43"/>
        <v>1040</v>
      </c>
      <c r="V15" s="5" t="str">
        <f ca="1" t="shared" si="44"/>
        <v>22.10.2025</v>
      </c>
      <c r="W15" s="3" t="str">
        <f ca="1" t="shared" si="45"/>
        <v>23.10.2025</v>
      </c>
      <c r="X15" s="5" t="str">
        <f>X14</f>
        <v>6990452-01</v>
      </c>
      <c r="Y15" s="3" t="str">
        <f ca="1" t="shared" si="46"/>
        <v>MSI;6990452-01;20251022;GR3;49855;0105;029820;5;;20251023;0000;20251023;1040</v>
      </c>
      <c r="Z15" s="1" t="s">
        <v>48</v>
      </c>
      <c r="AA15" s="1" t="s">
        <v>100</v>
      </c>
      <c r="AB15" s="6" t="s">
        <v>64</v>
      </c>
      <c r="AC15" s="6" t="str">
        <f t="shared" si="38"/>
        <v>kthi</v>
      </c>
      <c r="AD15" s="11" t="str">
        <f t="shared" si="38"/>
        <v>Iovio-123</v>
      </c>
      <c r="AE15" s="2" t="str">
        <f t="shared" si="47"/>
        <v>S:\TestAssets\DLL\FlatFiles\LU_AFFILIATE_DRY_CPO.DWL</v>
      </c>
      <c r="AF15" s="8" t="str">
        <f t="shared" si="48"/>
        <v>/operations/download/DLI138/LU_AFFILIATE_DRY_CPO.DWL</v>
      </c>
    </row>
    <row r="16">
      <c r="A16" s="7">
        <v>16</v>
      </c>
      <c r="B16" s="1"/>
      <c r="C16" s="1"/>
      <c r="D16" s="1"/>
      <c r="E16" s="1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6" t="str">
        <f t="shared" si="38"/>
        <v>kthi</v>
      </c>
      <c r="AD16" s="11" t="str">
        <f t="shared" si="38"/>
        <v>Iovio-123</v>
      </c>
      <c r="AE16" s="1"/>
      <c r="AF16" s="9"/>
    </row>
    <row r="17">
      <c r="A17" s="7">
        <v>17</v>
      </c>
      <c r="B17" s="7" t="s">
        <v>15</v>
      </c>
      <c r="C17" s="2" t="s">
        <v>82</v>
      </c>
      <c r="D17" s="2">
        <v>6991000</v>
      </c>
      <c r="E17" s="2">
        <f>E2</f>
        <v>54</v>
      </c>
      <c r="F17" s="3">
        <f t="shared" si="50" ref="F17:F18">D17+E17</f>
        <v>6991054</v>
      </c>
      <c r="G17" s="2" t="s">
        <v>22</v>
      </c>
      <c r="H17" s="3" t="str">
        <f ca="1" t="shared" si="51" ref="H17:H18">TEXT(NOW(),"yyyymmdd")</f>
        <v>20251022</v>
      </c>
      <c r="I17" s="2" t="s">
        <v>41</v>
      </c>
      <c r="J17" s="2">
        <v>99676</v>
      </c>
      <c r="K17" s="2" t="s">
        <v>85</v>
      </c>
      <c r="L17" s="2">
        <v>563283</v>
      </c>
      <c r="M17" s="2">
        <v>7168028</v>
      </c>
      <c r="N17" s="2">
        <v>5</v>
      </c>
      <c r="O17" s="2"/>
      <c r="P17" s="2"/>
      <c r="Q17" s="2"/>
      <c r="R17" s="3" t="str">
        <f ca="1" t="shared" si="52" ref="R17:R18">TEXT(NOW()+1,"yyyymmdd")</f>
        <v>20251023</v>
      </c>
      <c r="S17" s="2" t="s">
        <v>31</v>
      </c>
      <c r="T17" s="3" t="str">
        <f ca="1" t="shared" si="53" ref="T17:T18">TEXT(NOW()+1,"yyyymmdd")</f>
        <v>20251023</v>
      </c>
      <c r="U17" s="3" t="str">
        <f ca="1" t="shared" si="54" ref="U17:U18">TEXT(NOW(),"hhmm")</f>
        <v>1040</v>
      </c>
      <c r="V17" s="5" t="str">
        <f ca="1" t="shared" si="55" ref="V17:V18">TEXT(NOW(),"dd.mm.yyyy")</f>
        <v>22.10.2025</v>
      </c>
      <c r="W17" s="3" t="str">
        <f ca="1" t="shared" si="56" ref="W17:W18">TEXT(NOW()+1,"dd.mm.yyyy")</f>
        <v>23.10.2025</v>
      </c>
      <c r="X17" s="5" t="str">
        <f>F17&amp;"-"&amp;G17</f>
        <v>6991054-01</v>
      </c>
      <c r="Y17" s="3" t="str">
        <f ca="1" t="shared" si="57" ref="Y17:Y18">""&amp;C17&amp;";"&amp;X17&amp;";"&amp;H17&amp;";"&amp;I17&amp;";"&amp;J17&amp;";"&amp;K17&amp;";"&amp;L17&amp;";"&amp;N17&amp;";"&amp;Q17&amp;";"&amp;R17&amp;";"&amp;S17&amp;";"&amp;T17&amp;";"&amp;U17&amp;""</f>
        <v>MSI;6991054-01;20251022;GR3;99676;0100;563283;5;;20251023;0000;20251023;1040</v>
      </c>
      <c r="Z17" s="1" t="s">
        <v>48</v>
      </c>
      <c r="AA17" s="1" t="s">
        <v>49</v>
      </c>
      <c r="AB17" s="6" t="s">
        <v>64</v>
      </c>
      <c r="AC17" s="6" t="str">
        <f t="shared" si="38"/>
        <v>kthi</v>
      </c>
      <c r="AD17" s="11" t="str">
        <f t="shared" si="38"/>
        <v>Iovio-123</v>
      </c>
      <c r="AE17" s="2" t="str">
        <f t="shared" si="58" ref="AE17:AE18">Z17 &amp;"\"&amp;AA17</f>
        <v>S:\TestAssets\DLL\FlatFiles\BE_INTEGR_DS_DRY.DWL</v>
      </c>
      <c r="AF17" s="8" t="str">
        <f t="shared" si="59" ref="AF17:AF18">"/operations/download/DLI138/"&amp;AA17</f>
        <v>/operations/download/DLI138/BE_INTEGR_DS_DRY.DWL</v>
      </c>
    </row>
    <row r="18">
      <c r="A18" s="7">
        <v>18</v>
      </c>
      <c r="B18" s="7" t="s">
        <v>15</v>
      </c>
      <c r="C18" s="2" t="s">
        <v>82</v>
      </c>
      <c r="D18" s="2">
        <f>D17</f>
        <v>6991000</v>
      </c>
      <c r="E18" s="2">
        <f>E2</f>
        <v>54</v>
      </c>
      <c r="F18" s="3">
        <f t="shared" si="50"/>
        <v>6991054</v>
      </c>
      <c r="G18" s="2" t="s">
        <v>22</v>
      </c>
      <c r="H18" s="3" t="str">
        <f ca="1" t="shared" si="51"/>
        <v>20251022</v>
      </c>
      <c r="I18" s="2" t="s">
        <v>41</v>
      </c>
      <c r="J18" s="2">
        <v>99676</v>
      </c>
      <c r="K18" s="2" t="s">
        <v>86</v>
      </c>
      <c r="L18" s="2">
        <v>800653</v>
      </c>
      <c r="M18" s="2">
        <v>7160694</v>
      </c>
      <c r="N18" s="2">
        <v>4</v>
      </c>
      <c r="O18" s="2"/>
      <c r="P18" s="2"/>
      <c r="Q18" s="2"/>
      <c r="R18" s="3" t="str">
        <f ca="1" t="shared" si="52"/>
        <v>20251023</v>
      </c>
      <c r="S18" s="2" t="s">
        <v>31</v>
      </c>
      <c r="T18" s="3" t="str">
        <f ca="1" t="shared" si="53"/>
        <v>20251023</v>
      </c>
      <c r="U18" s="3" t="str">
        <f ca="1" t="shared" si="54"/>
        <v>1040</v>
      </c>
      <c r="V18" s="5" t="str">
        <f ca="1" t="shared" si="55"/>
        <v>22.10.2025</v>
      </c>
      <c r="W18" s="3" t="str">
        <f ca="1" t="shared" si="56"/>
        <v>23.10.2025</v>
      </c>
      <c r="X18" s="5" t="str">
        <f>X17</f>
        <v>6991054-01</v>
      </c>
      <c r="Y18" s="3" t="str">
        <f ca="1" t="shared" si="57"/>
        <v>MSI;6991054-01;20251022;GR3;99676;0111;800653;4;;20251023;0000;20251023;1040</v>
      </c>
      <c r="Z18" s="1" t="s">
        <v>48</v>
      </c>
      <c r="AA18" s="1" t="s">
        <v>49</v>
      </c>
      <c r="AB18" s="6" t="s">
        <v>64</v>
      </c>
      <c r="AC18" s="6" t="str">
        <f t="shared" si="38"/>
        <v>kthi</v>
      </c>
      <c r="AD18" s="11" t="str">
        <f t="shared" si="38"/>
        <v>Iovio-123</v>
      </c>
      <c r="AE18" s="2" t="str">
        <f t="shared" si="58"/>
        <v>S:\TestAssets\DLL\FlatFiles\BE_INTEGR_DS_DRY.DWL</v>
      </c>
      <c r="AF18" s="8" t="str">
        <f t="shared" si="59"/>
        <v>/operations/download/DLI138/BE_INTEGR_DS_DRY.DWL</v>
      </c>
    </row>
    <row r="19">
      <c r="A19" s="7">
        <v>19</v>
      </c>
      <c r="B19" s="1"/>
      <c r="C19" s="1"/>
      <c r="D19" s="1"/>
      <c r="E19" s="1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6" t="str">
        <f t="shared" si="38"/>
        <v>kthi</v>
      </c>
      <c r="AD19" s="11" t="str">
        <f t="shared" si="38"/>
        <v>Iovio-123</v>
      </c>
      <c r="AE19" s="1"/>
      <c r="AF19" s="9"/>
    </row>
    <row r="20">
      <c r="A20" s="7">
        <v>20</v>
      </c>
      <c r="B20" s="7" t="s">
        <v>38</v>
      </c>
      <c r="C20" s="2" t="s">
        <v>82</v>
      </c>
      <c r="D20" s="2">
        <v>6992000</v>
      </c>
      <c r="E20" s="2">
        <v>333</v>
      </c>
      <c r="F20" s="3">
        <f t="shared" si="60" ref="F20:F21">D20+E20</f>
        <v>6992333</v>
      </c>
      <c r="G20" s="2" t="s">
        <v>53</v>
      </c>
      <c r="H20" s="3" t="str">
        <f ca="1" t="shared" si="61" ref="H20:H21">TEXT(NOW(),"yyyymmdd")</f>
        <v>20251022</v>
      </c>
      <c r="I20" s="2" t="s">
        <v>67</v>
      </c>
      <c r="J20" s="2">
        <v>41020</v>
      </c>
      <c r="K20" s="2" t="s">
        <v>87</v>
      </c>
      <c r="L20" s="2">
        <v>185121</v>
      </c>
      <c r="M20" s="2">
        <v>7336120</v>
      </c>
      <c r="N20" s="2">
        <v>1</v>
      </c>
      <c r="O20" s="2" t="s">
        <v>10</v>
      </c>
      <c r="P20" s="2" t="s">
        <v>93</v>
      </c>
      <c r="Q20" s="2"/>
      <c r="R20" s="3" t="str">
        <f ca="1" t="shared" si="62" ref="R20:R21">TEXT(NOW()+1,"yyyymmdd")</f>
        <v>20251023</v>
      </c>
      <c r="S20" s="2" t="s">
        <v>31</v>
      </c>
      <c r="T20" s="3" t="str">
        <f ca="1" t="shared" si="63" ref="T20:T21">TEXT(NOW()+1,"yyyymmdd")</f>
        <v>20251023</v>
      </c>
      <c r="U20" s="3" t="str">
        <f ca="1" t="shared" si="64" ref="U20:U21">TEXT(NOW(),"hhmm")</f>
        <v>1040</v>
      </c>
      <c r="V20" s="5" t="str">
        <f ca="1" t="shared" si="65" ref="V20:V21">TEXT(NOW(),"dd.mm.yyyy")</f>
        <v>22.10.2025</v>
      </c>
      <c r="W20" s="3" t="str">
        <f ca="1" t="shared" si="66" ref="W20:W21">TEXT(NOW()+1,"dd.mm.yyyy")</f>
        <v>23.10.2025</v>
      </c>
      <c r="X20" s="5" t="str">
        <f>F20&amp;"-"&amp;G20</f>
        <v>6992333-02</v>
      </c>
      <c r="Y20" s="3" t="str">
        <f ca="1" t="shared" si="67" ref="Y20:Y21">""&amp;C20&amp;";"&amp;X20&amp;";"&amp;H20&amp;";"&amp;I20&amp;";"&amp;J20&amp;";"&amp;K20&amp;";"&amp;L20&amp;";"&amp;N20&amp;";"&amp;Q20&amp;";"&amp;R20&amp;";"&amp;S20&amp;";"&amp;T20&amp;";"&amp;U20&amp;""</f>
        <v>MSI;6992333-02;20251022;GR0;41020;0500;185121;1;;20251023;0000;20251023;1040</v>
      </c>
      <c r="Z20" s="1" t="s">
        <v>48</v>
      </c>
      <c r="AA20" s="1" t="s">
        <v>6</v>
      </c>
      <c r="AB20" s="6" t="s">
        <v>64</v>
      </c>
      <c r="AC20" s="6" t="str">
        <f t="shared" si="38"/>
        <v>kthi</v>
      </c>
      <c r="AD20" s="11" t="str">
        <f t="shared" si="38"/>
        <v>Iovio-123</v>
      </c>
      <c r="AE20" s="2" t="str">
        <f t="shared" si="68" ref="AE20:AE21">Z20 &amp;"\"&amp;AA20</f>
        <v>S:\TestAssets\DLL\FlatFiles\BE_AFFILIATE_FROZEN.DWL</v>
      </c>
      <c r="AF20" s="8" t="str">
        <f t="shared" si="69" ref="AF20:AF21">"/operations/download/DLI138/"&amp;AA20</f>
        <v>/operations/download/DLI138/BE_AFFILIATE_FROZEN.DWL</v>
      </c>
    </row>
    <row r="21">
      <c r="A21" s="7">
        <v>21</v>
      </c>
      <c r="B21" s="7" t="s">
        <v>38</v>
      </c>
      <c r="C21" s="2" t="s">
        <v>82</v>
      </c>
      <c r="D21" s="2">
        <f>D20</f>
        <v>6992000</v>
      </c>
      <c r="E21" s="2">
        <f>E2</f>
        <v>54</v>
      </c>
      <c r="F21" s="3">
        <f t="shared" si="60"/>
        <v>6992054</v>
      </c>
      <c r="G21" s="2" t="s">
        <v>53</v>
      </c>
      <c r="H21" s="3" t="str">
        <f ca="1" t="shared" si="61"/>
        <v>20251022</v>
      </c>
      <c r="I21" s="2" t="s">
        <v>67</v>
      </c>
      <c r="J21" s="2">
        <v>41020</v>
      </c>
      <c r="K21" s="2" t="s">
        <v>87</v>
      </c>
      <c r="L21" s="2">
        <v>187692</v>
      </c>
      <c r="M21" s="2">
        <v>7345406</v>
      </c>
      <c r="N21" s="2">
        <v>1</v>
      </c>
      <c r="O21" s="2" t="s">
        <v>69</v>
      </c>
      <c r="P21" s="2" t="s">
        <v>56</v>
      </c>
      <c r="Q21" s="2"/>
      <c r="R21" s="3" t="str">
        <f ca="1" t="shared" si="62"/>
        <v>20251023</v>
      </c>
      <c r="S21" s="2" t="s">
        <v>31</v>
      </c>
      <c r="T21" s="3" t="str">
        <f ca="1" t="shared" si="63"/>
        <v>20251023</v>
      </c>
      <c r="U21" s="3" t="str">
        <f ca="1" t="shared" si="64"/>
        <v>1040</v>
      </c>
      <c r="V21" s="5" t="str">
        <f ca="1" t="shared" si="65"/>
        <v>22.10.2025</v>
      </c>
      <c r="W21" s="3" t="str">
        <f ca="1" t="shared" si="66"/>
        <v>23.10.2025</v>
      </c>
      <c r="X21" s="5" t="str">
        <f>X20</f>
        <v>6992333-02</v>
      </c>
      <c r="Y21" s="3" t="str">
        <f ca="1" t="shared" si="67"/>
        <v>MSI;6992333-02;20251022;GR0;41020;0500;187692;1;;20251023;0000;20251023;1040</v>
      </c>
      <c r="Z21" s="1" t="s">
        <v>48</v>
      </c>
      <c r="AA21" s="1" t="s">
        <v>6</v>
      </c>
      <c r="AB21" s="6" t="s">
        <v>64</v>
      </c>
      <c r="AC21" s="6" t="str">
        <f t="shared" si="38"/>
        <v>kthi</v>
      </c>
      <c r="AD21" s="11" t="str">
        <f t="shared" si="38"/>
        <v>Iovio-123</v>
      </c>
      <c r="AE21" s="2" t="str">
        <f t="shared" si="68"/>
        <v>S:\TestAssets\DLL\FlatFiles\BE_AFFILIATE_FROZEN.DWL</v>
      </c>
      <c r="AF21" s="8" t="str">
        <f t="shared" si="69"/>
        <v>/operations/download/DLI138/BE_AFFILIATE_FROZEN.DWL</v>
      </c>
    </row>
    <row r="22">
      <c r="A22" s="7">
        <v>22</v>
      </c>
      <c r="B22" s="1"/>
      <c r="C22" s="1"/>
      <c r="D22" s="1"/>
      <c r="E22" s="1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6" t="str">
        <f t="shared" si="38"/>
        <v>kthi</v>
      </c>
      <c r="AD22" s="11" t="str">
        <f t="shared" si="38"/>
        <v>Iovio-123</v>
      </c>
      <c r="AE22" s="1"/>
      <c r="AF22" s="9"/>
    </row>
    <row r="23">
      <c r="A23" s="7">
        <v>23</v>
      </c>
      <c r="B23" s="7" t="s">
        <v>39</v>
      </c>
      <c r="C23" s="2" t="s">
        <v>82</v>
      </c>
      <c r="D23" s="2">
        <v>6993000</v>
      </c>
      <c r="E23" s="2">
        <v>298</v>
      </c>
      <c r="F23" s="3">
        <f t="shared" si="70" ref="F23:F24">D23+E23</f>
        <v>6993298</v>
      </c>
      <c r="G23" s="2" t="s">
        <v>22</v>
      </c>
      <c r="H23" s="3" t="str">
        <f ca="1" t="shared" si="71" ref="H23:H24">TEXT(NOW(),"yyyymmdd")</f>
        <v>20251022</v>
      </c>
      <c r="I23" s="2" t="s">
        <v>41</v>
      </c>
      <c r="J23" s="2">
        <v>14002</v>
      </c>
      <c r="K23" s="2" t="s">
        <v>87</v>
      </c>
      <c r="L23" s="2">
        <v>11132</v>
      </c>
      <c r="M23" s="2">
        <v>7131247</v>
      </c>
      <c r="N23" s="2">
        <v>4</v>
      </c>
      <c r="O23" s="2" t="s">
        <v>70</v>
      </c>
      <c r="P23" s="2"/>
      <c r="Q23" s="2"/>
      <c r="R23" s="3" t="str">
        <f ca="1" t="shared" si="72" ref="R23:R24">TEXT(NOW()+1,"yyyymmdd")</f>
        <v>20251023</v>
      </c>
      <c r="S23" s="2" t="s">
        <v>31</v>
      </c>
      <c r="T23" s="3" t="str">
        <f ca="1" t="shared" si="73" ref="T23:T24">TEXT(NOW()+1,"yyyymmdd")</f>
        <v>20251023</v>
      </c>
      <c r="U23" s="3" t="str">
        <f ca="1" t="shared" si="74" ref="U23:U24">TEXT(NOW(),"hhmm")</f>
        <v>1040</v>
      </c>
      <c r="V23" s="5" t="str">
        <f ca="1" t="shared" si="75" ref="V23:V24">TEXT(NOW(),"dd.mm.yyyy")</f>
        <v>22.10.2025</v>
      </c>
      <c r="W23" s="3" t="str">
        <f ca="1" t="shared" si="76" ref="W23:W24">TEXT(NOW()+1,"dd.mm.yyyy")</f>
        <v>23.10.2025</v>
      </c>
      <c r="X23" s="5" t="str">
        <f>F23&amp;"-"&amp;G23</f>
        <v>6993298-01</v>
      </c>
      <c r="Y23" s="3" t="str">
        <f ca="1" t="shared" si="77" ref="Y23:Y24">""&amp;C23&amp;";"&amp;X23&amp;";"&amp;H23&amp;";"&amp;I23&amp;";"&amp;J23&amp;";"&amp;K23&amp;";"&amp;L23&amp;";"&amp;N23&amp;";"&amp;Q23&amp;";"&amp;R23&amp;";"&amp;S23&amp;";"&amp;T23&amp;";"&amp;U23&amp;""</f>
        <v>MSI;6993298-01;20251022;GR3;14002;0500;11132;4;;20251023;0000;20251023;1040</v>
      </c>
      <c r="Z23" s="1" t="s">
        <v>48</v>
      </c>
      <c r="AA23" s="1" t="s">
        <v>101</v>
      </c>
      <c r="AB23" s="6" t="s">
        <v>64</v>
      </c>
      <c r="AC23" s="6" t="str">
        <f t="shared" si="38"/>
        <v>kthi</v>
      </c>
      <c r="AD23" s="11" t="str">
        <f t="shared" si="38"/>
        <v>Iovio-123</v>
      </c>
      <c r="AE23" s="2" t="str">
        <f t="shared" si="78" ref="AE23:AE24">Z23 &amp;"\"&amp;AA23</f>
        <v>S:\TestAssets\DLL\FlatFiles\BE_INTEGRATED_FROZEN.DWL</v>
      </c>
      <c r="AF23" s="8" t="str">
        <f t="shared" si="79" ref="AF23:AF24">"/operations/download/DLI138/"&amp;AA23</f>
        <v>/operations/download/DLI138/BE_INTEGRATED_FROZEN.DWL</v>
      </c>
    </row>
    <row r="24">
      <c r="A24" s="7">
        <v>24</v>
      </c>
      <c r="B24" s="7" t="s">
        <v>39</v>
      </c>
      <c r="C24" s="2" t="s">
        <v>82</v>
      </c>
      <c r="D24" s="2">
        <f>D23</f>
        <v>6993000</v>
      </c>
      <c r="E24" s="2">
        <f>E2</f>
        <v>54</v>
      </c>
      <c r="F24" s="3">
        <f t="shared" si="70"/>
        <v>6993054</v>
      </c>
      <c r="G24" s="2" t="s">
        <v>22</v>
      </c>
      <c r="H24" s="3" t="str">
        <f ca="1" t="shared" si="71"/>
        <v>20251022</v>
      </c>
      <c r="I24" s="2" t="s">
        <v>41</v>
      </c>
      <c r="J24" s="2">
        <v>14002</v>
      </c>
      <c r="K24" s="2" t="s">
        <v>87</v>
      </c>
      <c r="L24" s="2">
        <v>10127</v>
      </c>
      <c r="M24" s="2">
        <v>7131661</v>
      </c>
      <c r="N24" s="2">
        <v>8</v>
      </c>
      <c r="O24" s="2" t="s">
        <v>56</v>
      </c>
      <c r="P24" s="2"/>
      <c r="Q24" s="2"/>
      <c r="R24" s="3" t="str">
        <f ca="1" t="shared" si="72"/>
        <v>20251023</v>
      </c>
      <c r="S24" s="2" t="s">
        <v>31</v>
      </c>
      <c r="T24" s="3" t="str">
        <f ca="1" t="shared" si="73"/>
        <v>20251023</v>
      </c>
      <c r="U24" s="3" t="str">
        <f ca="1" t="shared" si="74"/>
        <v>1040</v>
      </c>
      <c r="V24" s="5" t="str">
        <f ca="1" t="shared" si="75"/>
        <v>22.10.2025</v>
      </c>
      <c r="W24" s="3" t="str">
        <f ca="1" t="shared" si="76"/>
        <v>23.10.2025</v>
      </c>
      <c r="X24" s="5" t="str">
        <f>X23</f>
        <v>6993298-01</v>
      </c>
      <c r="Y24" s="3" t="str">
        <f ca="1" t="shared" si="77"/>
        <v>MSI;6993298-01;20251022;GR3;14002;0500;10127;8;;20251023;0000;20251023;1040</v>
      </c>
      <c r="Z24" s="1" t="s">
        <v>48</v>
      </c>
      <c r="AA24" s="1" t="s">
        <v>101</v>
      </c>
      <c r="AB24" s="6" t="s">
        <v>64</v>
      </c>
      <c r="AC24" s="6" t="str">
        <f t="shared" si="38"/>
        <v>kthi</v>
      </c>
      <c r="AD24" s="11" t="str">
        <f t="shared" si="38"/>
        <v>Iovio-123</v>
      </c>
      <c r="AE24" s="2" t="str">
        <f t="shared" si="78"/>
        <v>S:\TestAssets\DLL\FlatFiles\BE_INTEGRATED_FROZEN.DWL</v>
      </c>
      <c r="AF24" s="8" t="str">
        <f t="shared" si="79"/>
        <v>/operations/download/DLI138/BE_INTEGRATED_FROZEN.DWL</v>
      </c>
    </row>
    <row r="25">
      <c r="A25" s="7">
        <v>25</v>
      </c>
      <c r="B25" s="7"/>
      <c r="C25" s="2"/>
      <c r="D25" s="2"/>
      <c r="E25" s="2"/>
      <c r="F25" s="10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3"/>
      <c r="S25" s="2"/>
      <c r="T25" s="3"/>
      <c r="U25" s="3"/>
      <c r="V25" s="5"/>
      <c r="W25" s="3"/>
      <c r="X25" s="5"/>
      <c r="Y25" s="3"/>
      <c r="Z25" s="1"/>
      <c r="AA25" s="1"/>
      <c r="AB25" s="6"/>
      <c r="AC25" s="6" t="str">
        <f t="shared" si="38"/>
        <v>kthi</v>
      </c>
      <c r="AD25" s="11" t="str">
        <f t="shared" si="38"/>
        <v>Iovio-123</v>
      </c>
      <c r="AE25" s="2"/>
      <c r="AF25" s="8"/>
    </row>
    <row r="26">
      <c r="A26" s="7">
        <v>26</v>
      </c>
      <c r="B26" s="7" t="s">
        <v>45</v>
      </c>
      <c r="C26" s="2" t="s">
        <v>82</v>
      </c>
      <c r="D26" s="2">
        <v>6994000</v>
      </c>
      <c r="E26" s="2">
        <v>323</v>
      </c>
      <c r="F26" s="3">
        <f t="shared" si="80" ref="F26:F27">D26+E26</f>
        <v>6994323</v>
      </c>
      <c r="G26" s="2" t="s">
        <v>22</v>
      </c>
      <c r="H26" s="3" t="str">
        <f ca="1" t="shared" si="81" ref="H26:H27">TEXT(NOW(),"yyyymmdd")</f>
        <v>20251022</v>
      </c>
      <c r="I26" s="2" t="s">
        <v>41</v>
      </c>
      <c r="J26" s="2">
        <v>39301</v>
      </c>
      <c r="K26" s="2" t="s">
        <v>87</v>
      </c>
      <c r="L26" s="2">
        <v>11132</v>
      </c>
      <c r="M26" s="2">
        <v>7131247</v>
      </c>
      <c r="N26" s="2">
        <v>3</v>
      </c>
      <c r="O26" s="2" t="s">
        <v>70</v>
      </c>
      <c r="P26" s="2" t="s">
        <v>29</v>
      </c>
      <c r="Q26" s="2"/>
      <c r="R26" s="3" t="str">
        <f ca="1" t="shared" si="82" ref="R26:R27">TEXT(NOW()+1,"yyyymmdd")</f>
        <v>20251023</v>
      </c>
      <c r="S26" s="2" t="s">
        <v>31</v>
      </c>
      <c r="T26" s="3" t="str">
        <f ca="1" t="shared" si="83" ref="T26:T27">TEXT(NOW()+1,"yyyymmdd")</f>
        <v>20251023</v>
      </c>
      <c r="U26" s="3" t="str">
        <f ca="1" t="shared" si="84" ref="U26:U27">TEXT(NOW(),"hhmm")</f>
        <v>1040</v>
      </c>
      <c r="V26" s="5" t="str">
        <f ca="1" t="shared" si="85" ref="V26:V27">TEXT(NOW(),"dd.mm.yyyy")</f>
        <v>22.10.2025</v>
      </c>
      <c r="W26" s="3" t="str">
        <f ca="1" t="shared" si="86" ref="W26:W27">TEXT(NOW()+1,"dd.mm.yyyy")</f>
        <v>23.10.2025</v>
      </c>
      <c r="X26" s="5" t="str">
        <f>F26&amp;"-"&amp;G26</f>
        <v>6994323-01</v>
      </c>
      <c r="Y26" s="3" t="str">
        <f ca="1" t="shared" si="87" ref="Y26:Y27">""&amp;C26&amp;";"&amp;X26&amp;";"&amp;H26&amp;";"&amp;I26&amp;";"&amp;J26&amp;";"&amp;K26&amp;";"&amp;L26&amp;";"&amp;N26&amp;";"&amp;Q26&amp;";"&amp;R26&amp;";"&amp;S26&amp;";"&amp;T26&amp;";"&amp;U26&amp;""</f>
        <v>MSI;6994323-01;20251022;GR3;39301;0500;11132;3;;20251023;0000;20251023;1040</v>
      </c>
      <c r="Z26" s="1" t="s">
        <v>48</v>
      </c>
      <c r="AA26" s="1" t="s">
        <v>19</v>
      </c>
      <c r="AB26" s="6" t="s">
        <v>64</v>
      </c>
      <c r="AC26" s="6" t="str">
        <f t="shared" si="38"/>
        <v>kthi</v>
      </c>
      <c r="AD26" s="11" t="str">
        <f t="shared" si="38"/>
        <v>Iovio-123</v>
      </c>
      <c r="AE26" s="2" t="str">
        <f t="shared" si="88" ref="AE26:AE27">Z26 &amp;"\"&amp;AA26</f>
        <v>S:\TestAssets\DLL\FlatFiles\BE_INTERCO_FROZEN.DWL</v>
      </c>
      <c r="AF26" s="8" t="str">
        <f t="shared" si="89" ref="AF26:AF27">"/operations/download/DLI138/"&amp;AA26</f>
        <v>/operations/download/DLI138/BE_INTERCO_FROZEN.DWL</v>
      </c>
    </row>
    <row r="27">
      <c r="A27" s="7">
        <v>27</v>
      </c>
      <c r="B27" s="7" t="s">
        <v>45</v>
      </c>
      <c r="C27" s="2" t="s">
        <v>82</v>
      </c>
      <c r="D27" s="2">
        <f>D26</f>
        <v>6994000</v>
      </c>
      <c r="E27" s="2">
        <f>E2</f>
        <v>54</v>
      </c>
      <c r="F27" s="3">
        <f t="shared" si="80"/>
        <v>6994054</v>
      </c>
      <c r="G27" s="2" t="s">
        <v>22</v>
      </c>
      <c r="H27" s="3" t="str">
        <f ca="1" t="shared" si="81"/>
        <v>20251022</v>
      </c>
      <c r="I27" s="2" t="s">
        <v>41</v>
      </c>
      <c r="J27" s="2">
        <v>39301</v>
      </c>
      <c r="K27" s="2" t="s">
        <v>87</v>
      </c>
      <c r="L27" s="2">
        <v>10127</v>
      </c>
      <c r="M27" s="2">
        <v>7131661</v>
      </c>
      <c r="N27" s="2">
        <v>6</v>
      </c>
      <c r="O27" s="2" t="s">
        <v>56</v>
      </c>
      <c r="P27" s="2"/>
      <c r="Q27" s="2"/>
      <c r="R27" s="3" t="str">
        <f ca="1" t="shared" si="82"/>
        <v>20251023</v>
      </c>
      <c r="S27" s="2" t="s">
        <v>31</v>
      </c>
      <c r="T27" s="3" t="str">
        <f ca="1" t="shared" si="83"/>
        <v>20251023</v>
      </c>
      <c r="U27" s="3" t="str">
        <f ca="1" t="shared" si="84"/>
        <v>1040</v>
      </c>
      <c r="V27" s="5" t="str">
        <f ca="1" t="shared" si="85"/>
        <v>22.10.2025</v>
      </c>
      <c r="W27" s="3" t="str">
        <f ca="1" t="shared" si="86"/>
        <v>23.10.2025</v>
      </c>
      <c r="X27" s="5" t="str">
        <f>X26</f>
        <v>6994323-01</v>
      </c>
      <c r="Y27" s="3" t="str">
        <f ca="1" t="shared" si="87"/>
        <v>MSI;6994323-01;20251022;GR3;39301;0500;10127;6;;20251023;0000;20251023;1040</v>
      </c>
      <c r="Z27" s="1" t="s">
        <v>48</v>
      </c>
      <c r="AA27" s="1" t="s">
        <v>19</v>
      </c>
      <c r="AB27" s="6" t="s">
        <v>64</v>
      </c>
      <c r="AC27" s="6" t="str">
        <f t="shared" si="38"/>
        <v>kthi</v>
      </c>
      <c r="AD27" s="11" t="str">
        <f t="shared" si="38"/>
        <v>Iovio-123</v>
      </c>
      <c r="AE27" s="2" t="str">
        <f t="shared" si="88"/>
        <v>S:\TestAssets\DLL\FlatFiles\BE_INTERCO_FROZEN.DWL</v>
      </c>
      <c r="AF27" s="8" t="str">
        <f t="shared" si="89"/>
        <v>/operations/download/DLI138/BE_INTERCO_FROZEN.DWL</v>
      </c>
    </row>
    <row r="28">
      <c r="A28" s="7">
        <v>28</v>
      </c>
      <c r="B28" s="7"/>
      <c r="C28" s="2"/>
      <c r="D28" s="2"/>
      <c r="E28" s="2"/>
      <c r="F28" s="10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3"/>
      <c r="S28" s="2"/>
      <c r="T28" s="3"/>
      <c r="U28" s="3"/>
      <c r="V28" s="5"/>
      <c r="W28" s="3"/>
      <c r="X28" s="5"/>
      <c r="Y28" s="3"/>
      <c r="Z28" s="1"/>
      <c r="AA28" s="1"/>
      <c r="AB28" s="6"/>
      <c r="AC28" s="6" t="str">
        <f t="shared" si="38"/>
        <v>kthi</v>
      </c>
      <c r="AD28" s="11" t="str">
        <f t="shared" si="38"/>
        <v>Iovio-123</v>
      </c>
      <c r="AE28" s="2"/>
      <c r="AF28" s="8"/>
    </row>
    <row r="29">
      <c r="A29" s="7">
        <v>29</v>
      </c>
      <c r="B29" s="7" t="s">
        <v>28</v>
      </c>
      <c r="C29" s="2" t="s">
        <v>82</v>
      </c>
      <c r="D29" s="2">
        <v>6995000</v>
      </c>
      <c r="E29" s="2">
        <v>401</v>
      </c>
      <c r="F29" s="3">
        <f t="shared" si="90" ref="F29:F30">D29+E29</f>
        <v>6995401</v>
      </c>
      <c r="G29" s="2" t="s">
        <v>22</v>
      </c>
      <c r="H29" s="3" t="str">
        <f ca="1" t="shared" si="91" ref="H29:H30">TEXT(NOW(),"yyyymmdd")</f>
        <v>20251022</v>
      </c>
      <c r="I29" s="2" t="s">
        <v>41</v>
      </c>
      <c r="J29" s="2">
        <v>64706</v>
      </c>
      <c r="K29" s="2" t="s">
        <v>87</v>
      </c>
      <c r="L29" s="2">
        <v>11132</v>
      </c>
      <c r="M29" s="2">
        <v>7131247</v>
      </c>
      <c r="N29" s="2">
        <v>5</v>
      </c>
      <c r="O29" s="2" t="s">
        <v>70</v>
      </c>
      <c r="P29" s="2" t="s">
        <v>99</v>
      </c>
      <c r="Q29" s="2"/>
      <c r="R29" s="3" t="str">
        <f ca="1" t="shared" si="92" ref="R29:R30">TEXT(NOW()+1,"yyyymmdd")</f>
        <v>20251023</v>
      </c>
      <c r="S29" s="2" t="s">
        <v>31</v>
      </c>
      <c r="T29" s="3" t="str">
        <f ca="1" t="shared" si="93" ref="T29:T30">TEXT(NOW()+1,"yyyymmdd")</f>
        <v>20251023</v>
      </c>
      <c r="U29" s="3" t="str">
        <f ca="1" t="shared" si="94" ref="U29:U30">TEXT(NOW(),"hhmm")</f>
        <v>1040</v>
      </c>
      <c r="V29" s="5" t="str">
        <f ca="1" t="shared" si="95" ref="V29:V30">TEXT(NOW(),"dd.mm.yyyy")</f>
        <v>22.10.2025</v>
      </c>
      <c r="W29" s="3" t="str">
        <f ca="1" t="shared" si="96" ref="W29:W30">TEXT(NOW()+1,"dd.mm.yyyy")</f>
        <v>23.10.2025</v>
      </c>
      <c r="X29" s="5" t="str">
        <f>F29&amp;"-"&amp;G29</f>
        <v>6995401-01</v>
      </c>
      <c r="Y29" s="3" t="str">
        <f ca="1" t="shared" si="97" ref="Y29:Y30">""&amp;C29&amp;";"&amp;X29&amp;";"&amp;H29&amp;";"&amp;I29&amp;";"&amp;J29&amp;";"&amp;K29&amp;";"&amp;L29&amp;";"&amp;N29&amp;";"&amp;Q29&amp;";"&amp;R29&amp;";"&amp;S29&amp;";"&amp;T29&amp;";"&amp;U29&amp;""</f>
        <v>MSI;6995401-01;20251022;GR3;64706;0500;11132;5;;20251023;0000;20251023;1040</v>
      </c>
      <c r="Z29" s="1" t="s">
        <v>48</v>
      </c>
      <c r="AA29" s="1" t="s">
        <v>33</v>
      </c>
      <c r="AB29" s="6" t="s">
        <v>64</v>
      </c>
      <c r="AC29" s="6" t="str">
        <f t="shared" si="38"/>
        <v>kthi</v>
      </c>
      <c r="AD29" s="11" t="str">
        <f t="shared" si="38"/>
        <v>Iovio-123</v>
      </c>
      <c r="AE29" s="2" t="str">
        <f t="shared" si="98" ref="AE29:AE30">Z29 &amp;"\"&amp;AA29</f>
        <v>S:\TestAssets\DLL\FlatFiles\LU_INTEGR_FROZEN.DWL</v>
      </c>
      <c r="AF29" s="8" t="str">
        <f t="shared" si="99" ref="AF29:AF30">"/operations/download/DLI138/"&amp;AA29</f>
        <v>/operations/download/DLI138/LU_INTEGR_FROZEN.DWL</v>
      </c>
    </row>
    <row r="30">
      <c r="A30" s="7">
        <v>30</v>
      </c>
      <c r="B30" s="7" t="s">
        <v>28</v>
      </c>
      <c r="C30" s="2" t="s">
        <v>82</v>
      </c>
      <c r="D30" s="2">
        <f>D29</f>
        <v>6995000</v>
      </c>
      <c r="E30" s="2">
        <v>305</v>
      </c>
      <c r="F30" s="3">
        <f t="shared" si="90"/>
        <v>6995305</v>
      </c>
      <c r="G30" s="2" t="s">
        <v>22</v>
      </c>
      <c r="H30" s="3" t="str">
        <f ca="1" t="shared" si="91"/>
        <v>20251022</v>
      </c>
      <c r="I30" s="2" t="s">
        <v>41</v>
      </c>
      <c r="J30" s="2">
        <v>64706</v>
      </c>
      <c r="K30" s="2" t="s">
        <v>87</v>
      </c>
      <c r="L30" s="2">
        <v>10127</v>
      </c>
      <c r="M30" s="2">
        <v>7131661</v>
      </c>
      <c r="N30" s="2">
        <v>10</v>
      </c>
      <c r="O30" s="2" t="s">
        <v>56</v>
      </c>
      <c r="P30" s="2"/>
      <c r="Q30" s="2"/>
      <c r="R30" s="3" t="str">
        <f ca="1" t="shared" si="92"/>
        <v>20251023</v>
      </c>
      <c r="S30" s="2" t="s">
        <v>31</v>
      </c>
      <c r="T30" s="3" t="str">
        <f ca="1" t="shared" si="93"/>
        <v>20251023</v>
      </c>
      <c r="U30" s="3" t="str">
        <f ca="1" t="shared" si="94"/>
        <v>1040</v>
      </c>
      <c r="V30" s="5" t="str">
        <f ca="1" t="shared" si="95"/>
        <v>22.10.2025</v>
      </c>
      <c r="W30" s="3" t="str">
        <f ca="1" t="shared" si="96"/>
        <v>23.10.2025</v>
      </c>
      <c r="X30" s="5" t="str">
        <f>X29</f>
        <v>6995401-01</v>
      </c>
      <c r="Y30" s="3" t="str">
        <f ca="1" t="shared" si="97"/>
        <v>MSI;6995401-01;20251022;GR3;64706;0500;10127;10;;20251023;0000;20251023;1040</v>
      </c>
      <c r="Z30" s="1" t="s">
        <v>48</v>
      </c>
      <c r="AA30" s="1" t="s">
        <v>33</v>
      </c>
      <c r="AB30" s="6" t="s">
        <v>64</v>
      </c>
      <c r="AC30" s="6" t="str">
        <f t="shared" si="38"/>
        <v>kthi</v>
      </c>
      <c r="AD30" s="11" t="str">
        <f t="shared" si="38"/>
        <v>Iovio-123</v>
      </c>
      <c r="AE30" s="2" t="str">
        <f t="shared" si="98"/>
        <v>S:\TestAssets\DLL\FlatFiles\LU_INTEGR_FROZEN.DWL</v>
      </c>
      <c r="AF30" s="8" t="str">
        <f t="shared" si="99"/>
        <v>/operations/download/DLI138/LU_INTEGR_FROZEN.DWL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44</v>
      </c>
      <c r="AC31" s="1" t="s">
        <v>7</v>
      </c>
      <c r="AD31" s="1" t="s">
        <v>26</v>
      </c>
      <c r="AE31" s="1"/>
      <c r="AF31" s="9"/>
    </row>
    <row r="32">
      <c r="A32" s="6" t="s">
        <v>91</v>
      </c>
      <c r="B32" s="1"/>
      <c r="C32" s="1"/>
      <c r="D32" s="1"/>
      <c r="E32" s="1"/>
      <c r="F32" s="1"/>
      <c r="G32" s="1"/>
      <c r="H32" s="1"/>
      <c r="I32" s="1"/>
      <c r="J32" s="2">
        <v>14002</v>
      </c>
      <c r="K32" s="2" t="s">
        <v>85</v>
      </c>
      <c r="L32" s="2">
        <v>563283</v>
      </c>
      <c r="M32" s="2">
        <v>7168028</v>
      </c>
      <c r="N32" s="1"/>
      <c r="O32" s="2" t="s">
        <v>97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6" t="s">
        <v>64</v>
      </c>
      <c r="AC32" s="6" t="s">
        <v>25</v>
      </c>
      <c r="AD32" s="6" t="s">
        <v>59</v>
      </c>
      <c r="AE32" s="1"/>
      <c r="AF32" s="9"/>
    </row>
    <row r="33">
      <c r="A33" s="2" t="s">
        <v>36</v>
      </c>
      <c r="B33" s="1"/>
      <c r="C33" s="1"/>
      <c r="D33" s="1"/>
      <c r="E33" s="1"/>
      <c r="F33" s="1"/>
      <c r="G33" s="1"/>
      <c r="H33" s="1"/>
      <c r="I33" s="1"/>
      <c r="J33" s="2">
        <v>14002</v>
      </c>
      <c r="K33" s="2" t="s">
        <v>4</v>
      </c>
      <c r="L33" s="2">
        <v>29820</v>
      </c>
      <c r="M33" s="2">
        <v>7227802</v>
      </c>
      <c r="N33" s="1"/>
      <c r="O33" s="2" t="s">
        <v>63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6" t="s">
        <v>73</v>
      </c>
      <c r="AC33" s="6" t="s">
        <v>50</v>
      </c>
      <c r="AD33" s="6" t="s">
        <v>34</v>
      </c>
      <c r="AE33" s="1"/>
      <c r="AF33" s="9"/>
    </row>
    <row r="34">
      <c r="A34" s="16" t="s">
        <v>81</v>
      </c>
      <c r="B34" s="1"/>
      <c r="C34" s="1"/>
      <c r="D34" s="1"/>
      <c r="E34" s="1"/>
      <c r="F34" s="1"/>
      <c r="G34" s="1"/>
      <c r="H34" s="1"/>
      <c r="I34" s="2" t="s">
        <v>41</v>
      </c>
      <c r="J34" s="2">
        <v>64794</v>
      </c>
      <c r="K34" s="2" t="s">
        <v>4</v>
      </c>
      <c r="L34" s="2" t="str">
        <f>CONCATENATE(0, "29820")</f>
        <v>029820</v>
      </c>
      <c r="M34" s="2">
        <v>7227802</v>
      </c>
      <c r="N34" s="2">
        <v>4</v>
      </c>
      <c r="O34" s="2" t="s">
        <v>63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6" t="s">
        <v>74</v>
      </c>
      <c r="AD34" s="11" t="s">
        <v>3</v>
      </c>
      <c r="AE34" s="1"/>
      <c r="AF34" s="9"/>
    </row>
    <row r="35">
      <c r="A35" s="5" t="s">
        <v>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>
      <c r="A36" s="3" t="s">
        <v>20</v>
      </c>
      <c r="B36" s="1"/>
      <c r="C36" s="1"/>
      <c r="D36" s="1"/>
      <c r="E36" s="1"/>
      <c r="F36" s="1"/>
      <c r="G36" s="1"/>
      <c r="H36" s="1"/>
      <c r="I36" s="1"/>
      <c r="J36" s="2">
        <v>49722</v>
      </c>
      <c r="K36" s="2" t="s">
        <v>85</v>
      </c>
      <c r="L36" s="2">
        <v>563283</v>
      </c>
      <c r="M36" s="2">
        <v>7168028</v>
      </c>
      <c r="N36" s="1"/>
      <c r="O36" s="2" t="s">
        <v>97</v>
      </c>
      <c r="P36" s="2">
        <v>7131247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>
      <c r="A37" s="14" t="s">
        <v>51</v>
      </c>
      <c r="B37" s="1"/>
      <c r="C37" s="1"/>
      <c r="D37" s="1"/>
      <c r="E37" s="1"/>
      <c r="F37" s="1"/>
      <c r="G37" s="1"/>
      <c r="H37" s="1"/>
      <c r="I37" s="1"/>
      <c r="J37" s="2">
        <v>49722</v>
      </c>
      <c r="K37" s="2" t="s">
        <v>4</v>
      </c>
      <c r="L37" s="2">
        <v>29820</v>
      </c>
      <c r="M37" s="2">
        <v>7227802</v>
      </c>
      <c r="N37" s="1"/>
      <c r="O37" s="2" t="s">
        <v>63</v>
      </c>
      <c r="P37" s="2">
        <v>7131661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9"/>
    </row>
    <row r="38">
      <c r="A38" s="17" t="s">
        <v>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>
      <c r="A39" s="13" t="s">
        <v>52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>
        <v>7303329</v>
      </c>
      <c r="N39" s="2">
        <v>1</v>
      </c>
      <c r="O39" s="2" t="s">
        <v>98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>
        <v>7487128</v>
      </c>
      <c r="N40" s="2">
        <v>8</v>
      </c>
      <c r="O40" s="2" t="s">
        <v>92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9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9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>
      <c r="A43" s="7">
        <v>31</v>
      </c>
      <c r="B43" s="7" t="s">
        <v>95</v>
      </c>
      <c r="C43" s="2" t="s">
        <v>82</v>
      </c>
      <c r="D43" s="2">
        <v>6988000</v>
      </c>
      <c r="E43" s="2">
        <f>E37</f>
        <v>0</v>
      </c>
      <c r="F43" s="3">
        <f t="shared" si="100" ref="F43:F46">D43+E43</f>
        <v>6988000</v>
      </c>
      <c r="G43" s="2" t="s">
        <v>53</v>
      </c>
      <c r="H43" s="3" t="str">
        <f ca="1" t="shared" si="101" ref="H43:H46">TEXT(NOW(),"yyyymmdd")</f>
        <v>20251022</v>
      </c>
      <c r="I43" s="2" t="s">
        <v>67</v>
      </c>
      <c r="J43" s="2">
        <v>14003</v>
      </c>
      <c r="K43" s="2" t="s">
        <v>85</v>
      </c>
      <c r="L43" s="2">
        <v>689728</v>
      </c>
      <c r="M43" s="2">
        <v>7168028</v>
      </c>
      <c r="N43" s="2">
        <v>1</v>
      </c>
      <c r="O43" s="2" t="s">
        <v>88</v>
      </c>
      <c r="P43" s="2"/>
      <c r="Q43" s="2"/>
      <c r="R43" s="3" t="str">
        <f ca="1" t="shared" si="102" ref="R43:R46">TEXT(NOW()+1,"yyyymmdd")</f>
        <v>20251023</v>
      </c>
      <c r="S43" s="2" t="s">
        <v>31</v>
      </c>
      <c r="T43" s="3" t="str">
        <f ca="1" t="shared" si="103" ref="T43:T46">TEXT(NOW()+1,"yyyymmdd")</f>
        <v>20251023</v>
      </c>
      <c r="U43" s="3" t="str">
        <f ca="1" t="shared" si="104" ref="U43:U46">TEXT(NOW(),"hhmm")</f>
        <v>1040</v>
      </c>
      <c r="V43" s="5" t="str">
        <f ca="1" t="shared" si="105" ref="V43:V46">TEXT(NOW(),"dd.mm.yyyy")</f>
        <v>22.10.2025</v>
      </c>
      <c r="W43" s="3" t="str">
        <f ca="1" t="shared" si="106" ref="W43:W46">TEXT(NOW()+1,"dd.mm.yyyy")</f>
        <v>23.10.2025</v>
      </c>
      <c r="X43" s="5" t="str">
        <f>F43&amp;"-"&amp;G43</f>
        <v>6988000-02</v>
      </c>
      <c r="Y43" s="3" t="str">
        <f ca="1">""&amp;C43&amp;";"&amp;X43&amp;";"&amp;H43&amp;";"&amp;I43&amp;";"&amp;J43&amp;";"&amp;K43&amp;";"&amp;L43&amp;";"&amp;N43&amp;";"&amp;Q43&amp;";"&amp;R43&amp;";"&amp;S43&amp;";"&amp;T43&amp;";"&amp;U43&amp;";"&amp;T43&amp;";"&amp;U43&amp;";"&amp;"012006181301"&amp;";"&amp;"NOR"&amp;";"&amp;"12"&amp;";;;"&amp;"BW04"&amp;";"&amp;"BW04"</f>
        <v>MSI;6988000-02;20251022;GR0;14003;0100;689728;1;;20251023;0000;20251023;1040;20251023;1040;012006181301;NOR;12;;;BW04;BW04</v>
      </c>
      <c r="Z43" s="1" t="s">
        <v>48</v>
      </c>
      <c r="AA43" s="1" t="s">
        <v>24</v>
      </c>
      <c r="AB43" s="6" t="s">
        <v>64</v>
      </c>
      <c r="AC43" s="6" t="s">
        <v>57</v>
      </c>
      <c r="AD43" s="11" t="s">
        <v>58</v>
      </c>
      <c r="AE43" s="2" t="str">
        <f t="shared" si="107" ref="AE43:AE46">Z43 &amp;"\"&amp;AA43</f>
        <v>S:\TestAssets\DLL\FlatFiles\BE_AFFILIATE_DRY.DWL</v>
      </c>
      <c r="AF43" s="8" t="str">
        <f t="shared" si="108" ref="AF43:AF46">"/operations/download/DLI138/"&amp;AA43</f>
        <v>/operations/download/DLI138/BE_AFFILIATE_DRY.DWL</v>
      </c>
    </row>
    <row r="44">
      <c r="A44" s="7">
        <v>32</v>
      </c>
      <c r="B44" s="7" t="s">
        <v>95</v>
      </c>
      <c r="C44" s="2" t="s">
        <v>82</v>
      </c>
      <c r="D44" s="2">
        <f>D43</f>
        <v>6988000</v>
      </c>
      <c r="E44" s="2">
        <f>E37</f>
        <v>0</v>
      </c>
      <c r="F44" s="3">
        <f t="shared" si="100"/>
        <v>6988000</v>
      </c>
      <c r="G44" s="2" t="s">
        <v>53</v>
      </c>
      <c r="H44" s="3" t="str">
        <f ca="1" t="shared" si="101"/>
        <v>20251022</v>
      </c>
      <c r="I44" s="2" t="s">
        <v>67</v>
      </c>
      <c r="J44" s="2">
        <v>14003</v>
      </c>
      <c r="K44" s="2" t="s">
        <v>4</v>
      </c>
      <c r="L44" s="2" t="str">
        <f>CONCATENATE(0, "27450")</f>
        <v>027450</v>
      </c>
      <c r="M44" s="2">
        <v>7227802</v>
      </c>
      <c r="N44" s="2">
        <v>8</v>
      </c>
      <c r="O44" s="2" t="s">
        <v>63</v>
      </c>
      <c r="P44" s="2"/>
      <c r="Q44" s="2"/>
      <c r="R44" s="3" t="str">
        <f ca="1" t="shared" si="102"/>
        <v>20251023</v>
      </c>
      <c r="S44" s="2" t="s">
        <v>31</v>
      </c>
      <c r="T44" s="3" t="str">
        <f ca="1" t="shared" si="103"/>
        <v>20251023</v>
      </c>
      <c r="U44" s="3" t="str">
        <f ca="1" t="shared" si="104"/>
        <v>1040</v>
      </c>
      <c r="V44" s="5" t="str">
        <f ca="1" t="shared" si="105"/>
        <v>22.10.2025</v>
      </c>
      <c r="W44" s="3" t="str">
        <f ca="1" t="shared" si="106"/>
        <v>23.10.2025</v>
      </c>
      <c r="X44" s="5" t="str">
        <f>X43</f>
        <v>6988000-02</v>
      </c>
      <c r="Y44" s="3" t="str">
        <f ca="1">""&amp;C44&amp;";"&amp;X44&amp;";"&amp;H44&amp;";"&amp;I44&amp;";"&amp;J44&amp;";"&amp;K44&amp;";"&amp;L44&amp;";"&amp;N44&amp;";"&amp;Q44&amp;";"&amp;R44&amp;";"&amp;S44&amp;";"&amp;T44&amp;";"&amp;U44&amp;";"&amp;T44&amp;";"&amp;U44&amp;";"&amp;"012006181301"&amp;";"&amp;"NOR"&amp;";"&amp;"400"&amp;";;;"&amp;"BW04"&amp;";"&amp;"BW04"</f>
        <v>MSI;6988000-02;20251022;GR0;14003;0105;027450;8;;20251023;0000;20251023;1040;20251023;1040;012006181301;NOR;400;;;BW04;BW04</v>
      </c>
      <c r="Z44" s="1" t="s">
        <v>48</v>
      </c>
      <c r="AA44" s="1" t="s">
        <v>24</v>
      </c>
      <c r="AB44" s="6" t="s">
        <v>64</v>
      </c>
      <c r="AC44" s="6" t="s">
        <v>57</v>
      </c>
      <c r="AD44" s="11" t="s">
        <v>58</v>
      </c>
      <c r="AE44" s="2" t="str">
        <f t="shared" si="107"/>
        <v>S:\TestAssets\DLL\FlatFiles\BE_AFFILIATE_DRY.DWL</v>
      </c>
      <c r="AF44" s="8" t="str">
        <f t="shared" si="108"/>
        <v>/operations/download/DLI138/BE_AFFILIATE_DRY.DWL</v>
      </c>
    </row>
    <row r="45">
      <c r="A45" s="7">
        <v>33</v>
      </c>
      <c r="B45" s="7" t="s">
        <v>38</v>
      </c>
      <c r="C45" s="2" t="s">
        <v>82</v>
      </c>
      <c r="D45" s="2">
        <v>6992000</v>
      </c>
      <c r="E45" s="2">
        <f>E27</f>
        <v>54</v>
      </c>
      <c r="F45" s="3">
        <f t="shared" si="100"/>
        <v>6992054</v>
      </c>
      <c r="G45" s="2" t="s">
        <v>22</v>
      </c>
      <c r="H45" s="3" t="str">
        <f ca="1" t="shared" si="101"/>
        <v>20251022</v>
      </c>
      <c r="I45" s="2" t="s">
        <v>41</v>
      </c>
      <c r="J45" s="2">
        <v>49722</v>
      </c>
      <c r="K45" s="2" t="s">
        <v>87</v>
      </c>
      <c r="L45" s="2">
        <v>11242</v>
      </c>
      <c r="M45" s="2">
        <v>7131209</v>
      </c>
      <c r="N45" s="2">
        <v>4</v>
      </c>
      <c r="O45" s="2" t="s">
        <v>93</v>
      </c>
      <c r="P45" s="2" t="s">
        <v>93</v>
      </c>
      <c r="Q45" s="2"/>
      <c r="R45" s="3" t="str">
        <f ca="1" t="shared" si="102"/>
        <v>20251023</v>
      </c>
      <c r="S45" s="2" t="s">
        <v>31</v>
      </c>
      <c r="T45" s="3" t="str">
        <f ca="1" t="shared" si="103"/>
        <v>20251023</v>
      </c>
      <c r="U45" s="3" t="str">
        <f ca="1" t="shared" si="104"/>
        <v>1040</v>
      </c>
      <c r="V45" s="5" t="str">
        <f ca="1" t="shared" si="105"/>
        <v>22.10.2025</v>
      </c>
      <c r="W45" s="3" t="str">
        <f ca="1" t="shared" si="106"/>
        <v>23.10.2025</v>
      </c>
      <c r="X45" s="5" t="str">
        <f>F45&amp;"-"&amp;G45</f>
        <v>6992054-01</v>
      </c>
      <c r="Y45" s="3" t="str">
        <f ca="1" t="shared" si="109" ref="Y45:Y46">""&amp;C45&amp;";"&amp;X45&amp;";"&amp;H45&amp;";"&amp;I45&amp;";"&amp;J45&amp;";"&amp;K45&amp;";"&amp;L45&amp;";"&amp;N45&amp;";"&amp;Q45&amp;";"&amp;R45&amp;";"&amp;S45&amp;";"&amp;T45&amp;";"&amp;U45&amp;""</f>
        <v>MSI;6992054-01;20251022;GR3;49722;0500;11242;4;;20251023;0000;20251023;1040</v>
      </c>
      <c r="Z45" s="1" t="s">
        <v>48</v>
      </c>
      <c r="AA45" s="1" t="s">
        <v>6</v>
      </c>
      <c r="AB45" s="6" t="s">
        <v>64</v>
      </c>
      <c r="AC45" s="6" t="str">
        <f t="shared" si="110" ref="AC45:AD46">AC44</f>
        <v>kthi</v>
      </c>
      <c r="AD45" s="11" t="str">
        <f t="shared" si="110"/>
        <v>Iovio-123</v>
      </c>
      <c r="AE45" s="2" t="str">
        <f t="shared" si="107"/>
        <v>S:\TestAssets\DLL\FlatFiles\BE_AFFILIATE_FROZEN.DWL</v>
      </c>
      <c r="AF45" s="8" t="str">
        <f t="shared" si="108"/>
        <v>/operations/download/DLI138/BE_AFFILIATE_FROZEN.DWL</v>
      </c>
    </row>
    <row r="46">
      <c r="A46" s="7">
        <v>34</v>
      </c>
      <c r="B46" s="7" t="s">
        <v>38</v>
      </c>
      <c r="C46" s="2" t="s">
        <v>82</v>
      </c>
      <c r="D46" s="2">
        <f>D45</f>
        <v>6992000</v>
      </c>
      <c r="E46" s="2">
        <f>E27</f>
        <v>54</v>
      </c>
      <c r="F46" s="3">
        <f t="shared" si="100"/>
        <v>6992054</v>
      </c>
      <c r="G46" s="2" t="s">
        <v>22</v>
      </c>
      <c r="H46" s="3" t="str">
        <f ca="1" t="shared" si="101"/>
        <v>20251022</v>
      </c>
      <c r="I46" s="2" t="s">
        <v>41</v>
      </c>
      <c r="J46" s="2">
        <v>49722</v>
      </c>
      <c r="K46" s="2" t="s">
        <v>87</v>
      </c>
      <c r="L46" s="2">
        <v>10127</v>
      </c>
      <c r="M46" s="2">
        <v>7131661</v>
      </c>
      <c r="N46" s="2">
        <v>5</v>
      </c>
      <c r="O46" s="2" t="s">
        <v>56</v>
      </c>
      <c r="P46" s="2"/>
      <c r="Q46" s="2"/>
      <c r="R46" s="3" t="str">
        <f ca="1" t="shared" si="102"/>
        <v>20251023</v>
      </c>
      <c r="S46" s="2" t="s">
        <v>31</v>
      </c>
      <c r="T46" s="3" t="str">
        <f ca="1" t="shared" si="103"/>
        <v>20251023</v>
      </c>
      <c r="U46" s="3" t="str">
        <f ca="1" t="shared" si="104"/>
        <v>1040</v>
      </c>
      <c r="V46" s="5" t="str">
        <f ca="1" t="shared" si="105"/>
        <v>22.10.2025</v>
      </c>
      <c r="W46" s="3" t="str">
        <f ca="1" t="shared" si="106"/>
        <v>23.10.2025</v>
      </c>
      <c r="X46" s="5" t="str">
        <f>X45</f>
        <v>6992054-01</v>
      </c>
      <c r="Y46" s="3" t="str">
        <f ca="1" t="shared" si="109"/>
        <v>MSI;6992054-01;20251022;GR3;49722;0500;10127;5;;20251023;0000;20251023;1040</v>
      </c>
      <c r="Z46" s="1" t="s">
        <v>48</v>
      </c>
      <c r="AA46" s="1" t="s">
        <v>6</v>
      </c>
      <c r="AB46" s="6" t="s">
        <v>64</v>
      </c>
      <c r="AC46" s="6" t="str">
        <f t="shared" si="110"/>
        <v>kthi</v>
      </c>
      <c r="AD46" s="11" t="str">
        <f t="shared" si="110"/>
        <v>Iovio-123</v>
      </c>
      <c r="AE46" s="2" t="str">
        <f t="shared" si="107"/>
        <v>S:\TestAssets\DLL\FlatFiles\BE_AFFILIATE_FROZEN.DWL</v>
      </c>
      <c r="AF46" s="8" t="str">
        <f t="shared" si="108"/>
        <v>/operations/download/DLI138/BE_AFFILIATE_FROZEN.DWL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