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Creation" sheetId="2" r:id="rId2"/>
    <sheet name="DataTransfer_OneValue1" sheetId="3" r:id="rId3"/>
    <sheet name="Wait" sheetId="4" r:id="rId4"/>
    <sheet name="TC1_Test_04-02-MD Fresh Matcopy" sheetId="5" r:id="rId5"/>
    <sheet name="TC2_Test_04-02 MD Matcopy P2" sheetId="6" r:id="rId6"/>
    <sheet name="TC3_Test_04-02 MD Matcopy P3" sheetId="7" r:id="rId7"/>
    <sheet name="TC4_Test_04-02 MD Matcopy P4" sheetId="8" r:id="rId8"/>
    <sheet name="TC5_Test_04-02Matcopy GOLD P5" sheetId="9" r:id="rId9"/>
  </sheets>
  <definedNames>
    <definedName name="ExternalData_1" localSheetId="2">DataTransfer_OneValue1!$A$1:$B$4</definedName>
  </definedNames>
  <calcPr calcId="40001"/>
</workbook>
</file>

<file path=xl/sharedStrings.xml><?xml version="1.0" encoding="utf-8"?>
<sst xmlns="http://schemas.openxmlformats.org/spreadsheetml/2006/main" uniqueCount="111">
  <si>
    <t>AUTODLL</t>
  </si>
  <si>
    <t>DT_P_SEND_KEY_C3</t>
  </si>
  <si>
    <t>ExitSql</t>
  </si>
  <si>
    <t>DT_P_FIELD_ID_VERIFY_ARTICLE_TEXT_C8</t>
  </si>
  <si>
    <t>1527</t>
  </si>
  <si>
    <t>1367</t>
  </si>
  <si>
    <t>1447</t>
  </si>
  <si>
    <t>DT_P_SEND_KEY_C7</t>
  </si>
  <si>
    <t>DT_P_FIELD_ID_EXIT_INTERACTIVE_SQL_C9</t>
  </si>
  <si>
    <t>Choix</t>
  </si>
  <si>
    <t>F</t>
  </si>
  <si>
    <t>AD</t>
  </si>
  <si>
    <t>AH</t>
  </si>
  <si>
    <t>Verifications Date</t>
  </si>
  <si>
    <t>Data Coming from another test</t>
  </si>
  <si>
    <t>DT_USERNAME</t>
  </si>
  <si>
    <t>DT_P_FIELD_ID_C2</t>
  </si>
  <si>
    <t>DT_P_KEY_C2</t>
  </si>
  <si>
    <t>DT_DESC_C1</t>
  </si>
  <si>
    <t>MME LOIK SAUMON CIB 150G</t>
  </si>
  <si>
    <t>Scenario</t>
  </si>
  <si>
    <t>Output Data</t>
  </si>
  <si>
    <t>AUTODL52</t>
  </si>
  <si>
    <t>S:\SAPTAORTL\TE Libraries\GOLD Profiles\WH77X_PREPROD.WS</t>
  </si>
  <si>
    <t>3</t>
  </si>
  <si>
    <t>STRSQL</t>
  </si>
  <si>
    <t>DT_P_FIELD_ID_C6</t>
  </si>
  <si>
    <t>DT_P_FIELD_ID_SQL_ENTRY_C7</t>
  </si>
  <si>
    <t>DT_ARTICLE_SAP_NUMBER</t>
  </si>
  <si>
    <t>DT_P_KEY_C6</t>
  </si>
  <si>
    <t>Z</t>
  </si>
  <si>
    <t>DT_P_FIELD_ID_MENU_INITIALISE_C4</t>
  </si>
  <si>
    <t>DT_P_SEND_KEY_C4</t>
  </si>
  <si>
    <t>field1447</t>
  </si>
  <si>
    <t>GoldArticleDescription</t>
  </si>
  <si>
    <t>AA</t>
  </si>
  <si>
    <t>AUTOMI</t>
  </si>
  <si>
    <t>DT_P_FIELD_NAME</t>
  </si>
  <si>
    <t>field1367</t>
  </si>
  <si>
    <t>DT_P_SEND_KEY_C8</t>
  </si>
  <si>
    <t>AE</t>
  </si>
  <si>
    <t>AI</t>
  </si>
  <si>
    <t>AUTOAB</t>
  </si>
  <si>
    <t>Input Data</t>
  </si>
  <si>
    <t>IOVIO009</t>
  </si>
  <si>
    <t>DT_P_FIELD_ID_C3</t>
  </si>
  <si>
    <t>DT_DESC</t>
  </si>
  <si>
    <t>DT_DESC_C2</t>
  </si>
  <si>
    <t>@1</t>
  </si>
  <si>
    <t>DT_P_FIELD_ID_FINISH_SESSION_C10</t>
  </si>
  <si>
    <t>Row</t>
  </si>
  <si>
    <t>DT_P_FIELD_ID_C7</t>
  </si>
  <si>
    <t>DT_P_KEY_C3</t>
  </si>
  <si>
    <t>DT_ARTICLE_GOLD_VIEW</t>
  </si>
  <si>
    <t>Formulas Date</t>
  </si>
  <si>
    <t>Verifications</t>
  </si>
  <si>
    <t>Execution Control Data</t>
  </si>
  <si>
    <t>@E</t>
  </si>
  <si>
    <t>DT_P_FIELD_ID_ENVIORINMENT_775_C1</t>
  </si>
  <si>
    <t>DT_P_SEND_KEY_C1</t>
  </si>
  <si>
    <t>1550</t>
  </si>
  <si>
    <t>D</t>
  </si>
  <si>
    <t>DT_P_SEND_KEY_C5</t>
  </si>
  <si>
    <t>DT_P_FIELD_ID_START_STR_SQL_C6</t>
  </si>
  <si>
    <t>DT_P_FIELD_NAME_C1</t>
  </si>
  <si>
    <t>AB</t>
  </si>
  <si>
    <t>DT_P_SEND_KEY</t>
  </si>
  <si>
    <t>DT_P_FIELD_ID_ACTIVATE_ENVIORINMENT_C2</t>
  </si>
  <si>
    <t>DT_P_SEND_KEY_C9</t>
  </si>
  <si>
    <t>AF</t>
  </si>
  <si>
    <t>DT_PASSWORD</t>
  </si>
  <si>
    <t>1</t>
  </si>
  <si>
    <t>DT_DESC_C3</t>
  </si>
  <si>
    <t>Column1</t>
  </si>
  <si>
    <t>Formulas General</t>
  </si>
  <si>
    <t>EUI5119O</t>
  </si>
  <si>
    <t>DT_P_FIELD_ID_C4</t>
  </si>
  <si>
    <t>ST_ARTICLE_TEXT_DESCRIPTION</t>
  </si>
  <si>
    <t>DT_P_KEY_C4</t>
  </si>
  <si>
    <t>DT_P_FIELD_ID_C8</t>
  </si>
  <si>
    <t>X</t>
  </si>
  <si>
    <t>Row1</t>
  </si>
  <si>
    <t>DT_P_FIELD_ID_SELECT_ENVIORINMENT</t>
  </si>
  <si>
    <t>10</t>
  </si>
  <si>
    <t>DT_P_SEND_KEY_C2</t>
  </si>
  <si>
    <t>DT_P_FIELD_ID_SELECT_COMMAND_LINE_OPTION_C5</t>
  </si>
  <si>
    <t>DT_P_SEND_KEY_C6</t>
  </si>
  <si>
    <t>AC</t>
  </si>
  <si>
    <t>Nov2024</t>
  </si>
  <si>
    <t>Fixed Data</t>
  </si>
  <si>
    <t>DT_ENVIRONMENT</t>
  </si>
  <si>
    <t>1282</t>
  </si>
  <si>
    <t>DT_P_FIELD_ID_ACTIVATE_ENVIORINMENT_C3</t>
  </si>
  <si>
    <t>926</t>
  </si>
  <si>
    <t>351</t>
  </si>
  <si>
    <t>AG</t>
  </si>
  <si>
    <t>AT_04-03-03-01 GDSN article with Fost+ (fresh) 1 piece picking Witron</t>
  </si>
  <si>
    <t>Login Information</t>
  </si>
  <si>
    <t>DT_SYSTEM</t>
  </si>
  <si>
    <t>DT_P_KEY</t>
  </si>
  <si>
    <t>DT_P_KEY_C1</t>
  </si>
  <si>
    <t>DT_P_FIELD_ID_C1</t>
  </si>
  <si>
    <t>Option</t>
  </si>
  <si>
    <t>@3</t>
  </si>
  <si>
    <t>2</t>
  </si>
  <si>
    <t>Column2</t>
  </si>
  <si>
    <t>AUTODL11</t>
  </si>
  <si>
    <t>DT_P_FIELD_ID</t>
  </si>
  <si>
    <t>DT_P_FIELD_ID_C5</t>
  </si>
  <si>
    <t>DT_P_KEY_C5</t>
  </si>
  <si>
    <t>Y</t>
  </si>
</sst>
</file>

<file path=xl/styles.xml><?xml version="1.0" encoding="utf-8"?>
<styleSheet xmlns="http://schemas.openxmlformats.org/spreadsheetml/2006/main">
  <numFmts count="3">
    <numFmt numFmtId="164" formatCode="dd\.mm\.yyyy"/>
    <numFmt numFmtId="165" formatCode="0#"/>
    <numFmt numFmtId="166" formatCode="0############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Border="1" applyProtection="1">
      <protection locked="0"/>
    </xf>
    <xf numFmtId="0" fontId="1" fillId="2" borderId="1" xfId="0" quotePrefix="1" applyFill="1" applyBorder="1" applyProtection="1">
      <protection locked="0"/>
    </xf>
    <xf numFmtId="0" fontId="1" fillId="0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166" fontId="3" fillId="0" borderId="1" xfId="0" applyNumberFormat="1" applyFont="1" applyFill="1" applyBorder="1" applyProtection="1">
      <protection locked="0"/>
    </xf>
    <xf numFmtId="165" fontId="1" fillId="0" borderId="1" xfId="0" applyNumberFormat="1" applyFill="1" applyBorder="1" applyProtection="1">
      <protection locked="0"/>
    </xf>
    <xf numFmtId="0" fontId="1" fillId="0" borderId="2" xfId="0" applyNumberFormat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4" borderId="1" xfId="0" applyFont="1" applyFill="1" applyBorder="1" applyProtection="1">
      <protection locked="0"/>
    </xf>
    <xf numFmtId="166" fontId="1" fillId="0" borderId="1" xfId="0" applyNumberFormat="1" applyFill="1" applyBorder="1" applyProtection="1">
      <protection locked="0"/>
    </xf>
    <xf numFmtId="0" fontId="1" fillId="0" borderId="2" xfId="0" applyBorder="1" applyProtection="1">
      <protection locked="0"/>
    </xf>
    <xf numFmtId="164" fontId="3" fillId="6" borderId="1" xfId="0" applyNumberFormat="1" applyFont="1" applyFill="1" applyBorder="1" applyProtection="1"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2" borderId="1" xfId="0" quotePrefix="1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3" borderId="2" xfId="0" applyFont="1" applyFill="1" applyBorder="1" applyProtection="1">
      <protection locked="0"/>
    </xf>
    <xf numFmtId="0" fontId="1" fillId="2" borderId="1" xfId="0" applyFill="1" applyBorder="1" applyProtection="1">
      <protection locked="0"/>
    </xf>
    <xf numFmtId="165" fontId="3" fillId="0" borderId="2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M15"/>
  <sheetViews>
    <sheetView topLeftCell="B1" zoomScale="80" workbookViewId="0">
      <pane xSplit="1" ySplit="0" topLeftCell="F2" activePane="topRight"/>
      <selection activeCell="F2" sqref="F2"/>
      <selection pane="topRight" activeCell="F2" sqref="F2"/>
    </sheetView>
  </sheetViews>
  <sheetFormatPr defaultColWidth="9.125" defaultRowHeight="14.25"/>
  <cols>
    <col min="1" max="1" width="5" style="6" customWidth="1"/>
    <col min="2" max="2" width="6.125" style="6" customWidth="1"/>
    <col min="3" max="3" width="62.5" style="6" customWidth="1"/>
    <col min="4" max="4" width="12.375" style="6" customWidth="1"/>
    <col min="5" max="6" width="15.625" style="6" customWidth="1"/>
    <col min="7" max="7" width="60.125" style="6" customWidth="1"/>
    <col min="8" max="8" width="12.25" style="6" customWidth="1"/>
    <col min="9" max="33" width="17.25" style="6" customWidth="1"/>
    <col min="34" max="34" width="17" style="6" customWidth="1"/>
    <col min="35" max="36" width="17.25" style="6" customWidth="1"/>
    <col min="37" max="39" width="27" style="6" customWidth="1"/>
    <col min="40" max="40" width="32.5" style="6" customWidth="1"/>
    <col min="41" max="41" width="14.75" style="6" customWidth="1"/>
    <col min="42" max="46" width="13.75" style="6" customWidth="1"/>
    <col min="47" max="47" width="14.25" style="6" customWidth="1"/>
    <col min="48" max="48" width="14.375" style="6" customWidth="1"/>
    <col min="49" max="49" width="20.875" style="6" customWidth="1"/>
    <col min="50" max="50" width="35.375" style="6" customWidth="1"/>
    <col min="51" max="51" width="20.625" style="6" customWidth="1"/>
    <col min="52" max="52" width="53.25" style="6" customWidth="1"/>
    <col min="53" max="53" width="76" style="6" customWidth="1"/>
    <col min="54" max="54" width="2.375" style="6" customWidth="1"/>
    <col min="55" max="56" width="2.125" style="6" customWidth="1"/>
    <col min="57" max="57" width="3.25" style="6" customWidth="1"/>
    <col min="58" max="59" width="3.375" style="6" customWidth="1"/>
    <col min="60" max="60" width="3.625" style="6" customWidth="1"/>
    <col min="61" max="61" width="3.375" style="6" customWidth="1"/>
    <col min="62" max="62" width="3.25" style="6" customWidth="1"/>
    <col min="63" max="64" width="3.625" style="6" customWidth="1"/>
    <col min="65" max="65" width="2.75" style="6" customWidth="1"/>
    <col min="66" max="16384" width="9.125" style="6" customWidth="1"/>
  </cols>
  <sheetData>
    <row r="1" ht="12.75" customHeight="1" customFormat="1">
      <c r="A1" t="s">
        <v>50</v>
      </c>
      <c r="B1" t="s">
        <v>81</v>
      </c>
      <c r="C1" t="s">
        <v>20</v>
      </c>
      <c r="D1" t="s">
        <v>98</v>
      </c>
      <c r="E1" t="s">
        <v>15</v>
      </c>
      <c r="F1" t="s">
        <v>70</v>
      </c>
      <c r="G1" t="s">
        <v>90</v>
      </c>
      <c r="H1" t="s">
        <v>99</v>
      </c>
      <c r="I1" t="s">
        <v>100</v>
      </c>
      <c r="J1" t="s">
        <v>107</v>
      </c>
      <c r="K1" t="s">
        <v>82</v>
      </c>
      <c r="L1" t="s">
        <v>66</v>
      </c>
      <c r="M1" t="s">
        <v>101</v>
      </c>
      <c r="N1" t="s">
        <v>58</v>
      </c>
      <c r="O1" t="s">
        <v>59</v>
      </c>
      <c r="P1" t="s">
        <v>16</v>
      </c>
      <c r="Q1" t="s">
        <v>67</v>
      </c>
      <c r="R1" t="s">
        <v>84</v>
      </c>
      <c r="S1" t="s">
        <v>17</v>
      </c>
      <c r="T1" t="s">
        <v>45</v>
      </c>
      <c r="U1" t="s">
        <v>92</v>
      </c>
      <c r="V1" t="s">
        <v>1</v>
      </c>
      <c r="W1" t="s">
        <v>76</v>
      </c>
      <c r="X1" t="s">
        <v>31</v>
      </c>
      <c r="Y1" t="s">
        <v>32</v>
      </c>
      <c r="Z1" t="s">
        <v>37</v>
      </c>
      <c r="AA1" t="s">
        <v>85</v>
      </c>
      <c r="AB1" t="s">
        <v>62</v>
      </c>
      <c r="AC1" t="s">
        <v>108</v>
      </c>
      <c r="AD1" t="s">
        <v>63</v>
      </c>
      <c r="AE1" t="s">
        <v>86</v>
      </c>
      <c r="AF1" t="s">
        <v>46</v>
      </c>
      <c r="AG1" t="s">
        <v>26</v>
      </c>
      <c r="AH1" t="s">
        <v>27</v>
      </c>
      <c r="AI1" t="s">
        <v>7</v>
      </c>
      <c r="AJ1" t="s">
        <v>18</v>
      </c>
      <c r="AK1" t="s">
        <v>28</v>
      </c>
      <c r="AL1" t="s">
        <v>51</v>
      </c>
      <c r="AM1" t="s">
        <v>47</v>
      </c>
      <c r="AN1" t="s">
        <v>77</v>
      </c>
      <c r="AO1" t="s">
        <v>52</v>
      </c>
      <c r="AP1" t="s">
        <v>78</v>
      </c>
      <c r="AQ1" t="s">
        <v>79</v>
      </c>
      <c r="AR1" t="s">
        <v>8</v>
      </c>
      <c r="AS1" t="s">
        <v>39</v>
      </c>
      <c r="AT1" t="s">
        <v>72</v>
      </c>
      <c r="AU1" t="s">
        <v>109</v>
      </c>
      <c r="AV1" t="s">
        <v>29</v>
      </c>
      <c r="AW1" t="s">
        <v>64</v>
      </c>
      <c r="AX1" t="s">
        <v>49</v>
      </c>
      <c r="AY1" t="s">
        <v>68</v>
      </c>
      <c r="AZ1" t="s">
        <v>53</v>
      </c>
      <c r="BA1" t="s">
        <v>3</v>
      </c>
      <c r="BB1" t="s">
        <v>80</v>
      </c>
      <c r="BC1" t="s">
        <v>110</v>
      </c>
      <c r="BD1" t="s">
        <v>30</v>
      </c>
      <c r="BE1" t="s">
        <v>35</v>
      </c>
      <c r="BF1" t="s">
        <v>65</v>
      </c>
      <c r="BG1" t="s">
        <v>87</v>
      </c>
      <c r="BH1" t="s">
        <v>11</v>
      </c>
      <c r="BI1" t="s">
        <v>40</v>
      </c>
      <c r="BJ1" t="s">
        <v>69</v>
      </c>
      <c r="BK1" t="s">
        <v>95</v>
      </c>
      <c r="BL1" t="s">
        <v>12</v>
      </c>
      <c r="BM1" t="s">
        <v>41</v>
      </c>
    </row>
    <row r="2">
      <c r="A2" s="5">
        <v>1</v>
      </c>
      <c r="B2" s="5">
        <v>2</v>
      </c>
      <c r="C2" s="5" t="s">
        <v>96</v>
      </c>
      <c r="D2" s="8" t="s">
        <v>75</v>
      </c>
      <c r="E2" s="8" t="s">
        <v>0</v>
      </c>
      <c r="F2" s="8" t="s">
        <v>22</v>
      </c>
      <c r="G2" s="19" t="s">
        <v>23</v>
      </c>
      <c r="H2" s="2" t="s">
        <v>57</v>
      </c>
      <c r="I2" s="2" t="s">
        <v>57</v>
      </c>
      <c r="J2" s="2" t="s">
        <v>4</v>
      </c>
      <c r="K2" s="2" t="s">
        <v>71</v>
      </c>
      <c r="L2" s="2" t="s">
        <v>57</v>
      </c>
      <c r="M2" s="2" t="s">
        <v>91</v>
      </c>
      <c r="N2" s="2" t="s">
        <v>71</v>
      </c>
      <c r="O2" s="2" t="s">
        <v>57</v>
      </c>
      <c r="P2" s="2" t="s">
        <v>4</v>
      </c>
      <c r="Q2" s="2" t="s">
        <v>83</v>
      </c>
      <c r="R2" s="2" t="s">
        <v>57</v>
      </c>
      <c r="S2" s="2" t="s">
        <v>57</v>
      </c>
      <c r="T2" s="2" t="s">
        <v>4</v>
      </c>
      <c r="U2" s="2" t="s">
        <v>83</v>
      </c>
      <c r="V2" s="2" t="s">
        <v>57</v>
      </c>
      <c r="W2" s="2" t="s">
        <v>60</v>
      </c>
      <c r="X2" s="2" t="s">
        <v>61</v>
      </c>
      <c r="Y2" s="2" t="s">
        <v>57</v>
      </c>
      <c r="Z2" s="2" t="s">
        <v>102</v>
      </c>
      <c r="AA2" s="2" t="s">
        <v>24</v>
      </c>
      <c r="AB2" s="2" t="s">
        <v>57</v>
      </c>
      <c r="AC2" s="2" t="s">
        <v>5</v>
      </c>
      <c r="AD2" s="2" t="s">
        <v>25</v>
      </c>
      <c r="AE2" s="2" t="s">
        <v>57</v>
      </c>
      <c r="AF2" s="2" t="s">
        <v>38</v>
      </c>
      <c r="AG2" s="2" t="s">
        <v>6</v>
      </c>
      <c r="AH2" s="9" t="str">
        <f>"select cproin, libpro from gepbaart where cproin in "&amp;AK2</f>
        <v>select cproin, libpro from gepbaart where cproin in 7722151</v>
      </c>
      <c r="AI2" s="2" t="s">
        <v>57</v>
      </c>
      <c r="AJ2" s="2" t="s">
        <v>33</v>
      </c>
      <c r="AK2" s="7">
        <v>7722151</v>
      </c>
      <c r="AL2" s="2" t="s">
        <v>93</v>
      </c>
      <c r="AM2" s="2" t="s">
        <v>34</v>
      </c>
      <c r="AN2" s="7" t="s">
        <v>19</v>
      </c>
      <c r="AO2" s="2" t="s">
        <v>103</v>
      </c>
      <c r="AP2" s="2" t="s">
        <v>103</v>
      </c>
      <c r="AQ2" s="2" t="s">
        <v>94</v>
      </c>
      <c r="AR2" s="2" t="s">
        <v>104</v>
      </c>
      <c r="AS2" s="2" t="s">
        <v>57</v>
      </c>
      <c r="AT2" s="2" t="s">
        <v>2</v>
      </c>
      <c r="AU2" s="2" t="s">
        <v>103</v>
      </c>
      <c r="AV2" s="2" t="s">
        <v>48</v>
      </c>
      <c r="AW2" s="27" t="s">
        <v>9</v>
      </c>
      <c r="AX2" s="24" t="s">
        <v>10</v>
      </c>
      <c r="AY2" s="2" t="s">
        <v>57</v>
      </c>
      <c r="AZ2" s="9" t="str">
        <f>LEFT(AK2,1)&amp;","&amp;MID(AK2,2,3)&amp;","&amp;RIGHT(AK2,3)</f>
        <v>7,722,151</v>
      </c>
      <c r="BA2" s="10" t="str">
        <f>AZ2&amp;"   "&amp;AN2</f>
        <v>7,722,151   MME LOIK SAUMON CIB 150G</v>
      </c>
      <c r="BB2" s="3"/>
      <c r="BC2" s="3"/>
      <c r="BD2" s="3"/>
      <c r="BE2" s="3"/>
      <c r="BF2" s="3"/>
      <c r="BG2" s="3"/>
      <c r="BH2" s="3"/>
      <c r="BI2" s="3"/>
      <c r="BJ2" s="12"/>
      <c r="BK2" s="16"/>
      <c r="BL2" s="11"/>
      <c r="BM2" s="28"/>
    </row>
    <row r="3">
      <c r="A3" s="1"/>
      <c r="B3" s="1"/>
      <c r="C3" s="1"/>
      <c r="D3" s="1"/>
      <c r="E3" s="1"/>
      <c r="F3" s="8" t="s">
        <v>44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7"/>
    </row>
    <row r="4">
      <c r="A4" s="1"/>
      <c r="B4" s="1"/>
      <c r="C4" s="1"/>
      <c r="D4" s="1"/>
      <c r="E4" s="1"/>
      <c r="F4" s="8" t="s">
        <v>106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7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7"/>
    </row>
    <row r="6">
      <c r="A6" s="1"/>
      <c r="B6" s="14"/>
      <c r="C6" s="15" t="s">
        <v>97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7"/>
    </row>
    <row r="7">
      <c r="A7" s="1"/>
      <c r="B7" s="14"/>
      <c r="C7" s="23" t="s">
        <v>43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7"/>
    </row>
    <row r="8">
      <c r="A8" s="1"/>
      <c r="B8" s="14"/>
      <c r="C8" s="22" t="s">
        <v>89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7"/>
    </row>
    <row r="9">
      <c r="A9" s="1"/>
      <c r="B9" s="14"/>
      <c r="C9" s="20" t="s">
        <v>21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7"/>
    </row>
    <row r="10">
      <c r="A10" s="1"/>
      <c r="B10" s="14"/>
      <c r="C10" s="21" t="s">
        <v>54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7"/>
    </row>
    <row r="11">
      <c r="A11" s="1"/>
      <c r="B11" s="14"/>
      <c r="C11" s="9" t="s">
        <v>74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7"/>
    </row>
    <row r="12">
      <c r="A12" s="1"/>
      <c r="B12" s="14"/>
      <c r="C12" s="10" t="s">
        <v>55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7"/>
    </row>
    <row r="13">
      <c r="A13" s="1"/>
      <c r="B13" s="14"/>
      <c r="C13" s="18" t="s">
        <v>13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7"/>
    </row>
    <row r="14">
      <c r="A14" s="1"/>
      <c r="B14" s="14"/>
      <c r="C14" s="7" t="s">
        <v>14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7"/>
    </row>
    <row r="15">
      <c r="A15" s="1"/>
      <c r="B15" s="14"/>
      <c r="C15" s="5" t="s">
        <v>56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6384" width="9.125" style="6" customWidth="1"/>
  </cols>
  <sheetData>
    <row r="1" ht="12.75" customHeight="1" customFormat="1">
      <c r="A1" t="s">
        <v>81</v>
      </c>
    </row>
    <row r="2">
      <c r="A2" s="26">
        <v>2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B4"/>
  <sheetViews>
    <sheetView workbookViewId="0">
      <selection activeCell="A2" sqref="A2"/>
    </sheetView>
  </sheetViews>
  <sheetFormatPr defaultColWidth="9.42578125" defaultRowHeight="14.25"/>
  <cols>
    <col min="1" max="2" width="11.5" style="6" bestFit="1" customWidth="1"/>
    <col min="3" max="16384" width="9.42578125" style="6" customWidth="1"/>
  </cols>
  <sheetData>
    <row r="1" ht="14.85" customFormat="1">
      <c r="A1" t="s">
        <v>73</v>
      </c>
      <c r="B1" t="s">
        <v>105</v>
      </c>
    </row>
    <row r="2">
      <c r="A2" s="25" t="s">
        <v>42</v>
      </c>
      <c r="B2" s="13" t="s">
        <v>42</v>
      </c>
    </row>
    <row r="3">
      <c r="A3" s="25" t="s">
        <v>0</v>
      </c>
      <c r="B3" s="13" t="s">
        <v>22</v>
      </c>
    </row>
    <row r="4">
      <c r="A4" s="25" t="s">
        <v>36</v>
      </c>
      <c r="B4" s="13" t="s">
        <v>88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