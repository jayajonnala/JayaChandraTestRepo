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" sheetId="3" r:id="rId3"/>
    <sheet name="TC1_BR14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<sst xmlns="http://schemas.openxmlformats.org/spreadsheetml/2006/main" uniqueCount="140">
  <si>
    <t>AUTODLL</t>
  </si>
  <si>
    <t/>
  </si>
  <si>
    <t>DT_SAPTRANSACTIONCODE</t>
  </si>
  <si>
    <t>ASRMDLL01</t>
  </si>
  <si>
    <t>DT_OPTVIM_7AX2_2002_OPTVIM_BL_1RIDX_OCR_DATATAX_CODE</t>
  </si>
  <si>
    <t>DT_OPTVIM_7AX2_0002_CHECK_MESSAGEPARAMETER_OF_STATUSBAR</t>
  </si>
  <si>
    <t>RO02</t>
  </si>
  <si>
    <t>DT_OPTVIM_7AX2_1210_TABLECELL_COST_CENTER_0</t>
  </si>
  <si>
    <t>403,23</t>
  </si>
  <si>
    <t>5fd9075e14eb72dde9d5201adc1b50845f3da04a842b</t>
  </si>
  <si>
    <t>96,77</t>
  </si>
  <si>
    <t>RZ000009</t>
  </si>
  <si>
    <t>DT_OPTVIM_7AX2_2004_CHECK_GETCELLVALUE_OF_GRIDCELL_10_PROCESS_TYPE_OCC1</t>
  </si>
  <si>
    <t>DT_OPTVIM_7AX2_2002_HANDLING_CHARGES</t>
  </si>
  <si>
    <t>DT_OPTVIM_7AX2_2002_TAX_RATE_1</t>
  </si>
  <si>
    <t>04.04.02.18 VIM - DLL</t>
  </si>
  <si>
    <t>Verifications Date</t>
  </si>
  <si>
    <t>Data Coming from another test</t>
  </si>
  <si>
    <t>57740ee859bc498f235fc154a04875</t>
  </si>
  <si>
    <t>DT_OPTVIM_7AX2_2002_DOCUMENT_DATE</t>
  </si>
  <si>
    <t>DT_OPTVIM_7AX2_2002_VAT_AMOUNT</t>
  </si>
  <si>
    <t>NA</t>
  </si>
  <si>
    <t>A1</t>
  </si>
  <si>
    <t>DT_OPTVIM_7AX2_2002_OPTVIM_BL_1RIDX_OCR_DATATAX_RATE</t>
  </si>
  <si>
    <t>Invalid Tax Info (NPO)</t>
  </si>
  <si>
    <t>DT_OPTVIM_7AX2_2002_BANK_NAME</t>
  </si>
  <si>
    <t>DT_DOCUMENT_ID_OUTPUT</t>
  </si>
  <si>
    <t>Scenario</t>
  </si>
  <si>
    <t>Output Data</t>
  </si>
  <si>
    <t>%blank%</t>
  </si>
  <si>
    <t>DT_OPTVIM_7AX2_1002_LINE_ITEMS</t>
  </si>
  <si>
    <t>DT_OPTVIM_7AX2_2002_RECEPIENT_NAME</t>
  </si>
  <si>
    <t>200</t>
  </si>
  <si>
    <t>DT_OPTVIM_7AX2_2002_VENDOR_REFERENCE</t>
  </si>
  <si>
    <t>GR02</t>
  </si>
  <si>
    <t>DT_OPTVIM_7AX2_1000_OKCD</t>
  </si>
  <si>
    <t>/nex</t>
  </si>
  <si>
    <t>DT_OPTVIM_7AX2_2002_FREIGHT_AMOUNT</t>
  </si>
  <si>
    <t>DT_OPTVIM_7AX2_2002_VENDOR_VAT_NO</t>
  </si>
  <si>
    <t>DT_OPTVIM_7AX2_2002_TAX_AMOUNT_1</t>
  </si>
  <si>
    <t>DT_SAPSYSTEM</t>
  </si>
  <si>
    <t>AUTOAB</t>
  </si>
  <si>
    <t>ASRMMI01</t>
  </si>
  <si>
    <t>924</t>
  </si>
  <si>
    <t>DT_OPTVIM_7AX2_2004_CHECK_GETCELLVALUE_OF_GRIDCELL_10_STATUS</t>
  </si>
  <si>
    <t>BE10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</si>
  <si>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</si>
  <si>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</si>
  <si>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</si>
  <si>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</si>
  <si>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</si>
  <si>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</si>
  <si>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Input Data</t>
  </si>
  <si>
    <t>DT_SAPLANGUAGE</t>
  </si>
  <si>
    <t>DT_SAPOPTIONS</t>
  </si>
  <si>
    <t>DT_OPTVIM_7AX2_0002_ARCH</t>
  </si>
  <si>
    <t>DT_OPTVIM_7AX2_2002_POSTING_DATE</t>
  </si>
  <si>
    <t>DT_OPTVIM_7AX2_0002_CHECK_MESSAGEPARAMETER_OF_STATUSBAR_OCC1</t>
  </si>
  <si>
    <t>DT_OPTVIM_7AX2_0002_CHECK_TEXT_OF_STATUSBAR</t>
  </si>
  <si>
    <t>DT_OPTVIM_7AX2_1210_TABLECELL_TAX_CODE_0</t>
  </si>
  <si>
    <t>DT_OPTVIM_7AX2_2002_DOCHEADER_TEXT</t>
  </si>
  <si>
    <t>4</t>
  </si>
  <si>
    <t>DT_OPTVIM_7AX2_1100_REFERENCE</t>
  </si>
  <si>
    <t>DT_OPTVIM_7AX2_1000_GRIDCELL_0_EXECUTE</t>
  </si>
  <si>
    <t>DT_OPTVIM_7AX2_2004_CHECK_GETCELLVALUE_OF_GRIDCELL_10_OBJTXT_OCC1</t>
  </si>
  <si>
    <t>Formulas Date</t>
  </si>
  <si>
    <t>Verifications</t>
  </si>
  <si>
    <t>Execution Control Data</t>
  </si>
  <si>
    <t>57741553df8668d91d70f037ee9edd0d1f86b1bbaee923a2</t>
  </si>
  <si>
    <t>121</t>
  </si>
  <si>
    <t>DT_OPTVIM_7AX2_2002_TAX_AMOUNT</t>
  </si>
  <si>
    <t>ICON_EXEC</t>
  </si>
  <si>
    <t>DT_OPTVIM_7AX2_9100_CHECK_TEXT_OF_GROSS_AMOUNT</t>
  </si>
  <si>
    <t>24</t>
  </si>
  <si>
    <t>DT_OPTVIM_7AX2_2004_CHECK_GETCELLVALUE_OF_GRIDCELL_10_STATUS_OCC1</t>
  </si>
  <si>
    <t>DT_OPTVIM_7AX2_2002_PLANT</t>
  </si>
  <si>
    <t>DT_OPTVIM_7AX2_0019_OPTVIM_BL_M1_SUBSCREENSTC_INDEX_ITEMS</t>
  </si>
  <si>
    <t>DT_OPTVIM_7AX2_2002_CM_REF_DAT</t>
  </si>
  <si>
    <t>DT_WORKFLOW_ID_OUTPUT</t>
  </si>
  <si>
    <t>DT_PROC_TYPE_ROW_NO</t>
  </si>
  <si>
    <t>Row_Number</t>
  </si>
  <si>
    <t>/OPT/VIM_7AX2</t>
  </si>
  <si>
    <t>DT_OPTVIM_7AX2_2002_EXPENSE_TYPE</t>
  </si>
  <si>
    <t>DT_OPTVIM_7AX2_2004_CHECK_GETCELLVALUE_OF_GRIDCELL_10_OBJTXT_0</t>
  </si>
  <si>
    <t>BZ000130</t>
  </si>
  <si>
    <t>N3</t>
  </si>
  <si>
    <t>DT_ACCOUNTING_POSTING_DATE</t>
  </si>
  <si>
    <t>DT_OPTVIM_7AX2_2002_POSTING_DATE_OCC1</t>
  </si>
  <si>
    <t>DT_OPTVIM_7AX2_2002_TAX_AMOUNT_2</t>
  </si>
  <si>
    <t>04.04.02.18 VIM - MI</t>
  </si>
  <si>
    <t>AUTOFICO</t>
  </si>
  <si>
    <t>EN</t>
  </si>
  <si>
    <t>ASRMAB01</t>
  </si>
  <si>
    <t>1</t>
  </si>
  <si>
    <t>30385411</t>
  </si>
  <si>
    <t>@08\QProcessed@</t>
  </si>
  <si>
    <t>DT_INCREMENT</t>
  </si>
  <si>
    <t>DT_OPTVIM_7AX2_2002_RECEPIENT_VAT_NO</t>
  </si>
  <si>
    <t>DT_OPTVIM_7AX2_2002_SUPPLY_DATE</t>
  </si>
  <si>
    <t>04.04.02.18 VIM - AB</t>
  </si>
  <si>
    <t>Formulas General</t>
  </si>
  <si>
    <t>PA</t>
  </si>
  <si>
    <t>DT_OPTVIM_7AX2_2002_REQUESTER_ID</t>
  </si>
  <si>
    <t>DT_OPTVIM_7AX2_2002_GROSS_INV_AMOUNT</t>
  </si>
  <si>
    <t>DT_PROC_ROW_NUM</t>
  </si>
  <si>
    <t>DT_OPTVIM_7AX2_2004_CHECK_GETCELLVALUE_OF_GRIDCELL_10_PROCESS_TYPE</t>
  </si>
  <si>
    <t>DT_OPTVIM_7AX2_9100_CHECK_TEXT_OF_TAX_AMOUNT</t>
  </si>
  <si>
    <t>DT_OPTVIM_7AX2_2002_COMPANY_CODE</t>
  </si>
  <si>
    <t>DT_OPTVIM_7AX2_2002_BANK_ACCOUNT</t>
  </si>
  <si>
    <t>500</t>
  </si>
  <si>
    <t>/n/OPT/VIM_WP</t>
  </si>
  <si>
    <t>DT_OPTVIM_7AX2_1210_TABLECELL_TAX_RATE_0</t>
  </si>
  <si>
    <t>21</t>
  </si>
  <si>
    <t>DT_OPTVIM_7AX2_1210_TABLECELL_AMOUNT_0</t>
  </si>
  <si>
    <t>403,22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</si>
  <si>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</si>
  <si>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</si>
  <si>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</si>
  <si>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</si>
  <si>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</si>
  <si>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224</t>
  </si>
  <si>
    <t>DT_OPTVIM_7AX2_1210_TABLECELL_COMPANY_CODE_0</t>
  </si>
  <si>
    <t>DT_OPTVIM_7AX2_2002_PO_NUMBER</t>
  </si>
  <si>
    <t>Login Information</t>
  </si>
  <si>
    <t>DT_SAPUSER</t>
  </si>
  <si>
    <t>S5</t>
  </si>
  <si>
    <t>DT_OPTVIM_7AX2_0002_OKCD</t>
  </si>
  <si>
    <t>DT_OPTVIM_7AX2_9100_GH_IDX_APPLICATIONMS_IDX_HEADERZZKOSTL</t>
  </si>
  <si>
    <t>DT_OPTVIM_7AX2_1210_TABLECELL_GL_0</t>
  </si>
  <si>
    <t>GZ000080</t>
  </si>
  <si>
    <t>DT_OPTVIM_7AX2_1000_CHECK_TEXT_OF_STATUSBAR</t>
  </si>
  <si>
    <t>DT_OPTVIM_7AX2_2002_VENDOR_NAME</t>
  </si>
  <si>
    <t>DT_OPTVIM_7AX2_2002_PO_LIST</t>
  </si>
  <si>
    <t>DT_OPTVIM_7AX2_2002_FISCAL_REP_VAT_NO</t>
  </si>
  <si>
    <t>DT_SAPCLIENT</t>
  </si>
  <si>
    <t>DT_OPTVIM_7AX2_0002_ADDL_DOCS</t>
  </si>
  <si>
    <t>DT_OPTVIM_7AX2_0150_ALL_USERS_VIEW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</si>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</sst>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9"/>
      <color rgb="FF222222"/>
      <name val="Arial"/>
      <family val="2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2" fontId="1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2" fontId="1" fillId="7" borderId="1" xfId="0" applyNumberFormat="1" applyFill="1" applyBorder="1" applyProtection="1">
      <protection locked="0"/>
    </xf>
    <xf numFmtId="2" fontId="1" fillId="2" borderId="1" xfId="0" applyNumberForma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2" fontId="1" fillId="0" borderId="1" xfId="0" applyNumberFormat="1" applyBorder="1" applyProtection="1">
      <protection locked="0"/>
    </xf>
    <xf numFmtId="0" fontId="3" fillId="0" borderId="1" xfId="0" applyFont="1" applyBorder="1" applyProtection="1">
      <protection locked="0"/>
    </xf>
    <xf numFmtId="14" fontId="1" fillId="5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DT_04.04.02.18%20VIM%20-%20NPO%20Precontrole%20Issue%20-%20BR14%20-%20Invalid%20Tax%20Inf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A22"/>
  <sheetViews>
    <sheetView topLeftCell="H1" workbookViewId="0">
      <selection activeCell="H2" sqref="H2"/>
    </sheetView>
  </sheetViews>
  <sheetFormatPr defaultColWidth="9.125" defaultRowHeight="14.25"/>
  <cols>
    <col min="1" max="1" width="12.5" style="7" customWidth="1"/>
    <col min="2" max="2" width="36.625" style="7" customWidth="1"/>
    <col min="3" max="3" width="38.125" style="7" customWidth="1"/>
    <col min="4" max="4" width="15" style="7" customWidth="1"/>
    <col min="5" max="5" width="13.625" style="7" customWidth="1"/>
    <col min="6" max="6" width="51.5" style="7" customWidth="1"/>
    <col min="7" max="7" width="18.625" style="7" customWidth="1"/>
    <col min="8" max="8" width="16.75" style="7" customWidth="1"/>
    <col min="9" max="9" width="27.125" style="7" customWidth="1"/>
    <col min="10" max="11" width="28.375" style="7" customWidth="1"/>
    <col min="12" max="12" width="43.625" style="7" customWidth="1"/>
    <col min="13" max="13" width="37.875" style="7" customWidth="1"/>
    <col min="14" max="14" width="37.75" style="7" customWidth="1"/>
    <col min="15" max="15" width="40.5" style="7" customWidth="1"/>
    <col min="16" max="16" width="37.875" style="19" customWidth="1"/>
    <col min="17" max="18" width="43.625" style="7" customWidth="1"/>
    <col min="19" max="19" width="36.125" style="7" customWidth="1"/>
    <col min="20" max="21" width="61.875" style="7" customWidth="1"/>
    <col min="22" max="22" width="67.25" style="7" customWidth="1"/>
    <col min="23" max="23" width="73.125" style="7" customWidth="1"/>
    <col min="24" max="24" width="52.5" style="7" customWidth="1"/>
    <col min="25" max="25" width="28.25" style="7" customWidth="1"/>
    <col min="26" max="26" width="39.625" style="7" customWidth="1"/>
    <col min="27" max="27" width="34.625" style="7" customWidth="1"/>
    <col min="28" max="28" width="44" style="7" customWidth="1"/>
    <col min="29" max="29" width="22.5" style="7" customWidth="1"/>
    <col min="30" max="30" width="77.5" style="7" customWidth="1"/>
    <col min="31" max="31" width="71.75" style="7" customWidth="1"/>
    <col min="32" max="32" width="70.125" style="7" customWidth="1"/>
    <col min="33" max="33" width="67" style="7" customWidth="1"/>
    <col min="34" max="34" width="55.5" style="7" customWidth="1"/>
    <col min="35" max="35" width="52.5" style="7" customWidth="1"/>
    <col min="36" max="36" width="34" style="7" customWidth="1"/>
    <col min="37" max="37" width="39" style="7" customWidth="1"/>
    <col min="38" max="38" width="46.5" style="7" customWidth="1"/>
    <col min="39" max="39" width="46.375" style="7" customWidth="1"/>
    <col min="40" max="40" width="52.125" style="7" customWidth="1"/>
    <col min="41" max="41" width="50.5" style="7" customWidth="1"/>
    <col min="42" max="43" width="44.75" style="7" customWidth="1"/>
    <col min="44" max="44" width="51.25" style="7" customWidth="1"/>
    <col min="45" max="45" width="83.375" style="7" customWidth="1"/>
    <col min="46" max="46" width="75.625" style="7" customWidth="1"/>
    <col min="47" max="47" width="76" style="7" customWidth="1"/>
    <col min="48" max="48" width="28.25" style="7" customWidth="1"/>
    <col min="49" max="49" width="15.75" style="7" customWidth="1"/>
    <col min="50" max="50" width="43.5" style="7" customWidth="1"/>
    <col min="51" max="51" width="45.375" style="7" customWidth="1"/>
    <col min="52" max="52" width="40.5" style="7" customWidth="1"/>
    <col min="53" max="53" width="42.875" style="7" customWidth="1"/>
    <col min="54" max="54" width="40.25" style="7" customWidth="1"/>
    <col min="55" max="55" width="37.5" style="7" customWidth="1"/>
    <col min="56" max="56" width="29.25" style="7" customWidth="1"/>
    <col min="57" max="57" width="34.875" style="7" customWidth="1"/>
    <col min="58" max="58" width="41.5" style="7" customWidth="1"/>
    <col min="59" max="59" width="38.625" style="7" customWidth="1"/>
    <col min="60" max="60" width="40.25" style="7" customWidth="1"/>
    <col min="61" max="61" width="30.75" style="7" customWidth="1"/>
    <col min="62" max="62" width="39.625" style="7" customWidth="1"/>
    <col min="63" max="63" width="39.5" style="7" customWidth="1"/>
    <col min="64" max="64" width="42.375" style="7" customWidth="1"/>
    <col min="65" max="65" width="42.875" style="7" customWidth="1"/>
    <col min="66" max="66" width="34.875" style="7" customWidth="1"/>
    <col min="67" max="67" width="37.875" style="7" customWidth="1"/>
    <col min="68" max="68" width="34.875" style="7" customWidth="1"/>
    <col min="69" max="69" width="37.875" style="7" customWidth="1"/>
    <col min="70" max="70" width="66.75" style="7" customWidth="1"/>
    <col min="71" max="71" width="36.625" style="7" customWidth="1"/>
    <col min="72" max="72" width="39.875" style="7" customWidth="1"/>
    <col min="73" max="73" width="35.5" style="7" customWidth="1"/>
    <col min="74" max="74" width="34.5" style="7" customWidth="1"/>
    <col min="75" max="75" width="38.25" style="7" customWidth="1"/>
    <col min="76" max="76" width="27.5" style="7" customWidth="1"/>
    <col min="77" max="77" width="37.25" style="7" customWidth="1"/>
    <col min="78" max="78" width="43.125" style="7" customWidth="1"/>
    <col min="79" max="79" width="40.875" style="7" customWidth="1"/>
    <col min="80" max="16384" width="9.125" style="7" customWidth="1"/>
  </cols>
  <sheetData>
    <row r="1" ht="12.75" customHeight="1" customFormat="1">
      <c r="A1" t="s">
        <v>80</v>
      </c>
      <c r="B1" t="s">
        <v>27</v>
      </c>
      <c r="C1" t="s">
        <v>40</v>
      </c>
      <c r="D1" t="s">
        <v>134</v>
      </c>
      <c r="E1" t="s">
        <v>124</v>
      </c>
      <c r="F1" t="s">
        <v>119</v>
      </c>
      <c r="G1" t="s">
        <v>53</v>
      </c>
      <c r="H1" t="s">
        <v>54</v>
      </c>
      <c r="I1" t="s">
        <v>2</v>
      </c>
      <c r="J1" t="s">
        <v>55</v>
      </c>
      <c r="K1" t="s">
        <v>135</v>
      </c>
      <c r="L1" t="s">
        <v>33</v>
      </c>
      <c r="M1" t="s">
        <v>82</v>
      </c>
      <c r="N1" t="s">
        <v>102</v>
      </c>
      <c r="O1" t="s">
        <v>19</v>
      </c>
      <c r="P1" t="s">
        <v>56</v>
      </c>
      <c r="Q1" t="s">
        <v>103</v>
      </c>
      <c r="R1" t="s">
        <v>20</v>
      </c>
      <c r="S1" t="s">
        <v>70</v>
      </c>
      <c r="T1" t="s">
        <v>4</v>
      </c>
      <c r="U1" t="s">
        <v>23</v>
      </c>
      <c r="V1" t="s">
        <v>5</v>
      </c>
      <c r="W1" t="s">
        <v>57</v>
      </c>
      <c r="X1" t="s">
        <v>58</v>
      </c>
      <c r="Y1" t="s">
        <v>126</v>
      </c>
      <c r="Z1" t="s">
        <v>136</v>
      </c>
      <c r="AA1" t="s">
        <v>62</v>
      </c>
      <c r="AB1" t="s">
        <v>63</v>
      </c>
      <c r="AC1" t="s">
        <v>104</v>
      </c>
      <c r="AD1" t="s">
        <v>105</v>
      </c>
      <c r="AE1" t="s">
        <v>83</v>
      </c>
      <c r="AF1" t="s">
        <v>44</v>
      </c>
      <c r="AG1" t="s">
        <v>127</v>
      </c>
      <c r="AH1" t="s">
        <v>72</v>
      </c>
      <c r="AI1" t="s">
        <v>106</v>
      </c>
      <c r="AJ1" t="s">
        <v>30</v>
      </c>
      <c r="AK1" t="s">
        <v>128</v>
      </c>
      <c r="AL1" t="s">
        <v>59</v>
      </c>
      <c r="AM1" t="s">
        <v>111</v>
      </c>
      <c r="AN1" t="s">
        <v>121</v>
      </c>
      <c r="AO1" t="s">
        <v>7</v>
      </c>
      <c r="AP1" t="s">
        <v>113</v>
      </c>
      <c r="AQ1" t="s">
        <v>86</v>
      </c>
      <c r="AR1" t="s">
        <v>130</v>
      </c>
      <c r="AS1" t="s">
        <v>12</v>
      </c>
      <c r="AT1" t="s">
        <v>64</v>
      </c>
      <c r="AU1" t="s">
        <v>74</v>
      </c>
      <c r="AV1" t="s">
        <v>35</v>
      </c>
      <c r="AW1" t="s">
        <v>96</v>
      </c>
      <c r="AX1" t="s">
        <v>87</v>
      </c>
      <c r="AY1" t="s">
        <v>47</v>
      </c>
      <c r="AZ1" t="s">
        <v>37</v>
      </c>
      <c r="BA1" t="s">
        <v>13</v>
      </c>
      <c r="BB1" t="s">
        <v>138</v>
      </c>
      <c r="BC1" t="s">
        <v>131</v>
      </c>
      <c r="BD1" t="s">
        <v>75</v>
      </c>
      <c r="BE1" t="s">
        <v>122</v>
      </c>
      <c r="BF1" t="s">
        <v>48</v>
      </c>
      <c r="BG1" t="s">
        <v>107</v>
      </c>
      <c r="BH1" t="s">
        <v>31</v>
      </c>
      <c r="BI1" t="s">
        <v>132</v>
      </c>
      <c r="BJ1" t="s">
        <v>38</v>
      </c>
      <c r="BK1" t="s">
        <v>49</v>
      </c>
      <c r="BL1" t="s">
        <v>97</v>
      </c>
      <c r="BM1" t="s">
        <v>133</v>
      </c>
      <c r="BN1" t="s">
        <v>14</v>
      </c>
      <c r="BO1" t="s">
        <v>39</v>
      </c>
      <c r="BP1" t="s">
        <v>50</v>
      </c>
      <c r="BQ1" t="s">
        <v>88</v>
      </c>
      <c r="BR1" t="s">
        <v>76</v>
      </c>
      <c r="BS1" t="s">
        <v>98</v>
      </c>
      <c r="BT1" t="s">
        <v>51</v>
      </c>
      <c r="BU1" t="s">
        <v>77</v>
      </c>
      <c r="BV1" t="s">
        <v>25</v>
      </c>
      <c r="BW1" t="s">
        <v>108</v>
      </c>
      <c r="BX1" t="s">
        <v>139</v>
      </c>
      <c r="BY1" t="s">
        <v>115</v>
      </c>
      <c r="BZ1" t="s">
        <v>116</v>
      </c>
      <c r="CA1" t="s">
        <v>60</v>
      </c>
    </row>
    <row r="2" s="7" customFormat="1">
      <c r="A2" s="8">
        <v>1</v>
      </c>
      <c r="B2" s="8" t="s">
        <v>15</v>
      </c>
      <c r="C2" s="5" t="s">
        <v>118</v>
      </c>
      <c r="D2" s="5" t="s">
        <v>32</v>
      </c>
      <c r="E2" s="5" t="s">
        <v>0</v>
      </c>
      <c r="F2" s="5" t="s">
        <v>18</v>
      </c>
      <c r="G2" s="5" t="s">
        <v>91</v>
      </c>
      <c r="H2" s="3" t="s">
        <v>1</v>
      </c>
      <c r="I2" s="2" t="s">
        <v>81</v>
      </c>
      <c r="J2" s="2" t="s">
        <v>125</v>
      </c>
      <c r="K2" s="1">
        <v>2801637</v>
      </c>
      <c r="L2" s="6" t="str">
        <f>"TEST_TAX_DLL"&amp;AW2</f>
        <v>TEST_TAX_DLL37</v>
      </c>
      <c r="M2" s="2" t="s">
        <v>101</v>
      </c>
      <c r="N2" s="2" t="s">
        <v>3</v>
      </c>
      <c r="O2" s="6" t="str">
        <f ca="1" t="shared" si="0" ref="O2:P4">TEXT(TODAY(),"yyyymmdd")</f>
        <v>20251022</v>
      </c>
      <c r="P2" s="6" t="str">
        <f ca="1" t="shared" si="0"/>
        <v>20251022</v>
      </c>
      <c r="Q2" s="2" t="s">
        <v>69</v>
      </c>
      <c r="R2" s="21">
        <v>21</v>
      </c>
      <c r="S2" s="2"/>
      <c r="T2" s="2" t="s">
        <v>29</v>
      </c>
      <c r="U2" s="2"/>
      <c r="V2" s="1" t="e">
        <f>"00000"&amp;[1]Output!A2</f>
        <v>#REF!</v>
      </c>
      <c r="W2" s="1" t="e">
        <f>"000"&amp;[1]Output!B2</f>
        <v>#REF!</v>
      </c>
      <c r="X2" s="18" t="e">
        <f t="shared" si="1" ref="X2:X4">CONCATENATE("Document Number ",V2," Workflow ID ",W2)</f>
        <v>#REF!</v>
      </c>
      <c r="Y2" s="2" t="s">
        <v>110</v>
      </c>
      <c r="Z2" s="3" t="s">
        <v>61</v>
      </c>
      <c r="AA2" s="6" t="str">
        <f t="shared" si="2" ref="AA2:AA4">L2</f>
        <v>TEST_TAX_DLL37</v>
      </c>
      <c r="AB2" s="3" t="s">
        <v>71</v>
      </c>
      <c r="AC2" s="3"/>
      <c r="AD2" s="4" t="s">
        <v>120</v>
      </c>
      <c r="AE2" s="4" t="s">
        <v>24</v>
      </c>
      <c r="AF2" s="4" t="s">
        <v>137</v>
      </c>
      <c r="AG2" s="2" t="s">
        <v>84</v>
      </c>
      <c r="AH2" s="9">
        <v>121</v>
      </c>
      <c r="AI2" s="9">
        <v>21</v>
      </c>
      <c r="AJ2" s="3" t="s">
        <v>93</v>
      </c>
      <c r="AK2" s="2" t="s">
        <v>94</v>
      </c>
      <c r="AL2" s="3" t="s">
        <v>85</v>
      </c>
      <c r="AM2" s="2" t="s">
        <v>112</v>
      </c>
      <c r="AN2" s="2" t="s">
        <v>45</v>
      </c>
      <c r="AO2" s="2" t="s">
        <v>84</v>
      </c>
      <c r="AP2" s="20">
        <v>100</v>
      </c>
      <c r="AQ2" s="2"/>
      <c r="AR2" s="4" t="s">
        <v>46</v>
      </c>
      <c r="AS2" s="4" t="s">
        <v>120</v>
      </c>
      <c r="AT2" s="4" t="s">
        <v>24</v>
      </c>
      <c r="AU2" s="4" t="s">
        <v>95</v>
      </c>
      <c r="AV2" s="2" t="s">
        <v>36</v>
      </c>
      <c r="AW2" s="1">
        <v>37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2"/>
    </row>
    <row r="3" s="7" customFormat="1">
      <c r="A3" s="8">
        <v>2</v>
      </c>
      <c r="B3" s="8" t="s">
        <v>99</v>
      </c>
      <c r="C3" s="5" t="s">
        <v>118</v>
      </c>
      <c r="D3" s="5" t="s">
        <v>32</v>
      </c>
      <c r="E3" s="5" t="s">
        <v>41</v>
      </c>
      <c r="F3" s="5" t="s">
        <v>68</v>
      </c>
      <c r="G3" s="5" t="s">
        <v>91</v>
      </c>
      <c r="H3" s="3" t="s">
        <v>1</v>
      </c>
      <c r="I3" s="2" t="s">
        <v>81</v>
      </c>
      <c r="J3" s="2" t="s">
        <v>125</v>
      </c>
      <c r="K3" s="1">
        <v>31086263</v>
      </c>
      <c r="L3" s="6" t="str">
        <f>"TEST_TAX_AB"&amp;AW3</f>
        <v>TEST_TAX_AB142</v>
      </c>
      <c r="M3" s="2" t="s">
        <v>101</v>
      </c>
      <c r="N3" s="2" t="s">
        <v>92</v>
      </c>
      <c r="O3" s="6" t="str">
        <f ca="1" t="shared" si="0"/>
        <v>20251022</v>
      </c>
      <c r="P3" s="6" t="str">
        <f ca="1" t="shared" si="0"/>
        <v>20251022</v>
      </c>
      <c r="Q3" s="2" t="s">
        <v>109</v>
      </c>
      <c r="R3" s="21" t="str">
        <f t="shared" si="3" ref="R3:R4">"96,77"</f>
        <v>96,77</v>
      </c>
      <c r="S3" s="2"/>
      <c r="T3" s="2" t="s">
        <v>21</v>
      </c>
      <c r="U3" s="2"/>
      <c r="V3" s="1" t="e">
        <f>"00000"&amp;[1]Output!A3</f>
        <v>#REF!</v>
      </c>
      <c r="W3" s="1" t="e">
        <f>"000"&amp;[1]Output!B3</f>
        <v>#REF!</v>
      </c>
      <c r="X3" s="18" t="e">
        <f t="shared" si="1"/>
        <v>#REF!</v>
      </c>
      <c r="Y3" s="2" t="s">
        <v>110</v>
      </c>
      <c r="Z3" s="3" t="s">
        <v>61</v>
      </c>
      <c r="AA3" s="6" t="str">
        <f t="shared" si="2"/>
        <v>TEST_TAX_AB142</v>
      </c>
      <c r="AB3" s="3" t="s">
        <v>71</v>
      </c>
      <c r="AC3" s="3"/>
      <c r="AD3" s="4" t="s">
        <v>43</v>
      </c>
      <c r="AE3" s="4" t="s">
        <v>24</v>
      </c>
      <c r="AF3" s="4" t="s">
        <v>137</v>
      </c>
      <c r="AG3" s="2" t="s">
        <v>84</v>
      </c>
      <c r="AH3" s="9">
        <v>500</v>
      </c>
      <c r="AI3" s="9" t="s">
        <v>10</v>
      </c>
      <c r="AJ3" s="3" t="s">
        <v>93</v>
      </c>
      <c r="AK3" s="2" t="s">
        <v>94</v>
      </c>
      <c r="AL3" s="3" t="s">
        <v>21</v>
      </c>
      <c r="AM3" s="2" t="s">
        <v>73</v>
      </c>
      <c r="AN3" s="2" t="s">
        <v>34</v>
      </c>
      <c r="AO3" s="2" t="s">
        <v>129</v>
      </c>
      <c r="AP3" s="9" t="s">
        <v>8</v>
      </c>
      <c r="AQ3" s="2"/>
      <c r="AR3" s="4" t="s">
        <v>46</v>
      </c>
      <c r="AS3" s="4" t="s">
        <v>43</v>
      </c>
      <c r="AT3" s="4" t="s">
        <v>24</v>
      </c>
      <c r="AU3" s="4" t="s">
        <v>95</v>
      </c>
      <c r="AV3" s="2" t="s">
        <v>36</v>
      </c>
      <c r="AW3" s="1">
        <v>142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2"/>
    </row>
    <row r="4" s="7" customFormat="1">
      <c r="A4" s="8">
        <v>3</v>
      </c>
      <c r="B4" s="8" t="s">
        <v>89</v>
      </c>
      <c r="C4" s="5" t="s">
        <v>118</v>
      </c>
      <c r="D4" s="5" t="s">
        <v>32</v>
      </c>
      <c r="E4" s="5" t="s">
        <v>90</v>
      </c>
      <c r="F4" s="5" t="s">
        <v>9</v>
      </c>
      <c r="G4" s="5" t="s">
        <v>91</v>
      </c>
      <c r="H4" s="3" t="s">
        <v>1</v>
      </c>
      <c r="I4" s="2" t="s">
        <v>81</v>
      </c>
      <c r="J4" s="2" t="s">
        <v>125</v>
      </c>
      <c r="K4" s="1">
        <v>49308844</v>
      </c>
      <c r="L4" s="6" t="str">
        <f>"TEST_TAX_MI"&amp;AW4</f>
        <v>TEST_TAX_MI142</v>
      </c>
      <c r="M4" s="2" t="s">
        <v>101</v>
      </c>
      <c r="N4" s="2" t="s">
        <v>42</v>
      </c>
      <c r="O4" s="6" t="str">
        <f ca="1" t="shared" si="0"/>
        <v>20251022</v>
      </c>
      <c r="P4" s="6" t="str">
        <f ca="1" t="shared" si="0"/>
        <v>20251022</v>
      </c>
      <c r="Q4" s="2" t="s">
        <v>109</v>
      </c>
      <c r="R4" s="21" t="str">
        <f t="shared" si="3"/>
        <v>96,77</v>
      </c>
      <c r="S4" s="2"/>
      <c r="T4" s="2" t="s">
        <v>22</v>
      </c>
      <c r="U4" s="2"/>
      <c r="V4" s="1" t="e">
        <f>"00000"&amp;[1]Output!A4</f>
        <v>#REF!</v>
      </c>
      <c r="W4" s="1" t="e">
        <f>"000"&amp;[1]Output!B4</f>
        <v>#REF!</v>
      </c>
      <c r="X4" s="18" t="e">
        <f t="shared" si="1"/>
        <v>#REF!</v>
      </c>
      <c r="Y4" s="2" t="s">
        <v>110</v>
      </c>
      <c r="Z4" s="3" t="s">
        <v>61</v>
      </c>
      <c r="AA4" s="6" t="str">
        <f t="shared" si="2"/>
        <v>TEST_TAX_MI142</v>
      </c>
      <c r="AB4" s="3" t="s">
        <v>71</v>
      </c>
      <c r="AC4" s="1">
        <v>13</v>
      </c>
      <c r="AD4" s="4" t="s">
        <v>120</v>
      </c>
      <c r="AE4" s="4" t="s">
        <v>24</v>
      </c>
      <c r="AF4" s="4" t="s">
        <v>137</v>
      </c>
      <c r="AG4" s="2" t="s">
        <v>84</v>
      </c>
      <c r="AH4" s="9">
        <v>500</v>
      </c>
      <c r="AI4" s="9" t="s">
        <v>10</v>
      </c>
      <c r="AJ4" s="3" t="s">
        <v>93</v>
      </c>
      <c r="AK4" s="2" t="s">
        <v>94</v>
      </c>
      <c r="AL4" s="3" t="s">
        <v>22</v>
      </c>
      <c r="AM4" s="2" t="s">
        <v>73</v>
      </c>
      <c r="AN4" s="2" t="s">
        <v>6</v>
      </c>
      <c r="AO4" s="2" t="s">
        <v>11</v>
      </c>
      <c r="AP4" s="16" t="s">
        <v>114</v>
      </c>
      <c r="AQ4" s="23" t="str">
        <f ca="1">TEXT(TODAY(),"dd.mm.yyyy")</f>
        <v>22.10.2025</v>
      </c>
      <c r="AR4" s="4" t="s">
        <v>46</v>
      </c>
      <c r="AS4" s="4" t="s">
        <v>43</v>
      </c>
      <c r="AT4" s="4" t="s">
        <v>24</v>
      </c>
      <c r="AU4" s="4" t="s">
        <v>95</v>
      </c>
      <c r="AV4" s="2" t="s">
        <v>36</v>
      </c>
      <c r="AW4" s="1">
        <v>142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2"/>
    </row>
    <row r="5" s="7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>
        <v>6200932</v>
      </c>
      <c r="L5" s="1"/>
      <c r="M5" s="1"/>
      <c r="N5" s="1"/>
      <c r="O5" s="1"/>
      <c r="P5" s="11"/>
      <c r="Q5" s="3"/>
      <c r="R5" s="17">
        <v>0</v>
      </c>
      <c r="S5" s="1"/>
      <c r="T5" s="2" t="s">
        <v>22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2"/>
    </row>
    <row r="6" s="7" customFormat="1">
      <c r="A6" s="1"/>
      <c r="B6" s="1"/>
      <c r="C6" s="1"/>
      <c r="D6" s="1"/>
      <c r="E6" s="1"/>
      <c r="F6" s="1"/>
      <c r="G6" s="1"/>
      <c r="H6" s="1"/>
      <c r="I6" s="1"/>
      <c r="J6" s="1"/>
      <c r="K6" s="22">
        <v>49313711</v>
      </c>
      <c r="L6" s="1"/>
      <c r="M6" s="1"/>
      <c r="N6" s="1"/>
      <c r="O6" s="1"/>
      <c r="P6" s="1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2"/>
    </row>
    <row r="7" s="7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3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2"/>
    </row>
    <row r="8" s="7" customFormat="1">
      <c r="A8" s="1"/>
      <c r="B8" s="15" t="s">
        <v>123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2"/>
    </row>
    <row r="9" s="7" customFormat="1">
      <c r="A9" s="1"/>
      <c r="B9" s="24" t="s">
        <v>52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2"/>
    </row>
    <row r="10" s="7" customFormat="1">
      <c r="A10" s="1"/>
      <c r="B10" s="28" t="s">
        <v>117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2"/>
    </row>
    <row r="11" s="7" customFormat="1">
      <c r="A11" s="1"/>
      <c r="B11" s="26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2"/>
    </row>
    <row r="12" s="7" customFormat="1">
      <c r="A12" s="1"/>
      <c r="B12" s="25" t="s">
        <v>65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1"/>
      <c r="Q12" s="1"/>
      <c r="R12" s="1"/>
      <c r="S12" s="1"/>
      <c r="T12" s="1"/>
      <c r="U12" s="1"/>
      <c r="V12" s="1"/>
      <c r="W12" s="1"/>
      <c r="X12" s="1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2"/>
    </row>
    <row r="13" s="7" customFormat="1">
      <c r="A13" s="1"/>
      <c r="B13" s="29" t="s">
        <v>100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2"/>
    </row>
    <row r="14" s="7" customFormat="1">
      <c r="A14" s="1"/>
      <c r="B14" s="8" t="s">
        <v>66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2"/>
    </row>
    <row r="15" s="7" customFormat="1">
      <c r="A15" s="1"/>
      <c r="B15" s="14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2"/>
    </row>
    <row r="16" s="7" customFormat="1">
      <c r="A16" s="1"/>
      <c r="B16" s="27" t="s">
        <v>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2"/>
    </row>
    <row r="17" s="7" customFormat="1">
      <c r="A17" s="1"/>
      <c r="B17" s="13" t="s">
        <v>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2"/>
    </row>
    <row r="18" s="7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2"/>
    </row>
    <row r="19" s="7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2"/>
    </row>
    <row r="20" s="7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2"/>
    </row>
    <row r="21" s="7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2"/>
    </row>
    <row r="22" s="7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50.75" style="7" customWidth="1"/>
    <col min="2" max="16384" width="9.125" style="7" customWidth="1"/>
  </cols>
  <sheetData>
    <row r="1" ht="12.75" customHeight="1" customFormat="1">
      <c r="A1" t="s">
        <v>26</v>
      </c>
      <c r="B1" t="s">
        <v>78</v>
      </c>
      <c r="C1" t="s">
        <v>79</v>
      </c>
    </row>
    <row r="2">
      <c r="A2" s="1"/>
      <c r="B2" s="1"/>
      <c r="C2" s="12"/>
    </row>
    <row r="3">
      <c r="A3" s="1">
        <v>49321654</v>
      </c>
      <c r="B3" s="1"/>
      <c r="C3" s="12"/>
    </row>
    <row r="4">
      <c r="A4" s="1">
        <v>49321769</v>
      </c>
      <c r="B4" s="1">
        <v>306507354</v>
      </c>
      <c r="C4" s="12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