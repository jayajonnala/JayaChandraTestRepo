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TC0_RunTimeResultFolder" sheetId="2" r:id="rId2"/>
    <sheet name="TC1_Test_GL0002" sheetId="3" r:id="rId3"/>
    <sheet name="TC2_Test_GL0003" sheetId="4" r:id="rId4"/>
    <sheet name="TC3_Test_GL0005" sheetId="5" r:id="rId5"/>
    <sheet name="TC4_Test_GL0013" sheetId="6" r:id="rId6"/>
    <sheet name="TC5_Test_GL0014" sheetId="7" r:id="rId7"/>
    <sheet name="TC6_Test_GL0015" sheetId="8" r:id="rId8"/>
    <sheet name="TC7_Test_GL0016" sheetId="9" r:id="rId9"/>
    <sheet name="TC8_Test_GL0028" sheetId="10" r:id="rId10"/>
    <sheet name="TC9_Test_GL0031" sheetId="11" r:id="rId11"/>
    <sheet name="TC10_Test_GL0033" sheetId="12" r:id="rId12"/>
    <sheet name="TC11_Test_GL0034" sheetId="13" r:id="rId13"/>
    <sheet name="TC12_Test_GL0036" sheetId="14" r:id="rId14"/>
    <sheet name="TC13_Test_GL0039" sheetId="15" r:id="rId15"/>
    <sheet name="TC14_Test_GL0040" sheetId="16" r:id="rId16"/>
    <sheet name="TC15_Test_GL0045" sheetId="17" r:id="rId17"/>
    <sheet name="TC16_Test_GL0046" sheetId="18" r:id="rId18"/>
  </sheets>
  <externalReferences>
    <externalReference r:id="rId22"/>
  </externalReferences>
  <calcPr calcId="40001"/>
</workbook>
</file>

<file path=xl/sharedStrings.xml><?xml version="1.0" encoding="utf-8"?>
<sst xmlns="http://schemas.openxmlformats.org/spreadsheetml/2006/main" uniqueCount="75">
  <si>
    <t>LEGEND</t>
  </si>
  <si>
    <t>5444c866005c702c85155ea76730f8de9876abf14f46</t>
  </si>
  <si>
    <t/>
  </si>
  <si>
    <t>DT_SAPTRANSACTIONCODE</t>
  </si>
  <si>
    <t>DT_VALUE</t>
  </si>
  <si>
    <t>DT_ROW_EXRT</t>
  </si>
  <si>
    <t>F</t>
  </si>
  <si>
    <t>RSD</t>
  </si>
  <si>
    <t>Data Coming from another test</t>
  </si>
  <si>
    <t>Scenario</t>
  </si>
  <si>
    <t>Output Data</t>
  </si>
  <si>
    <t>Choose a valid function</t>
  </si>
  <si>
    <t>DT_TCURMNT_100_OKCD</t>
  </si>
  <si>
    <t>OB08</t>
  </si>
  <si>
    <t>DT_DESIRED_DATE</t>
  </si>
  <si>
    <t>DT_ROW_INDEX</t>
  </si>
  <si>
    <t>Formulas</t>
  </si>
  <si>
    <t>200</t>
  </si>
  <si>
    <t>DT_DESIRED_FROM_CURRENCY_OCC1</t>
  </si>
  <si>
    <t>DT_DESIRED_TO_CURRENCY</t>
  </si>
  <si>
    <t>DT_EXPECTED_FROM_CURRENCY_OCC1</t>
  </si>
  <si>
    <t>DT_SAPSYSTEM</t>
  </si>
  <si>
    <t>Data saved. 4 currency exchange rates updated</t>
  </si>
  <si>
    <t>DT_ROW_OUTPUT_2</t>
  </si>
  <si>
    <t>Input Data</t>
  </si>
  <si>
    <t>DT_SAPLANGUAGE</t>
  </si>
  <si>
    <t>DT_SAPOPTIONS</t>
  </si>
  <si>
    <t>TCURMNT</t>
  </si>
  <si>
    <t>DT_EXCH_RATE_USD</t>
  </si>
  <si>
    <t>F_RON</t>
  </si>
  <si>
    <t>DT_EXPECTED_CURRENCY_RATE_OCC1</t>
  </si>
  <si>
    <t>DT_EXCH_RATE_EUR</t>
  </si>
  <si>
    <t>Verifications</t>
  </si>
  <si>
    <t>Execution Control Data</t>
  </si>
  <si>
    <t>DT_EXCH_RATE_GBP</t>
  </si>
  <si>
    <t>DT_DESIRED_FROM_CURRENCY_OCC2</t>
  </si>
  <si>
    <t>DT_EXPECTED_VALID_DATE</t>
  </si>
  <si>
    <t>DT_EXPECTED_FROM_CURRENCY_OCC2</t>
  </si>
  <si>
    <t>Row_Number</t>
  </si>
  <si>
    <t>DT_TCURMNT_100_SAPMCURRTC_WORKSETS</t>
  </si>
  <si>
    <t>DT_WORKLIST_NAME</t>
  </si>
  <si>
    <t>DT_DESIRED_FROM_CURRENCY</t>
  </si>
  <si>
    <t>USD</t>
  </si>
  <si>
    <t>RON</t>
  </si>
  <si>
    <t>AUTOFICO</t>
  </si>
  <si>
    <t>EN</t>
  </si>
  <si>
    <t>DT_EXPECTEDTRANSACTIONCODE_OCC2</t>
  </si>
  <si>
    <t>/nob08</t>
  </si>
  <si>
    <t>EUR</t>
  </si>
  <si>
    <t>DT_EXPECTED_CURRENCY_RATE</t>
  </si>
  <si>
    <t>DT_EXPECTED_CURRENCY_RATE_OCC2</t>
  </si>
  <si>
    <t>DT_EXPECTEDTRANSACTIONCODE</t>
  </si>
  <si>
    <t>GBP</t>
  </si>
  <si>
    <t>DT_EXPECTED_FROM_CURRENCY</t>
  </si>
  <si>
    <t>ROW_NO_OUTPUT</t>
  </si>
  <si>
    <t>Test</t>
  </si>
  <si>
    <t>DT_DESIRED_FROM_CURRENCY_OCC3</t>
  </si>
  <si>
    <t>DT_EXPECTED_FROM_CURRENCY_OCC3</t>
  </si>
  <si>
    <t>DT_EXPECTED_TO_CURRENCY</t>
  </si>
  <si>
    <t>R1E - SAP RETAIL Pre-Production EUROPE</t>
  </si>
  <si>
    <t>Fixed Data</t>
  </si>
  <si>
    <t>DT_SAPPASSWORD</t>
  </si>
  <si>
    <t>DT_TCURMNT_200_VALID_FROM</t>
  </si>
  <si>
    <t>DT_DESIRED_EXCHANGE_TYPE</t>
  </si>
  <si>
    <t>Login Information</t>
  </si>
  <si>
    <t>DT_SAPUSER</t>
  </si>
  <si>
    <t>DT_EXCH_RATE_RSD</t>
  </si>
  <si>
    <t>DT_EXPECTEDTRANSACTIONCODE_OCC3</t>
  </si>
  <si>
    <t>DT_EXPECTED_CURRENCY_RATE_OCC3</t>
  </si>
  <si>
    <t>DT_SAPCLIENT</t>
  </si>
  <si>
    <t>True</t>
  </si>
  <si>
    <t>DT_TCURMNT_100_CHECK_TEXT_OF_STATUSBAR</t>
  </si>
  <si>
    <t>DT_EXPECTED_EXCHANGE_TYPE</t>
  </si>
  <si>
    <t>ROW_NO</t>
  </si>
  <si>
    <t xml:space="preserve">        Entry 5.808 of 219.968</t>
  </si>
</sst>
</file>

<file path=xl/styles.xml><?xml version="1.0" encoding="utf-8"?>
<styleSheet xmlns="http://schemas.openxmlformats.org/spreadsheetml/2006/main">
  <numFmts count="1">
    <numFmt numFmtId="164" formatCode="dd\.mm\.yyyy"/>
  </numFmts>
  <fonts count="23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name val="Mic Shell Dlg"/>
      <charset val="1"/>
    </font>
    <font>
      <sz val="11"/>
      <color indexed="12"/>
      <name val="Mic Shell Dlg"/>
      <charset val="1"/>
    </font>
    <font>
      <sz val="11"/>
      <color rgb="FF80000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3" borderId="1" xfId="0" applyFon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2" fillId="3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ill="1" applyBorder="1" applyProtection="1">
      <protection locked="0"/>
    </xf>
    <xf numFmtId="0" fontId="1" fillId="0" borderId="2" xfId="0" applyBorder="1" applyProtection="1">
      <protection locked="0"/>
    </xf>
    <xf numFmtId="164" fontId="1" fillId="5" borderId="1" xfId="0" applyNumberForma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5" fillId="0" borderId="1" xfId="0" applyFont="1" applyBorder="1" applyProtection="1">
      <protection locked="0"/>
    </xf>
    <xf numFmtId="0" fontId="1" fillId="4" borderId="1" xfId="0" applyFill="1" applyBorder="1" applyProtection="1">
      <protection locked="0"/>
    </xf>
    <xf numFmtId="49" fontId="1" fillId="8" borderId="1" xfId="0" applyNumberForma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164" fontId="1" fillId="9" borderId="1" xfId="0" applyNumberFormat="1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0" fontId="1" fillId="10" borderId="1" xfId="0" applyFill="1" applyBorder="1" applyProtection="1">
      <protection locked="0"/>
    </xf>
    <xf numFmtId="0" fontId="4" fillId="0" borderId="1" xfId="0" applyFont="1" applyFill="1" applyBorder="1" applyProtection="1">
      <protection locked="0"/>
    </xf>
    <xf numFmtId="0" fontId="6" fillId="5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2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22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FICO\TASE_DT_GL0046_Maintain_Exhange_Rates_type_F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R19"/>
  <sheetViews>
    <sheetView workbookViewId="0">
      <pane xSplit="1" ySplit="0" topLeftCell="AB2" activePane="topRight"/>
      <selection activeCell="AB2" sqref="AB2"/>
      <selection pane="topRight" activeCell="AB2" sqref="AB2"/>
    </sheetView>
  </sheetViews>
  <sheetFormatPr defaultColWidth="9.125" defaultRowHeight="14.25"/>
  <cols>
    <col min="1" max="1" width="12.5" style="10" customWidth="1"/>
    <col min="2" max="2" width="9.125" style="10" customWidth="1"/>
    <col min="3" max="3" width="38.125" style="10" customWidth="1"/>
    <col min="4" max="4" width="15" style="10" customWidth="1"/>
    <col min="5" max="5" width="13.625" style="10" customWidth="1"/>
    <col min="6" max="6" width="48.5" style="10" customWidth="1"/>
    <col min="7" max="7" width="18.625" style="10" customWidth="1"/>
    <col min="8" max="8" width="16.75" style="10" customWidth="1"/>
    <col min="9" max="9" width="27.125" style="10" customWidth="1"/>
    <col min="10" max="10" width="33.375" style="10" customWidth="1"/>
    <col min="11" max="11" width="43.75" style="10" customWidth="1"/>
    <col min="12" max="12" width="30.75" style="10" customWidth="1"/>
    <col min="13" max="13" width="20.75" style="10" customWidth="1"/>
    <col min="14" max="14" width="20.625" style="10" customWidth="1"/>
    <col min="15" max="16" width="20.75" style="10" customWidth="1"/>
    <col min="17" max="17" width="47.125" style="10" customWidth="1"/>
    <col min="18" max="18" width="39.25" style="10" customWidth="1"/>
    <col min="19" max="19" width="24.125" style="10" customWidth="1"/>
    <col min="20" max="20" width="39.25" style="10" customWidth="1"/>
    <col min="21" max="22" width="30.25" style="10" customWidth="1"/>
    <col min="23" max="23" width="30.875" style="10" customWidth="1"/>
    <col min="24" max="24" width="37.875" style="10" customWidth="1"/>
    <col min="25" max="25" width="38.375" style="10" customWidth="1"/>
    <col min="26" max="26" width="37.875" style="10" customWidth="1"/>
    <col min="27" max="27" width="28.125" style="10" customWidth="1"/>
    <col min="28" max="28" width="19.125" style="10" customWidth="1"/>
    <col min="29" max="29" width="31.875" style="10" customWidth="1"/>
    <col min="30" max="30" width="27.125" style="10" customWidth="1"/>
    <col min="31" max="31" width="32.5" style="10" customWidth="1"/>
    <col min="32" max="34" width="41" style="10" customWidth="1"/>
    <col min="35" max="35" width="32.25" style="10" customWidth="1"/>
    <col min="36" max="36" width="39.125" style="10" customWidth="1"/>
    <col min="37" max="37" width="38.875" style="10" customWidth="1"/>
    <col min="38" max="38" width="39" style="10" customWidth="1"/>
    <col min="39" max="39" width="29.75" style="10" customWidth="1"/>
    <col min="40" max="40" width="15.75" style="15" customWidth="1"/>
    <col min="41" max="41" width="9.125" style="10" customWidth="1"/>
    <col min="42" max="42" width="18.125" style="10" customWidth="1"/>
    <col min="43" max="43" width="18.875" style="10" customWidth="1"/>
    <col min="44" max="44" width="16.375" style="10" customWidth="1"/>
    <col min="45" max="16384" width="9.125" style="10" customWidth="1"/>
  </cols>
  <sheetData>
    <row r="1" ht="12.75" customHeight="1" customFormat="1">
      <c r="A1" t="s">
        <v>38</v>
      </c>
      <c r="B1" t="s">
        <v>9</v>
      </c>
      <c r="C1" t="s">
        <v>21</v>
      </c>
      <c r="D1" t="s">
        <v>69</v>
      </c>
      <c r="E1" t="s">
        <v>65</v>
      </c>
      <c r="F1" t="s">
        <v>61</v>
      </c>
      <c r="G1" t="s">
        <v>25</v>
      </c>
      <c r="H1" t="s">
        <v>26</v>
      </c>
      <c r="I1" t="s">
        <v>3</v>
      </c>
      <c r="J1" t="s">
        <v>51</v>
      </c>
      <c r="K1" t="s">
        <v>39</v>
      </c>
      <c r="L1" t="s">
        <v>62</v>
      </c>
      <c r="M1" t="s">
        <v>31</v>
      </c>
      <c r="N1" t="s">
        <v>34</v>
      </c>
      <c r="O1" t="s">
        <v>66</v>
      </c>
      <c r="P1" t="s">
        <v>28</v>
      </c>
      <c r="Q1" t="s">
        <v>71</v>
      </c>
      <c r="R1" t="s">
        <v>46</v>
      </c>
      <c r="S1" t="s">
        <v>12</v>
      </c>
      <c r="T1" t="s">
        <v>67</v>
      </c>
      <c r="U1" t="s">
        <v>63</v>
      </c>
      <c r="V1" t="s">
        <v>40</v>
      </c>
      <c r="W1" t="s">
        <v>41</v>
      </c>
      <c r="X1" t="s">
        <v>18</v>
      </c>
      <c r="Y1" t="s">
        <v>35</v>
      </c>
      <c r="Z1" t="s">
        <v>56</v>
      </c>
      <c r="AA1" t="s">
        <v>19</v>
      </c>
      <c r="AB1" t="s">
        <v>14</v>
      </c>
      <c r="AC1" t="s">
        <v>72</v>
      </c>
      <c r="AD1" t="s">
        <v>36</v>
      </c>
      <c r="AE1" t="s">
        <v>53</v>
      </c>
      <c r="AF1" t="s">
        <v>20</v>
      </c>
      <c r="AG1" t="s">
        <v>37</v>
      </c>
      <c r="AH1" t="s">
        <v>57</v>
      </c>
      <c r="AI1" t="s">
        <v>49</v>
      </c>
      <c r="AJ1" t="s">
        <v>30</v>
      </c>
      <c r="AK1" t="s">
        <v>50</v>
      </c>
      <c r="AL1" t="s">
        <v>68</v>
      </c>
      <c r="AM1" t="s">
        <v>58</v>
      </c>
      <c r="AN1" t="s">
        <v>15</v>
      </c>
      <c r="AO1" t="s">
        <v>73</v>
      </c>
      <c r="AP1" t="s">
        <v>54</v>
      </c>
      <c r="AQ1" t="s">
        <v>4</v>
      </c>
      <c r="AR1" t="s">
        <v>5</v>
      </c>
    </row>
    <row r="2" s="10" customFormat="1">
      <c r="A2" s="1">
        <v>1</v>
      </c>
      <c r="B2" s="1" t="s">
        <v>55</v>
      </c>
      <c r="C2" s="3" t="s">
        <v>59</v>
      </c>
      <c r="D2" s="3" t="s">
        <v>17</v>
      </c>
      <c r="E2" s="3" t="s">
        <v>44</v>
      </c>
      <c r="F2" s="3" t="s">
        <v>1</v>
      </c>
      <c r="G2" s="3" t="s">
        <v>45</v>
      </c>
      <c r="H2" s="3" t="s">
        <v>2</v>
      </c>
      <c r="I2" s="4" t="s">
        <v>27</v>
      </c>
      <c r="J2" s="4" t="s">
        <v>27</v>
      </c>
      <c r="K2" s="4" t="s">
        <v>70</v>
      </c>
      <c r="L2" s="13">
        <f ca="1">TODAY()+1</f>
        <v>45644</v>
      </c>
      <c r="M2" s="8" t="str">
        <f>"4,51580"</f>
        <v>4,51580</v>
      </c>
      <c r="N2" s="8" t="str">
        <f t="shared" si="0" ref="N2:N4">"5,68790"</f>
        <v>5,68790</v>
      </c>
      <c r="O2" s="8" t="str">
        <f t="shared" si="1" ref="O2:O4">"0,03670"</f>
        <v>0,03670</v>
      </c>
      <c r="P2" s="8" t="str">
        <f t="shared" si="2" ref="P2:P4">"3,86970"</f>
        <v>3,86970</v>
      </c>
      <c r="Q2" s="5" t="s">
        <v>22</v>
      </c>
      <c r="R2" s="4" t="s">
        <v>27</v>
      </c>
      <c r="S2" s="4" t="s">
        <v>47</v>
      </c>
      <c r="T2" s="4" t="s">
        <v>13</v>
      </c>
      <c r="U2" s="11" t="s">
        <v>6</v>
      </c>
      <c r="V2" s="18" t="s">
        <v>29</v>
      </c>
      <c r="W2" s="6" t="s">
        <v>48</v>
      </c>
      <c r="X2" s="6" t="s">
        <v>52</v>
      </c>
      <c r="Y2" s="6" t="s">
        <v>7</v>
      </c>
      <c r="Z2" s="6" t="s">
        <v>42</v>
      </c>
      <c r="AA2" s="22" t="s">
        <v>43</v>
      </c>
      <c r="AB2" s="21">
        <f ca="1">L2</f>
        <v>45644</v>
      </c>
      <c r="AC2" s="5" t="str">
        <f t="shared" si="3" ref="AC2:AC5">U2</f>
        <v>F</v>
      </c>
      <c r="AD2" s="19">
        <f ca="1" t="shared" si="4" ref="AD2:AD3">AB2</f>
        <v>45644</v>
      </c>
      <c r="AE2" s="5" t="s">
        <v>48</v>
      </c>
      <c r="AF2" s="5" t="s">
        <v>52</v>
      </c>
      <c r="AG2" s="5" t="s">
        <v>7</v>
      </c>
      <c r="AH2" s="5" t="s">
        <v>42</v>
      </c>
      <c r="AI2" s="5" t="str">
        <f>"4,51580"</f>
        <v>4,51580</v>
      </c>
      <c r="AJ2" s="9" t="str">
        <f t="shared" si="5" ref="AJ2:AL2">N2</f>
        <v>5,68790</v>
      </c>
      <c r="AK2" s="9" t="str">
        <f t="shared" si="5"/>
        <v>0,03670</v>
      </c>
      <c r="AL2" s="9" t="str">
        <f t="shared" si="5"/>
        <v>3,86970</v>
      </c>
      <c r="AM2" s="5" t="str">
        <f t="shared" si="6" ref="AM2:AM5">AA2</f>
        <v>RON</v>
      </c>
      <c r="AN2" s="24">
        <v>1</v>
      </c>
      <c r="AO2" s="1" t="e">
        <f>[1]Output!C2</f>
        <v>#REF!</v>
      </c>
      <c r="AP2" s="1">
        <v>0</v>
      </c>
      <c r="AQ2" s="1"/>
      <c r="AR2" s="12"/>
    </row>
    <row r="3" s="10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3">
        <f ca="1">TODAY()-1</f>
        <v>45642</v>
      </c>
      <c r="M3" s="8" t="str">
        <f>"4,48750"</f>
        <v>4,48750</v>
      </c>
      <c r="N3" s="8" t="str">
        <f t="shared" si="0"/>
        <v>5,68790</v>
      </c>
      <c r="O3" s="8" t="str">
        <f t="shared" si="1"/>
        <v>0,03670</v>
      </c>
      <c r="P3" s="8" t="str">
        <f t="shared" si="2"/>
        <v>3,86970</v>
      </c>
      <c r="Q3" s="5" t="s">
        <v>11</v>
      </c>
      <c r="R3" s="1"/>
      <c r="S3" s="1"/>
      <c r="T3" s="1"/>
      <c r="U3" s="11" t="s">
        <v>6</v>
      </c>
      <c r="V3" s="18" t="s">
        <v>29</v>
      </c>
      <c r="W3" s="6" t="s">
        <v>52</v>
      </c>
      <c r="X3" s="1"/>
      <c r="Y3" s="1"/>
      <c r="Z3" s="1"/>
      <c r="AA3" s="22" t="s">
        <v>43</v>
      </c>
      <c r="AB3" s="21">
        <f ca="1">L2</f>
        <v>45644</v>
      </c>
      <c r="AC3" s="5" t="str">
        <f t="shared" si="3"/>
        <v>F</v>
      </c>
      <c r="AD3" s="19">
        <f ca="1" t="shared" si="4"/>
        <v>45644</v>
      </c>
      <c r="AE3" s="5" t="s">
        <v>52</v>
      </c>
      <c r="AF3" s="5"/>
      <c r="AG3" s="5"/>
      <c r="AH3" s="5"/>
      <c r="AI3" s="9" t="str">
        <f>N2</f>
        <v>5,68790</v>
      </c>
      <c r="AJ3" s="9"/>
      <c r="AK3" s="9"/>
      <c r="AL3" s="9"/>
      <c r="AM3" s="5" t="str">
        <f t="shared" si="6"/>
        <v>RON</v>
      </c>
      <c r="AN3" s="24"/>
      <c r="AO3" s="1" t="e">
        <f>[1]Output!C3</f>
        <v>#REF!</v>
      </c>
      <c r="AP3" s="1"/>
      <c r="AQ3" s="1"/>
      <c r="AR3" s="12"/>
    </row>
    <row r="4" s="10" customFormat="1">
      <c r="A4" s="1"/>
      <c r="B4" s="1"/>
      <c r="C4" s="3" t="s">
        <v>59</v>
      </c>
      <c r="D4" s="3" t="s">
        <v>17</v>
      </c>
      <c r="E4" s="3" t="s">
        <v>44</v>
      </c>
      <c r="F4" s="3" t="s">
        <v>1</v>
      </c>
      <c r="G4" s="3" t="s">
        <v>45</v>
      </c>
      <c r="H4" s="3" t="s">
        <v>2</v>
      </c>
      <c r="I4" s="4" t="s">
        <v>27</v>
      </c>
      <c r="J4" s="4" t="s">
        <v>27</v>
      </c>
      <c r="K4" s="4" t="s">
        <v>70</v>
      </c>
      <c r="L4" s="13">
        <f ca="1">TODAY()+1</f>
        <v>45644</v>
      </c>
      <c r="M4" s="8" t="str">
        <f>"4,51580"</f>
        <v>4,51580</v>
      </c>
      <c r="N4" s="8" t="str">
        <f t="shared" si="0"/>
        <v>5,68790</v>
      </c>
      <c r="O4" s="8" t="str">
        <f t="shared" si="1"/>
        <v>0,03670</v>
      </c>
      <c r="P4" s="8" t="str">
        <f t="shared" si="2"/>
        <v>3,86970</v>
      </c>
      <c r="Q4" s="5" t="s">
        <v>22</v>
      </c>
      <c r="R4" s="4" t="s">
        <v>27</v>
      </c>
      <c r="S4" s="4" t="s">
        <v>47</v>
      </c>
      <c r="T4" s="4" t="s">
        <v>13</v>
      </c>
      <c r="U4" s="11" t="s">
        <v>6</v>
      </c>
      <c r="V4" s="18" t="s">
        <v>29</v>
      </c>
      <c r="W4" s="6" t="s">
        <v>48</v>
      </c>
      <c r="X4" s="6" t="s">
        <v>52</v>
      </c>
      <c r="Y4" s="6" t="s">
        <v>7</v>
      </c>
      <c r="Z4" s="6" t="s">
        <v>42</v>
      </c>
      <c r="AA4" s="22" t="s">
        <v>43</v>
      </c>
      <c r="AB4" s="21">
        <f ca="1">L2</f>
        <v>45644</v>
      </c>
      <c r="AC4" s="5" t="str">
        <f t="shared" si="3"/>
        <v>F</v>
      </c>
      <c r="AD4" s="19">
        <f ca="1">L2</f>
        <v>45644</v>
      </c>
      <c r="AE4" s="5" t="s">
        <v>48</v>
      </c>
      <c r="AF4" s="5" t="s">
        <v>52</v>
      </c>
      <c r="AG4" s="5" t="s">
        <v>7</v>
      </c>
      <c r="AH4" s="5" t="s">
        <v>42</v>
      </c>
      <c r="AI4" s="9" t="str">
        <f>M2</f>
        <v>4,51580</v>
      </c>
      <c r="AJ4" s="9" t="str">
        <f t="shared" si="7" ref="AJ4:AL4">N4</f>
        <v>5,68790</v>
      </c>
      <c r="AK4" s="9" t="str">
        <f t="shared" si="7"/>
        <v>0,03670</v>
      </c>
      <c r="AL4" s="9" t="str">
        <f t="shared" si="7"/>
        <v>3,86970</v>
      </c>
      <c r="AM4" s="5" t="str">
        <f t="shared" si="6"/>
        <v>RON</v>
      </c>
      <c r="AN4" s="24">
        <v>4</v>
      </c>
      <c r="AO4" s="1" t="e">
        <f>[1]Output!C4</f>
        <v>#REF!</v>
      </c>
      <c r="AP4" s="1">
        <v>9</v>
      </c>
      <c r="AQ4" s="1" t="e">
        <f>TRIM([1]Output!D4)</f>
        <v>#REF!</v>
      </c>
      <c r="AR4" s="12" t="e">
        <f>SUBSTITUTE(LEFT(MID(AQ4,7,LEN(AQ4)),(FIND(" ",AQ4,1)-1)), ".", "")</f>
        <v>#REF!</v>
      </c>
    </row>
    <row r="5" s="10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7"/>
      <c r="N5" s="7"/>
      <c r="O5" s="1"/>
      <c r="P5" s="1"/>
      <c r="Q5" s="1"/>
      <c r="R5" s="1"/>
      <c r="S5" s="1"/>
      <c r="T5" s="1"/>
      <c r="U5" s="11" t="s">
        <v>6</v>
      </c>
      <c r="V5" s="18" t="s">
        <v>29</v>
      </c>
      <c r="W5" s="6" t="s">
        <v>42</v>
      </c>
      <c r="X5" s="1"/>
      <c r="Y5" s="1"/>
      <c r="Z5" s="1"/>
      <c r="AA5" s="22" t="s">
        <v>43</v>
      </c>
      <c r="AB5" s="21">
        <f ca="1">L2</f>
        <v>45644</v>
      </c>
      <c r="AC5" s="5" t="str">
        <f t="shared" si="3"/>
        <v>F</v>
      </c>
      <c r="AD5" s="19">
        <f ca="1">AB5</f>
        <v>45644</v>
      </c>
      <c r="AE5" s="5" t="s">
        <v>42</v>
      </c>
      <c r="AF5" s="5"/>
      <c r="AG5" s="5"/>
      <c r="AH5" s="5"/>
      <c r="AI5" s="9" t="str">
        <f>P2</f>
        <v>3,86970</v>
      </c>
      <c r="AJ5" s="9"/>
      <c r="AK5" s="9"/>
      <c r="AL5" s="9"/>
      <c r="AM5" s="5" t="str">
        <f t="shared" si="6"/>
        <v>RON</v>
      </c>
      <c r="AN5" s="24"/>
      <c r="AO5" s="1" t="e">
        <f>[1]Output!C5</f>
        <v>#REF!</v>
      </c>
      <c r="AP5" s="1"/>
      <c r="AQ5" s="1"/>
      <c r="AR5" s="12"/>
    </row>
    <row r="6" s="10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7"/>
      <c r="N6" s="7"/>
      <c r="O6" s="7"/>
      <c r="P6" s="7"/>
      <c r="Q6" s="1"/>
      <c r="R6" s="1"/>
      <c r="S6" s="1"/>
      <c r="T6" s="1"/>
      <c r="U6" s="1"/>
      <c r="V6" s="1"/>
      <c r="W6" s="6" t="s">
        <v>7</v>
      </c>
      <c r="X6" s="1"/>
      <c r="Y6" s="1"/>
      <c r="Z6" s="1"/>
      <c r="AA6" s="1"/>
      <c r="AB6" s="1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24"/>
      <c r="AO6" s="1"/>
      <c r="AP6" s="1"/>
      <c r="AQ6" s="1"/>
      <c r="AR6" s="12"/>
    </row>
    <row r="7" s="10" customForma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24"/>
      <c r="AO7" s="1"/>
      <c r="AP7" s="1"/>
      <c r="AQ7" s="1"/>
      <c r="AR7" s="12"/>
    </row>
    <row r="8" s="10" customForma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>
        <v>5.2506000000000004</v>
      </c>
      <c r="AJ8" s="1"/>
      <c r="AK8" s="1"/>
      <c r="AL8" s="1"/>
      <c r="AM8" s="1"/>
      <c r="AN8" s="24"/>
      <c r="AO8" s="1"/>
      <c r="AP8" s="1"/>
      <c r="AQ8" s="1"/>
      <c r="AR8" s="12"/>
    </row>
    <row r="9" s="10" customForma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24"/>
      <c r="AO9" s="1"/>
      <c r="AP9" s="1"/>
      <c r="AQ9" s="1"/>
      <c r="AR9" s="12"/>
    </row>
    <row r="10" s="10" customForma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24"/>
      <c r="AO10" s="1"/>
      <c r="AP10" s="1"/>
      <c r="AQ10" s="1"/>
      <c r="AR10" s="12"/>
    </row>
    <row r="11" s="10" customFormat="1">
      <c r="A11" s="1"/>
      <c r="B11" s="1"/>
      <c r="C11" s="1" t="s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24"/>
      <c r="AO11" s="1"/>
      <c r="AP11" s="1"/>
      <c r="AQ11" s="1"/>
      <c r="AR11" s="12"/>
    </row>
    <row r="12" s="10" customFormat="1">
      <c r="A12" s="1"/>
      <c r="B12" s="1"/>
      <c r="C12" s="3" t="s">
        <v>64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2"/>
    </row>
    <row r="13" s="10" customFormat="1">
      <c r="A13" s="1"/>
      <c r="B13" s="1"/>
      <c r="C13" s="20" t="s">
        <v>24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6" t="s">
        <v>29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2"/>
    </row>
    <row r="14" s="10" customFormat="1">
      <c r="A14" s="1"/>
      <c r="B14" s="1"/>
      <c r="C14" s="11" t="s">
        <v>60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2"/>
    </row>
    <row r="15" s="10" customFormat="1">
      <c r="A15" s="1"/>
      <c r="B15" s="1"/>
      <c r="C15" s="23" t="s">
        <v>10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2"/>
    </row>
    <row r="16" s="10" customFormat="1">
      <c r="A16" s="1"/>
      <c r="B16" s="1"/>
      <c r="C16" s="17" t="s">
        <v>16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2"/>
    </row>
    <row r="17" s="10" customFormat="1">
      <c r="A17" s="1"/>
      <c r="B17" s="1"/>
      <c r="C17" s="5" t="s">
        <v>32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2"/>
    </row>
    <row r="18" s="10" customFormat="1">
      <c r="A18" s="1"/>
      <c r="B18" s="1"/>
      <c r="C18" s="25" t="s">
        <v>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2"/>
    </row>
    <row r="19" s="10" customFormat="1">
      <c r="A19" s="1"/>
      <c r="B19" s="1"/>
      <c r="C19" s="14" t="s">
        <v>33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selection activeCell="A2" sqref="A2"/>
    </sheetView>
  </sheetViews>
  <sheetFormatPr defaultColWidth="9.42578125" defaultRowHeight="14.25"/>
  <cols>
    <col min="1" max="1" width="21.875" style="10" customWidth="1"/>
    <col min="2" max="2" width="9.42578125" style="10" customWidth="1"/>
    <col min="3" max="3" width="19.75" style="10" customWidth="1"/>
    <col min="4" max="16384" width="9.42578125" style="10" customWidth="1"/>
  </cols>
  <sheetData>
    <row r="1" ht="14.85" customFormat="1">
      <c r="A1" t="s">
        <v>38</v>
      </c>
      <c r="B1" t="s">
        <v>9</v>
      </c>
      <c r="C1" t="s">
        <v>54</v>
      </c>
      <c r="D1" t="s">
        <v>23</v>
      </c>
    </row>
    <row r="2">
      <c r="A2" s="1">
        <v>1</v>
      </c>
      <c r="B2" s="1" t="s">
        <v>55</v>
      </c>
      <c r="C2" s="1">
        <v>1</v>
      </c>
      <c r="D2" s="12"/>
    </row>
    <row r="3">
      <c r="A3" s="1"/>
      <c r="B3" s="1"/>
      <c r="C3" s="1"/>
      <c r="D3" s="12"/>
    </row>
    <row r="4">
      <c r="A4" s="1"/>
      <c r="B4" s="1"/>
      <c r="C4" s="1">
        <v>9</v>
      </c>
      <c r="D4" s="12" t="s">
        <v>74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