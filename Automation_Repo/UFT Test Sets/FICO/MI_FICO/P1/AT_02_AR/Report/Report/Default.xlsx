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6"/>
  </bookViews>
  <sheets>
    <sheet name="Global" sheetId="1" r:id="rId1"/>
    <sheet name="TC0_RunTimeResultFolder" sheetId="2" r:id="rId2"/>
    <sheet name="TC1_Test_AR0001" sheetId="3" r:id="rId3"/>
    <sheet name="TC2_Test_AR0002" sheetId="4" r:id="rId4"/>
    <sheet name="TC3_Test_AR0003" sheetId="5" r:id="rId5"/>
    <sheet name="TC4_Test_AR0004" sheetId="6" r:id="rId6"/>
    <sheet name="TC5_Test_AR0006" sheetId="7" r:id="rId7"/>
    <sheet name="TC6_Test_AR0007" sheetId="8" r:id="rId8"/>
    <sheet name="TC7_Test_AR0008" sheetId="9" r:id="rId9"/>
    <sheet name="TC8_Test_AR0009" sheetId="10" r:id="rId10"/>
    <sheet name="TC9_Test_AR0011" sheetId="11" r:id="rId11"/>
    <sheet name="TC10_Test_AR0012" sheetId="12" r:id="rId12"/>
    <sheet name="TC11_Test_AR0063" sheetId="13" r:id="rId13"/>
    <sheet name="TC12_DT1" sheetId="14" r:id="rId14"/>
    <sheet name="TC13_Test_AR0027" sheetId="15" r:id="rId15"/>
    <sheet name="TC14_Test_AR0013" sheetId="16" r:id="rId16"/>
    <sheet name="TC15_Test_AR0014" sheetId="17" r:id="rId17"/>
    <sheet name="TC16_Test_AR0024" sheetId="18" r:id="rId18"/>
    <sheet name="TC17_Test_AR0028" sheetId="19" r:id="rId19"/>
    <sheet name="TC18_Test_AR0029" sheetId="20" r:id="rId20"/>
    <sheet name="TC19_Test_AR0030" sheetId="21" r:id="rId21"/>
    <sheet name="TC20_Test_AR0031" sheetId="22" r:id="rId22"/>
    <sheet name="TC21_Test_AR0032" sheetId="23" r:id="rId23"/>
    <sheet name="TC22_Test_AR0033" sheetId="24" r:id="rId24"/>
    <sheet name="TC23_Test_AR0034" sheetId="25" r:id="rId25"/>
    <sheet name="TC24_Test_AR0035" sheetId="26" r:id="rId26"/>
    <sheet name="TC25_Test_AR0036" sheetId="27" r:id="rId27"/>
  </sheets>
  <externalReferences>
    <externalReference r:id="rId31"/>
  </externalReferences>
  <calcPr calcId="40001"/>
</workbook>
</file>

<file path=xl/sharedStrings.xml><?xml version="1.0" encoding="utf-8"?>
<sst xmlns="http://schemas.openxmlformats.org/spreadsheetml/2006/main" uniqueCount="197">
  <si>
    <t>LEGEND</t>
  </si>
  <si>
    <t/>
  </si>
  <si>
    <t>RO02</t>
  </si>
  <si>
    <t>11</t>
  </si>
  <si>
    <t>DT_TRANSACTIONCODE_FB03</t>
  </si>
  <si>
    <t>DT_F22_100_DOCUMENT_NUMBER</t>
  </si>
  <si>
    <t>DT_F22_120_CHECK_TEXT_OF_NO_NAME</t>
  </si>
  <si>
    <t>DT_FB03_750_CHECK_GETCELLVALUE_OF_GRIDCELL_0_BSCHL</t>
  </si>
  <si>
    <t>38,40-</t>
  </si>
  <si>
    <t>DT_F22_120_CHECK_TEXT_OF_NO_NAME_OCC3</t>
  </si>
  <si>
    <t>7.401,75</t>
  </si>
  <si>
    <t>RG1</t>
  </si>
  <si>
    <t>5fd9075e14eb72dde9d5201adc1b50845f3da04a842b</t>
  </si>
  <si>
    <t>19</t>
  </si>
  <si>
    <t>DT_TRANSACTIONCODE_F22_OCC1</t>
  </si>
  <si>
    <t>DG</t>
  </si>
  <si>
    <t>DT_F22_100_DOCHEADER_TEXT_OCC2</t>
  </si>
  <si>
    <t>DT_FISCAL_YEAR</t>
  </si>
  <si>
    <t>DT_F22_1000_CUSTOMER_ACCOUNT</t>
  </si>
  <si>
    <t>F-32</t>
  </si>
  <si>
    <t>DT_F22_100_DOCUMENT_NUMBER_OCC2</t>
  </si>
  <si>
    <t>DT_FB03_1105_ACCOUNT</t>
  </si>
  <si>
    <t>30389301</t>
  </si>
  <si>
    <t>Data Coming from another test</t>
  </si>
  <si>
    <t>DT_F22_100_DOCUMENT_DATE_OLD</t>
  </si>
  <si>
    <t>DT_F22_100_CURRENCYRATE</t>
  </si>
  <si>
    <t>DT_F22_304_ASSIGNMENT</t>
  </si>
  <si>
    <t>DT_F22_301_PSTKY_OCC2</t>
  </si>
  <si>
    <t>DT_INVOICE2_NO</t>
  </si>
  <si>
    <t>DT_EXPECTEDTRANSACTIONCODE_FB03_OCC1</t>
  </si>
  <si>
    <t>DT_COMPANY_CODE_OCC1</t>
  </si>
  <si>
    <t>DT_F32_131_DOCUMENT_NUMBER</t>
  </si>
  <si>
    <t>DT_FB03_0600_GRIDCELL_7_COLUMN_NAME_OCC2</t>
  </si>
  <si>
    <t>DT_F22_3010_TABLECELL_SINGLE_VALUE_0_OCC3</t>
  </si>
  <si>
    <t>Scenario</t>
  </si>
  <si>
    <t>Output Data</t>
  </si>
  <si>
    <t>DT_EXPECTEDTRANSACTIONCODE_F22</t>
  </si>
  <si>
    <t>DT_F22_100_DOCUMENT_DATE</t>
  </si>
  <si>
    <t>DT_F22_304_TEXT</t>
  </si>
  <si>
    <t>DT_INVOICE1_NO</t>
  </si>
  <si>
    <t>25.03.2014</t>
  </si>
  <si>
    <t>DT_F22_301_SGL_IND_OCC2</t>
  </si>
  <si>
    <t>DT_F22_304_AMOUNT_OCC2</t>
  </si>
  <si>
    <t>DT_F22_304_DUE_ON</t>
  </si>
  <si>
    <t>DT_GET_AMOUNT2_IN_LC</t>
  </si>
  <si>
    <t>OFF</t>
  </si>
  <si>
    <t>DT_F22_131_CURRENCY</t>
  </si>
  <si>
    <t>7</t>
  </si>
  <si>
    <t>1.500,00-</t>
  </si>
  <si>
    <t>DT_NUM1_OUTPUT</t>
  </si>
  <si>
    <t>DT_AMOUNT_IN_LCL_CRRNCY_OUTPUT1</t>
  </si>
  <si>
    <t>Formulas</t>
  </si>
  <si>
    <t>200</t>
  </si>
  <si>
    <t>F-22</t>
  </si>
  <si>
    <t>20.01.2014</t>
  </si>
  <si>
    <t>26.03.2014</t>
  </si>
  <si>
    <t>DT_F22_301_ASSIGNMENT_OCC2</t>
  </si>
  <si>
    <t>DT_F22_301_TEXT_OCC2</t>
  </si>
  <si>
    <t>09</t>
  </si>
  <si>
    <t>DT_F22_301_ACCOUNT_OCC2</t>
  </si>
  <si>
    <t>DT_DOC_NO</t>
  </si>
  <si>
    <t>DT_TRANSACTIONCODE_FB03_OCC1</t>
  </si>
  <si>
    <t>DT_FISCAL_YEAR_OCC1</t>
  </si>
  <si>
    <t>ON</t>
  </si>
  <si>
    <t>DT_FB03_0600_GRIDCELL_7_COLUMN_NAME</t>
  </si>
  <si>
    <t>DT_NUM1_OUTPUT1</t>
  </si>
  <si>
    <t>DT_SAPSYSTEM</t>
  </si>
  <si>
    <t>DT_F22_304_TEXT_OCC2</t>
  </si>
  <si>
    <t>0,00</t>
  </si>
  <si>
    <t>DT_AMOUNT_IN_LCL_CRRNCY_OUTPUT</t>
  </si>
  <si>
    <t>RGS - SAP RETAIL Staging GLOBAL</t>
  </si>
  <si>
    <t>Input Data</t>
  </si>
  <si>
    <t>DT_SAPLANGUAGE</t>
  </si>
  <si>
    <t>DT_SAPOPTIONS</t>
  </si>
  <si>
    <t>DT_F22_301_ACCOUNT</t>
  </si>
  <si>
    <t>DT_F22_304_AMOUNT</t>
  </si>
  <si>
    <t>DT_F22_304_TAX_CODE</t>
  </si>
  <si>
    <t>DT_F22_100_TYPE</t>
  </si>
  <si>
    <t>DT_F22_100_CHECK_TEXT_OF_STATUSBAR_OCC2</t>
  </si>
  <si>
    <t>DT_F22_131_SPECIAL_GL_IND</t>
  </si>
  <si>
    <t>DT_DOCUMENT_1</t>
  </si>
  <si>
    <t>DT_EXPECTEDTRANSACTIONCODE_FB03_OCC2</t>
  </si>
  <si>
    <t>DT_FB03_750_CHECK_GETCELLVALUE_OF_GRIDCELL_0_DMBTR</t>
  </si>
  <si>
    <t>DT_FB03_750_CHECK_GETCELLVALUE_OF_GRIDCELL_0_PSWBT</t>
  </si>
  <si>
    <t>DT_F22_1000_COMPANY_CODE</t>
  </si>
  <si>
    <t>DT_FBL5N_1000_CLEARED_ITEMS</t>
  </si>
  <si>
    <t>DT_FBL5N_1000_OPEN_ITEMS</t>
  </si>
  <si>
    <t>Row</t>
  </si>
  <si>
    <t>ZY</t>
  </si>
  <si>
    <t>DT_F22_304_ASSIGNMENT_OCC2</t>
  </si>
  <si>
    <t>DT_F22_3010_TABLECELL_SINGLE_VALUE_0</t>
  </si>
  <si>
    <t>1.500,00</t>
  </si>
  <si>
    <t>DT_FB03_0600_GRIDCELL_7_COLUMN_NAME_OCC3</t>
  </si>
  <si>
    <t>DT_FB03_1105_ACCOUNT_OCC2</t>
  </si>
  <si>
    <t>76,20-</t>
  </si>
  <si>
    <t>test</t>
  </si>
  <si>
    <t>Verifications</t>
  </si>
  <si>
    <t>Execution Control Data</t>
  </si>
  <si>
    <t>401</t>
  </si>
  <si>
    <t>DT_F22_100_REFERENCE</t>
  </si>
  <si>
    <t>DT_F22_100_DOCHEADER_TEXT</t>
  </si>
  <si>
    <t>11003155</t>
  </si>
  <si>
    <t>DT_F22_301_PSTKY</t>
  </si>
  <si>
    <t>DT_EXPECTEDTRANSACTIONCODE_F22_OCC1</t>
  </si>
  <si>
    <t>DT_F22_100_DOCUMENT_DATE_OCC2_OLD</t>
  </si>
  <si>
    <t>DT_F22_100_COMPANY_CODE_OCC2</t>
  </si>
  <si>
    <t>DT_SAPTRANSACTIONCODE_FBL5N</t>
  </si>
  <si>
    <t>DT_F22_131_NORMAL_OI</t>
  </si>
  <si>
    <t>DT_F22_131_ACCOUNT</t>
  </si>
  <si>
    <t>DT_F22_3010_TABLECELL_SINGLE_VALUE_2_OCC2</t>
  </si>
  <si>
    <t>DT_AMOUNT_IN_LC_OUTPUT</t>
  </si>
  <si>
    <t>DT_NUM1_OUTPUT2</t>
  </si>
  <si>
    <t>RG1 - IS-Retail PS Development</t>
  </si>
  <si>
    <t>Iovio03!</t>
  </si>
  <si>
    <t>DT_F22_100_COMPANY_CODE</t>
  </si>
  <si>
    <t>H</t>
  </si>
  <si>
    <t>25.01.2014</t>
  </si>
  <si>
    <t>DT_F22_301_AMOUNT_OCC2</t>
  </si>
  <si>
    <t>FB03</t>
  </si>
  <si>
    <t>DT_EXPECTEDTRANSACTIONCODE_FB03</t>
  </si>
  <si>
    <t>DT_GET_AMOUNT1_IN_LC</t>
  </si>
  <si>
    <t>DT_EXPECTEDTRANSACTIONCODE_FBL5N</t>
  </si>
  <si>
    <t>DT_DIFFERENCE_DOCUMENT_NUMBER</t>
  </si>
  <si>
    <t>DT_FBL5N_1000_NORMAL_ITEMS</t>
  </si>
  <si>
    <t>7.591,80</t>
  </si>
  <si>
    <t>AR</t>
  </si>
  <si>
    <t>AUTOFICO</t>
  </si>
  <si>
    <t>aavra</t>
  </si>
  <si>
    <t>EN</t>
  </si>
  <si>
    <t>EUR</t>
  </si>
  <si>
    <t>DT_F22_100_ACCOUNT</t>
  </si>
  <si>
    <t>DT_F22_301_SGL_IND</t>
  </si>
  <si>
    <t>FBL5N</t>
  </si>
  <si>
    <t>DT_F22_131_COMPANY_CODE</t>
  </si>
  <si>
    <t>DT_DOCUMENT_2</t>
  </si>
  <si>
    <t>DT_SAPTRANSACTIONCODE_FB03_OCC2</t>
  </si>
  <si>
    <t>DT_FB03_1710_CHECK_TEXT_OF_DOCUMENT_TYPE</t>
  </si>
  <si>
    <t>CL</t>
  </si>
  <si>
    <t>DT_CHECK_SPECIAL_IND</t>
  </si>
  <si>
    <t>30389401</t>
  </si>
  <si>
    <t>12,45-</t>
  </si>
  <si>
    <t>3,15-</t>
  </si>
  <si>
    <t>AR RGS</t>
  </si>
  <si>
    <t>535651c408fa21d3dc8875fc87bfd97dbbefbee87114ce00</t>
  </si>
  <si>
    <t>DT_F22_100_CHECK_TEXT_OF_STATUSBAR</t>
  </si>
  <si>
    <t>DT_F22_3010_TABLECELL_SINGLE_VALUE_1</t>
  </si>
  <si>
    <t>DT_SAPTRANSACTIONCODE_F32</t>
  </si>
  <si>
    <t>DT_FB03_0600_GRIDCELL_7_COLUMN_NAME_OCC4</t>
  </si>
  <si>
    <t>DT_FB03_750_CHECK_GETCELLVALUE_OF_GRIDCELL_0_BSCHL_OCC2</t>
  </si>
  <si>
    <t>11,25-</t>
  </si>
  <si>
    <t>DT_DIFFERENCE_AMOUNT_ACTUAL</t>
  </si>
  <si>
    <t>DT_DIFFERENCE_AMOUNT_EXPECTED</t>
  </si>
  <si>
    <t>DT_SAPTRANSACTIONCODE_FBL5N_OCC1</t>
  </si>
  <si>
    <t>DT_FBL5N_1000_SPECIAL_GL_TRANSACTIONS</t>
  </si>
  <si>
    <t>RGD - SAP RETAIL Development GLOBAL</t>
  </si>
  <si>
    <t>530880c1aed1aaae933366b983aa</t>
  </si>
  <si>
    <t>1500</t>
  </si>
  <si>
    <t>DT_F22_301_ASSIGNMENT</t>
  </si>
  <si>
    <t>DT_F22_301_TEXT</t>
  </si>
  <si>
    <t>DT_F22_100_CURRENCYRATE_OCC2</t>
  </si>
  <si>
    <t>DT_F22_100_PSTKY</t>
  </si>
  <si>
    <t>DT_COMPANY_CODE</t>
  </si>
  <si>
    <t>DT_F22_120_CHECK_TEXT_OF_NO_NAME_OCC2</t>
  </si>
  <si>
    <t>DT_F22_131_CHECK_TEXT_OF_STATUSBAR</t>
  </si>
  <si>
    <t>DT_F22_100_COMPANY_CODE_OCC3</t>
  </si>
  <si>
    <t>50</t>
  </si>
  <si>
    <t>DT_EXPECTEDTRANSACTIONCODE_FBL5N_OCC1</t>
  </si>
  <si>
    <t>DT_F22_750_GET_GETCELLVALUE_OF_GRIDCELL_0_DMBTR_Output</t>
  </si>
  <si>
    <t>R1E - SAP RETAIL Pre-Production EUROPE</t>
  </si>
  <si>
    <t>Fixed Data</t>
  </si>
  <si>
    <t>AAVRA</t>
  </si>
  <si>
    <t>DT_SAPPASSWORD</t>
  </si>
  <si>
    <t>10.04.2018</t>
  </si>
  <si>
    <t>AR0029</t>
  </si>
  <si>
    <t>DT_F22_304_TAX_CODE_OCC2</t>
  </si>
  <si>
    <t>DT_AMOUNT2_IN_LC</t>
  </si>
  <si>
    <t>DT_F22_100_FISCAL_YEAR</t>
  </si>
  <si>
    <t>DT_FB03_750_CHECK_GETCELLVALUE_OF_GRIDCELL_0_UMSKZ</t>
  </si>
  <si>
    <t>DT_FB03_750_CHECK_GETCELLVALUE_OF_GRIDCELL_0_AZBET</t>
  </si>
  <si>
    <t>Login Information</t>
  </si>
  <si>
    <t>DT_SAPUSER</t>
  </si>
  <si>
    <t>apai</t>
  </si>
  <si>
    <t>20.03.2014</t>
  </si>
  <si>
    <t>W1</t>
  </si>
  <si>
    <t>DT_F22_100_DOCUMENT_DATE_OCC2</t>
  </si>
  <si>
    <t>DT_F22_1000_CUSTOMER_ACCOUNT_OCC2</t>
  </si>
  <si>
    <t>DT_SAPCLIENT</t>
  </si>
  <si>
    <t>53a3fd8a5b4cab16e596e1636c8f57787239716ba031fdde</t>
  </si>
  <si>
    <t>DT_SAPTRANSACTIONCODE_F22</t>
  </si>
  <si>
    <t>DT_F22_301_AMOUNT</t>
  </si>
  <si>
    <t>DT_F22_100_REFERENCE_OCC2</t>
  </si>
  <si>
    <t>DT_F22_100_ACCOUNT_OCC2</t>
  </si>
  <si>
    <t>DT_EXPECTEDTRANSACTIONCODE_F32</t>
  </si>
  <si>
    <t>6</t>
  </si>
  <si>
    <t>DT_F22_750_GET_GETCELLVALUE_OF_GRIDCELL_0_DMBTR</t>
  </si>
  <si>
    <t>DT_F22_3010_TABLECELL_SINGLE_VALUE_1_OCC3</t>
  </si>
  <si>
    <t>DT_F22_750_GET_GETCELLVALUE_OF_GRIDCELL_0_DMBTR_Output1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</si>
</sst>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.##000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indexed="10"/>
      <name val="Mic Shell Dlg"/>
      <charset val="1"/>
    </font>
    <font>
      <sz val="11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2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Fill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164" fontId="1" fillId="2" borderId="1" xfId="0" applyNumberFormat="1" applyFill="1" applyBorder="1" applyProtection="1">
      <protection locked="0"/>
    </xf>
    <xf numFmtId="0" fontId="1" fillId="6" borderId="1" xfId="0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1" fillId="0" borderId="1" xfId="0" quotePrefix="1" applyNumberFormat="1" applyBorder="1" applyProtection="1">
      <protection locked="0"/>
    </xf>
    <xf numFmtId="2" fontId="1" fillId="6" borderId="1" xfId="0" applyNumberFormat="1" applyFill="1" applyBorder="1" applyProtection="1">
      <protection locked="0"/>
    </xf>
    <xf numFmtId="165" fontId="2" fillId="3" borderId="1" xfId="0" applyNumberFormat="1" applyFont="1" applyFill="1" applyBorder="1" applyProtection="1">
      <protection locked="0"/>
    </xf>
    <xf numFmtId="164" fontId="1" fillId="5" borderId="1" xfId="0" applyNumberForma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4" borderId="1" xfId="0" applyNumberForma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1" fillId="0" borderId="0" xfId="0" applyNumberFormat="1" applyBorder="1" applyProtection="1">
      <protection locked="0"/>
    </xf>
    <xf numFmtId="0" fontId="5" fillId="0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8" Type="http://schemas.openxmlformats.org/officeDocument/2006/relationships/theme" Target="theme/theme1.xml" /><Relationship Id="rId29" Type="http://schemas.openxmlformats.org/officeDocument/2006/relationships/styles" Target="styles.xml" /><Relationship Id="rId3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3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FICO\DT_AR0029%20Clear%20AR%20Accounts%20(Manual%20Automatic)%20-%20manual%20standard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O21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42578125" defaultRowHeight="14.25"/>
  <cols>
    <col min="1" max="2" width="9.125" style="27" customWidth="1"/>
    <col min="3" max="3" width="39" style="27" customWidth="1"/>
    <col min="4" max="4" width="15" style="27" customWidth="1"/>
    <col min="5" max="5" width="13.625" style="27" customWidth="1"/>
    <col min="6" max="6" width="48.5" style="27" customWidth="1"/>
    <col min="7" max="7" width="18.875" style="27" customWidth="1"/>
    <col min="8" max="8" width="16.75" style="27" customWidth="1"/>
    <col min="9" max="9" width="31.375" style="27" customWidth="1"/>
    <col min="10" max="10" width="38.125" style="27" customWidth="1"/>
    <col min="11" max="11" width="30.125" style="27" customWidth="1"/>
    <col min="12" max="13" width="29.625" style="27" customWidth="1"/>
    <col min="14" max="14" width="28.5" style="27" customWidth="1"/>
    <col min="15" max="15" width="24.75" style="27" customWidth="1"/>
    <col min="16" max="16" width="31" style="27" customWidth="1"/>
    <col min="17" max="17" width="22.125" style="27" customWidth="1"/>
    <col min="18" max="18" width="21.25" style="27" customWidth="1"/>
    <col min="19" max="19" width="25.625" style="27" customWidth="1"/>
    <col min="20" max="20" width="17.625" style="27" customWidth="1"/>
    <col min="21" max="21" width="19.375" style="27" customWidth="1"/>
    <col min="22" max="22" width="22.125" style="27" customWidth="1"/>
    <col min="23" max="23" width="21.5" style="27" customWidth="1"/>
    <col min="24" max="24" width="21.25" style="27" customWidth="1"/>
    <col min="25" max="25" width="23.5" style="27" customWidth="1"/>
    <col min="26" max="26" width="25.625" style="27" customWidth="1"/>
    <col min="27" max="27" width="17.625" style="27" customWidth="1"/>
    <col min="28" max="28" width="17.125" style="27" customWidth="1"/>
    <col min="29" max="29" width="52.75" style="27" customWidth="1"/>
    <col min="30" max="30" width="34.125" style="27" customWidth="1"/>
    <col min="31" max="31" width="44.5" style="27" customWidth="1"/>
    <col min="32" max="32" width="36.5" style="27" customWidth="1"/>
    <col min="33" max="34" width="18" style="27" customWidth="1"/>
    <col min="35" max="35" width="35.875" style="27" customWidth="1"/>
    <col min="36" max="36" width="35" style="27" customWidth="1"/>
    <col min="37" max="37" width="31" style="27" customWidth="1"/>
    <col min="38" max="38" width="37.5" style="27" customWidth="1"/>
    <col min="39" max="39" width="19.375" style="27" customWidth="1"/>
    <col min="40" max="40" width="28.5" style="27" customWidth="1"/>
    <col min="41" max="41" width="27.625" style="27" customWidth="1"/>
    <col min="42" max="42" width="32.125" style="27" customWidth="1"/>
    <col min="43" max="43" width="24" style="27" customWidth="1"/>
    <col min="44" max="44" width="25.625" style="27" customWidth="1"/>
    <col min="45" max="45" width="28.5" style="27" customWidth="1"/>
    <col min="46" max="46" width="28" style="27" customWidth="1"/>
    <col min="47" max="47" width="27.625" style="27" customWidth="1"/>
    <col min="48" max="48" width="29.75" style="27" customWidth="1"/>
    <col min="49" max="50" width="32.125" style="27" customWidth="1"/>
    <col min="51" max="51" width="24" style="27" customWidth="1"/>
    <col min="52" max="52" width="17.125" style="27" customWidth="1"/>
    <col min="53" max="53" width="52.75" style="27" customWidth="1"/>
    <col min="54" max="54" width="28.875" style="27" customWidth="1"/>
    <col min="55" max="55" width="39.375" style="27" customWidth="1"/>
    <col min="56" max="56" width="20.625" style="27" customWidth="1"/>
    <col min="57" max="57" width="17.25" style="27" customWidth="1"/>
    <col min="58" max="58" width="12.5" style="27" customWidth="1"/>
    <col min="59" max="59" width="24.875" style="27" customWidth="1"/>
    <col min="60" max="60" width="35.375" style="27" customWidth="1"/>
    <col min="61" max="61" width="45.75" style="27" customWidth="1"/>
    <col min="62" max="62" width="27" style="27" customWidth="1"/>
    <col min="63" max="63" width="23.75" style="27" customWidth="1"/>
    <col min="64" max="64" width="33.375" style="27" customWidth="1"/>
    <col min="65" max="65" width="24.875" style="27" customWidth="1"/>
    <col min="66" max="66" width="20" style="27" customWidth="1"/>
    <col min="67" max="67" width="34.125" style="27" customWidth="1"/>
    <col min="68" max="68" width="40.75" style="27" customWidth="1"/>
    <col min="69" max="69" width="35.375" style="27" customWidth="1"/>
    <col min="70" max="71" width="43" style="27" customWidth="1"/>
    <col min="72" max="72" width="39.625" style="27" customWidth="1"/>
    <col min="73" max="73" width="46.125" style="27" customWidth="1"/>
    <col min="74" max="74" width="31.375" style="27" customWidth="1"/>
    <col min="75" max="75" width="38.125" style="27" customWidth="1"/>
    <col min="76" max="76" width="24.625" style="27" customWidth="1"/>
    <col min="77" max="77" width="22.125" style="27" customWidth="1"/>
    <col min="78" max="78" width="29.625" style="27" customWidth="1"/>
    <col min="79" max="79" width="23.75" style="27" customWidth="1"/>
    <col min="80" max="80" width="29.625" style="27" customWidth="1"/>
    <col min="81" max="81" width="33.375" style="27" customWidth="1"/>
    <col min="82" max="83" width="17.625" style="27" customWidth="1"/>
    <col min="84" max="84" width="38.375" style="27" customWidth="1"/>
    <col min="85" max="85" width="52.75" style="27" customWidth="1"/>
    <col min="86" max="86" width="39.125" style="27" customWidth="1"/>
    <col min="87" max="87" width="45.75" style="27" customWidth="1"/>
    <col min="88" max="88" width="39.875" style="27" customWidth="1"/>
    <col min="89" max="89" width="35.875" style="27" customWidth="1"/>
    <col min="90" max="90" width="26.25" style="27" customWidth="1"/>
    <col min="91" max="91" width="49.625" style="27" customWidth="1"/>
    <col min="92" max="92" width="24.625" style="27" customWidth="1"/>
    <col min="93" max="93" width="43.5" style="27" customWidth="1"/>
    <col min="94" max="94" width="50" style="27" customWidth="1"/>
    <col min="95" max="95" width="24.625" style="27" customWidth="1"/>
    <col min="96" max="96" width="61.25" style="27" customWidth="1"/>
    <col min="97" max="97" width="58.75" style="27" customWidth="1"/>
    <col min="98" max="98" width="58.5" style="27" customWidth="1"/>
    <col min="99" max="100" width="47.25" style="27" customWidth="1"/>
    <col min="101" max="101" width="30.875" style="27" customWidth="1"/>
    <col min="102" max="102" width="64.375" style="27" customWidth="1"/>
    <col min="103" max="103" width="61.5" style="27" customWidth="1"/>
    <col min="104" max="104" width="60.875" style="27" customWidth="1"/>
    <col min="105" max="105" width="55.5" style="27" customWidth="1"/>
    <col min="106" max="106" width="37.25" style="27" customWidth="1"/>
    <col min="107" max="107" width="40.5" style="27" customWidth="1"/>
    <col min="108" max="108" width="47.25" style="27" customWidth="1"/>
    <col min="109" max="109" width="46" style="27" customWidth="1"/>
    <col min="110" max="110" width="40.375" style="27" customWidth="1"/>
    <col min="111" max="111" width="33" style="27" customWidth="1"/>
    <col min="112" max="112" width="32.125" style="27" customWidth="1"/>
    <col min="113" max="113" width="44.25" style="27" customWidth="1"/>
    <col min="114" max="116" width="49.25" style="27" customWidth="1"/>
    <col min="117" max="117" width="47" style="27" customWidth="1"/>
    <col min="118" max="118" width="44.375" style="27" customWidth="1"/>
    <col min="119" max="119" width="32.125" style="27" customWidth="1"/>
    <col min="120" max="16384" width="9" style="27" customWidth="1"/>
  </cols>
  <sheetData>
    <row r="1" ht="12.75" customHeight="1" customFormat="1">
      <c r="A1" t="s">
        <v>87</v>
      </c>
      <c r="B1" t="s">
        <v>34</v>
      </c>
      <c r="C1" t="s">
        <v>66</v>
      </c>
      <c r="D1" t="s">
        <v>186</v>
      </c>
      <c r="E1" t="s">
        <v>180</v>
      </c>
      <c r="F1" t="s">
        <v>171</v>
      </c>
      <c r="G1" t="s">
        <v>72</v>
      </c>
      <c r="H1" t="s">
        <v>73</v>
      </c>
      <c r="I1" t="s">
        <v>188</v>
      </c>
      <c r="J1" t="s">
        <v>36</v>
      </c>
      <c r="K1" t="s">
        <v>24</v>
      </c>
      <c r="L1" t="s">
        <v>114</v>
      </c>
      <c r="M1" t="s">
        <v>37</v>
      </c>
      <c r="N1" t="s">
        <v>25</v>
      </c>
      <c r="O1" t="s">
        <v>99</v>
      </c>
      <c r="P1" t="s">
        <v>100</v>
      </c>
      <c r="Q1" t="s">
        <v>130</v>
      </c>
      <c r="R1" t="s">
        <v>189</v>
      </c>
      <c r="S1" t="s">
        <v>157</v>
      </c>
      <c r="T1" t="s">
        <v>158</v>
      </c>
      <c r="U1" t="s">
        <v>102</v>
      </c>
      <c r="V1" t="s">
        <v>74</v>
      </c>
      <c r="W1" t="s">
        <v>131</v>
      </c>
      <c r="X1" t="s">
        <v>75</v>
      </c>
      <c r="Y1" t="s">
        <v>76</v>
      </c>
      <c r="Z1" t="s">
        <v>26</v>
      </c>
      <c r="AA1" t="s">
        <v>38</v>
      </c>
      <c r="AB1" t="s">
        <v>39</v>
      </c>
      <c r="AC1" t="s">
        <v>144</v>
      </c>
      <c r="AD1" t="s">
        <v>14</v>
      </c>
      <c r="AE1" t="s">
        <v>103</v>
      </c>
      <c r="AF1" t="s">
        <v>104</v>
      </c>
      <c r="AG1" t="s">
        <v>77</v>
      </c>
      <c r="AH1" t="s">
        <v>184</v>
      </c>
      <c r="AI1" t="s">
        <v>105</v>
      </c>
      <c r="AJ1" t="s">
        <v>159</v>
      </c>
      <c r="AK1" t="s">
        <v>190</v>
      </c>
      <c r="AL1" t="s">
        <v>16</v>
      </c>
      <c r="AM1" t="s">
        <v>160</v>
      </c>
      <c r="AN1" t="s">
        <v>191</v>
      </c>
      <c r="AO1" t="s">
        <v>117</v>
      </c>
      <c r="AP1" t="s">
        <v>56</v>
      </c>
      <c r="AQ1" t="s">
        <v>57</v>
      </c>
      <c r="AR1" t="s">
        <v>27</v>
      </c>
      <c r="AS1" t="s">
        <v>59</v>
      </c>
      <c r="AT1" t="s">
        <v>41</v>
      </c>
      <c r="AU1" t="s">
        <v>42</v>
      </c>
      <c r="AV1" t="s">
        <v>174</v>
      </c>
      <c r="AW1" t="s">
        <v>89</v>
      </c>
      <c r="AX1" t="s">
        <v>43</v>
      </c>
      <c r="AY1" t="s">
        <v>67</v>
      </c>
      <c r="AZ1" t="s">
        <v>28</v>
      </c>
      <c r="BA1" t="s">
        <v>78</v>
      </c>
      <c r="BB1" t="s">
        <v>4</v>
      </c>
      <c r="BC1" t="s">
        <v>119</v>
      </c>
      <c r="BD1" t="s">
        <v>161</v>
      </c>
      <c r="BE1" t="s">
        <v>17</v>
      </c>
      <c r="BF1" t="s">
        <v>60</v>
      </c>
      <c r="BG1" t="s">
        <v>120</v>
      </c>
      <c r="BH1" t="s">
        <v>61</v>
      </c>
      <c r="BI1" t="s">
        <v>29</v>
      </c>
      <c r="BJ1" t="s">
        <v>30</v>
      </c>
      <c r="BK1" t="s">
        <v>62</v>
      </c>
      <c r="BL1" t="s">
        <v>5</v>
      </c>
      <c r="BM1" t="s">
        <v>44</v>
      </c>
      <c r="BN1" t="s">
        <v>175</v>
      </c>
      <c r="BO1" t="s">
        <v>106</v>
      </c>
      <c r="BP1" t="s">
        <v>121</v>
      </c>
      <c r="BQ1" t="s">
        <v>18</v>
      </c>
      <c r="BR1" t="s">
        <v>90</v>
      </c>
      <c r="BS1" t="s">
        <v>145</v>
      </c>
      <c r="BT1" t="s">
        <v>6</v>
      </c>
      <c r="BU1" t="s">
        <v>162</v>
      </c>
      <c r="BV1" t="s">
        <v>146</v>
      </c>
      <c r="BW1" t="s">
        <v>192</v>
      </c>
      <c r="BX1" t="s">
        <v>107</v>
      </c>
      <c r="BY1" t="s">
        <v>108</v>
      </c>
      <c r="BZ1" t="s">
        <v>133</v>
      </c>
      <c r="CA1" t="s">
        <v>46</v>
      </c>
      <c r="CB1" t="s">
        <v>79</v>
      </c>
      <c r="CC1" t="s">
        <v>31</v>
      </c>
      <c r="CD1" t="s">
        <v>80</v>
      </c>
      <c r="CE1" t="s">
        <v>134</v>
      </c>
      <c r="CF1" t="s">
        <v>122</v>
      </c>
      <c r="CG1" t="s">
        <v>163</v>
      </c>
      <c r="CH1" t="s">
        <v>135</v>
      </c>
      <c r="CI1" t="s">
        <v>81</v>
      </c>
      <c r="CJ1" t="s">
        <v>20</v>
      </c>
      <c r="CK1" t="s">
        <v>164</v>
      </c>
      <c r="CL1" t="s">
        <v>176</v>
      </c>
      <c r="CM1" t="s">
        <v>136</v>
      </c>
      <c r="CN1" t="s">
        <v>138</v>
      </c>
      <c r="CO1" t="s">
        <v>64</v>
      </c>
      <c r="CP1" t="s">
        <v>32</v>
      </c>
      <c r="CQ1" t="s">
        <v>21</v>
      </c>
      <c r="CR1" t="s">
        <v>7</v>
      </c>
      <c r="CS1" t="s">
        <v>177</v>
      </c>
      <c r="CT1" t="s">
        <v>178</v>
      </c>
      <c r="CU1" t="s">
        <v>92</v>
      </c>
      <c r="CV1" t="s">
        <v>147</v>
      </c>
      <c r="CW1" t="s">
        <v>93</v>
      </c>
      <c r="CX1" t="s">
        <v>148</v>
      </c>
      <c r="CY1" t="s">
        <v>82</v>
      </c>
      <c r="CZ1" t="s">
        <v>83</v>
      </c>
      <c r="DA1" t="s">
        <v>194</v>
      </c>
      <c r="DB1" t="s">
        <v>150</v>
      </c>
      <c r="DC1" t="s">
        <v>151</v>
      </c>
      <c r="DD1" t="s">
        <v>152</v>
      </c>
      <c r="DE1" t="s">
        <v>166</v>
      </c>
      <c r="DF1" t="s">
        <v>185</v>
      </c>
      <c r="DG1" t="s">
        <v>84</v>
      </c>
      <c r="DH1" t="s">
        <v>85</v>
      </c>
      <c r="DI1" t="s">
        <v>123</v>
      </c>
      <c r="DJ1" t="s">
        <v>153</v>
      </c>
      <c r="DK1" t="s">
        <v>33</v>
      </c>
      <c r="DL1" t="s">
        <v>195</v>
      </c>
      <c r="DM1" t="s">
        <v>109</v>
      </c>
      <c r="DN1" t="s">
        <v>9</v>
      </c>
      <c r="DO1" t="s">
        <v>86</v>
      </c>
    </row>
    <row r="2" s="17" customFormat="1">
      <c r="A2" s="1">
        <v>2</v>
      </c>
      <c r="B2" s="1" t="s">
        <v>95</v>
      </c>
      <c r="C2" s="10" t="s">
        <v>168</v>
      </c>
      <c r="D2" s="10" t="s">
        <v>52</v>
      </c>
      <c r="E2" s="10" t="s">
        <v>181</v>
      </c>
      <c r="F2" s="10" t="s">
        <v>155</v>
      </c>
      <c r="G2" s="10" t="s">
        <v>128</v>
      </c>
      <c r="H2" s="2" t="s">
        <v>1</v>
      </c>
      <c r="I2" s="2" t="s">
        <v>53</v>
      </c>
      <c r="J2" s="2" t="s">
        <v>53</v>
      </c>
      <c r="K2" s="3" t="s">
        <v>54</v>
      </c>
      <c r="L2" s="3" t="s">
        <v>2</v>
      </c>
      <c r="M2" s="3"/>
      <c r="N2" s="3" t="s">
        <v>129</v>
      </c>
      <c r="O2" s="3" t="s">
        <v>183</v>
      </c>
      <c r="P2" s="3" t="s">
        <v>173</v>
      </c>
      <c r="Q2" s="3" t="s">
        <v>101</v>
      </c>
      <c r="R2" s="3" t="s">
        <v>156</v>
      </c>
      <c r="S2" s="3" t="s">
        <v>173</v>
      </c>
      <c r="T2" s="3" t="s">
        <v>173</v>
      </c>
      <c r="U2" s="3" t="s">
        <v>13</v>
      </c>
      <c r="V2" s="3" t="str">
        <f>Q2</f>
        <v>11003155</v>
      </c>
      <c r="W2" s="3" t="s">
        <v>115</v>
      </c>
      <c r="X2" s="3" t="s">
        <v>156</v>
      </c>
      <c r="Y2" s="3" t="s">
        <v>88</v>
      </c>
      <c r="Z2" s="3" t="s">
        <v>173</v>
      </c>
      <c r="AA2" s="3" t="s">
        <v>173</v>
      </c>
      <c r="AB2" s="8" t="e">
        <f>[1]Output!A2</f>
        <v>#REF!</v>
      </c>
      <c r="AC2" s="5" t="e">
        <f>"Document "&amp;AB2&amp;" was posted in company code "&amp;L2</f>
        <v>#REF!</v>
      </c>
      <c r="AD2" s="2" t="s">
        <v>53</v>
      </c>
      <c r="AE2" s="2" t="s">
        <v>53</v>
      </c>
      <c r="AF2" s="3" t="s">
        <v>116</v>
      </c>
      <c r="AG2" s="3" t="s">
        <v>15</v>
      </c>
      <c r="AH2" s="3"/>
      <c r="AI2" s="3" t="str">
        <f>L2</f>
        <v>RO02</v>
      </c>
      <c r="AJ2" s="3" t="s">
        <v>129</v>
      </c>
      <c r="AK2" s="3" t="s">
        <v>183</v>
      </c>
      <c r="AL2" s="3" t="s">
        <v>173</v>
      </c>
      <c r="AM2" s="3" t="s">
        <v>3</v>
      </c>
      <c r="AN2" s="3" t="str">
        <f>Q2</f>
        <v>11003155</v>
      </c>
      <c r="AO2" s="3" t="s">
        <v>156</v>
      </c>
      <c r="AP2" s="3" t="s">
        <v>173</v>
      </c>
      <c r="AQ2" s="3" t="s">
        <v>173</v>
      </c>
      <c r="AR2" s="3" t="s">
        <v>58</v>
      </c>
      <c r="AS2" s="3" t="str">
        <f>Q2</f>
        <v>11003155</v>
      </c>
      <c r="AT2" s="3" t="s">
        <v>115</v>
      </c>
      <c r="AU2" s="3" t="s">
        <v>156</v>
      </c>
      <c r="AV2" s="3" t="s">
        <v>88</v>
      </c>
      <c r="AW2" s="3" t="s">
        <v>173</v>
      </c>
      <c r="AX2" s="3"/>
      <c r="AY2" s="3" t="s">
        <v>173</v>
      </c>
      <c r="AZ2" s="8" t="e">
        <f>[1]Output!D2</f>
        <v>#REF!</v>
      </c>
      <c r="BA2" s="5" t="e">
        <f>"Document "&amp;AZ2&amp;" was posted in company code "&amp;L2</f>
        <v>#REF!</v>
      </c>
      <c r="BB2" s="2" t="s">
        <v>118</v>
      </c>
      <c r="BC2" s="2" t="s">
        <v>118</v>
      </c>
      <c r="BD2" s="3" t="str">
        <f>L2</f>
        <v>RO02</v>
      </c>
      <c r="BE2" s="3">
        <f ca="1">YEAR(TODAY())</f>
        <v>2025</v>
      </c>
      <c r="BF2" s="3" t="e">
        <f>AB2</f>
        <v>#REF!</v>
      </c>
      <c r="BG2" s="8" t="e">
        <f>[1]Output!B2</f>
        <v>#REF!</v>
      </c>
      <c r="BH2" s="3" t="s">
        <v>118</v>
      </c>
      <c r="BI2" s="3" t="s">
        <v>118</v>
      </c>
      <c r="BJ2" s="3" t="str">
        <f>L2</f>
        <v>RO02</v>
      </c>
      <c r="BK2" s="3">
        <f ca="1">YEAR(TODAY())</f>
        <v>2025</v>
      </c>
      <c r="BL2" s="3" t="e">
        <f>AZ2</f>
        <v>#REF!</v>
      </c>
      <c r="BM2" s="8" t="e">
        <f>[1]Output!E2</f>
        <v>#REF!</v>
      </c>
      <c r="BN2" s="12" t="e">
        <f>LEFT(BM2,LEN(BM2)-1)</f>
        <v>#REF!</v>
      </c>
      <c r="BO2" s="2" t="s">
        <v>132</v>
      </c>
      <c r="BP2" s="2" t="s">
        <v>132</v>
      </c>
      <c r="BQ2" s="3" t="str">
        <f>Q2</f>
        <v>11003155</v>
      </c>
      <c r="BR2" s="3" t="e">
        <f>AB2</f>
        <v>#REF!</v>
      </c>
      <c r="BS2" s="3" t="e">
        <f>AZ2</f>
        <v>#REF!</v>
      </c>
      <c r="BT2" s="3" t="e">
        <f>AB2</f>
        <v>#REF!</v>
      </c>
      <c r="BU2" s="3" t="e">
        <f>AZ2</f>
        <v>#REF!</v>
      </c>
      <c r="BV2" s="3" t="s">
        <v>19</v>
      </c>
      <c r="BW2" s="3" t="s">
        <v>19</v>
      </c>
      <c r="BX2" s="3" t="s">
        <v>45</v>
      </c>
      <c r="BY2" s="3" t="str">
        <f>Q2</f>
        <v>11003155</v>
      </c>
      <c r="BZ2" s="3" t="str">
        <f>L2</f>
        <v>RO02</v>
      </c>
      <c r="CA2" s="3" t="s">
        <v>129</v>
      </c>
      <c r="CB2" s="3" t="s">
        <v>115</v>
      </c>
      <c r="CC2" s="3" t="s">
        <v>63</v>
      </c>
      <c r="CD2" s="3" t="e">
        <f>AB2</f>
        <v>#REF!</v>
      </c>
      <c r="CE2" s="3" t="e">
        <f>AZ2</f>
        <v>#REF!</v>
      </c>
      <c r="CF2" s="8" t="e">
        <f>[1]Output!F2</f>
        <v>#REF!</v>
      </c>
      <c r="CG2" s="5" t="e">
        <f>"Document "&amp;CF2&amp;" was posted in company code "&amp;L2</f>
        <v>#REF!</v>
      </c>
      <c r="CH2" s="3" t="s">
        <v>118</v>
      </c>
      <c r="CI2" s="3" t="s">
        <v>118</v>
      </c>
      <c r="CJ2" s="3" t="e">
        <f>CF2</f>
        <v>#REF!</v>
      </c>
      <c r="CK2" s="3" t="str">
        <f>L2</f>
        <v>RO02</v>
      </c>
      <c r="CL2" s="3">
        <f ca="1">YEAR(TODAY())</f>
        <v>2025</v>
      </c>
      <c r="CM2" s="5" t="s">
        <v>137</v>
      </c>
      <c r="CN2" s="5" t="s">
        <v>115</v>
      </c>
      <c r="CO2" s="9" t="s">
        <v>47</v>
      </c>
      <c r="CP2" s="9" t="s">
        <v>47</v>
      </c>
      <c r="CQ2" s="9" t="s">
        <v>101</v>
      </c>
      <c r="CR2" s="5" t="s">
        <v>58</v>
      </c>
      <c r="CS2" s="5" t="s">
        <v>115</v>
      </c>
      <c r="CT2" s="5" t="s">
        <v>68</v>
      </c>
      <c r="CU2" s="9" t="s">
        <v>47</v>
      </c>
      <c r="CV2" s="9" t="s">
        <v>47</v>
      </c>
      <c r="CW2" s="9" t="s">
        <v>139</v>
      </c>
      <c r="CX2" s="5" t="s">
        <v>165</v>
      </c>
      <c r="CY2" s="18" t="e">
        <f>CONCATENATE(BG2,"-")</f>
        <v>#REF!</v>
      </c>
      <c r="CZ2" s="5" t="s">
        <v>68</v>
      </c>
      <c r="DA2" s="8" t="s">
        <v>141</v>
      </c>
      <c r="DB2" s="12" t="str">
        <f>IF(RIGHT(DA2,1)="-",LEFT(DA2,LEN(DA2)-1),DA2)</f>
        <v>3,15</v>
      </c>
      <c r="DC2" s="12" t="e">
        <f>ABS(BG2-BN2)</f>
        <v>#REF!</v>
      </c>
      <c r="DD2" s="2" t="s">
        <v>132</v>
      </c>
      <c r="DE2" s="2" t="s">
        <v>132</v>
      </c>
      <c r="DF2" s="6" t="str">
        <f>Q2</f>
        <v>11003155</v>
      </c>
      <c r="DG2" s="6" t="str">
        <f>L2</f>
        <v>RO02</v>
      </c>
      <c r="DH2" s="6" t="b">
        <v>1</v>
      </c>
      <c r="DI2" s="6" t="b">
        <v>0</v>
      </c>
      <c r="DJ2" s="6" t="b">
        <v>1</v>
      </c>
      <c r="DK2" s="6" t="e">
        <f>AB2</f>
        <v>#REF!</v>
      </c>
      <c r="DL2" s="6" t="e">
        <f>AZ2</f>
        <v>#REF!</v>
      </c>
      <c r="DM2" s="6" t="e">
        <f>CF2</f>
        <v>#REF!</v>
      </c>
      <c r="DN2" s="19" t="s">
        <v>68</v>
      </c>
      <c r="DO2" s="16"/>
    </row>
    <row r="3" s="17" customFormat="1">
      <c r="A3" s="1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28"/>
      <c r="DA3" s="1"/>
      <c r="DB3" s="1"/>
      <c r="DC3" s="12" t="str">
        <f>TEXT(ABS(BG3-BN3),"#0,#0")</f>
        <v>00</v>
      </c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6"/>
    </row>
    <row r="4" s="17" customFormat="1">
      <c r="A4" s="1">
        <v>4</v>
      </c>
      <c r="B4" s="1" t="s">
        <v>125</v>
      </c>
      <c r="C4" s="10" t="s">
        <v>168</v>
      </c>
      <c r="D4" s="10" t="s">
        <v>52</v>
      </c>
      <c r="E4" s="10" t="s">
        <v>126</v>
      </c>
      <c r="F4" s="10" t="s">
        <v>12</v>
      </c>
      <c r="G4" s="10" t="s">
        <v>128</v>
      </c>
      <c r="H4" s="2" t="s">
        <v>1</v>
      </c>
      <c r="I4" s="2" t="s">
        <v>53</v>
      </c>
      <c r="J4" s="2" t="s">
        <v>53</v>
      </c>
      <c r="K4" s="11">
        <f ca="1">TODAY()</f>
        <v>45902</v>
      </c>
      <c r="L4" s="3" t="s">
        <v>2</v>
      </c>
      <c r="M4" s="11">
        <f ca="1">TODAY()</f>
        <v>45902</v>
      </c>
      <c r="N4" s="3" t="s">
        <v>129</v>
      </c>
      <c r="O4" s="3" t="s">
        <v>183</v>
      </c>
      <c r="P4" s="3" t="s">
        <v>173</v>
      </c>
      <c r="Q4" s="3" t="s">
        <v>101</v>
      </c>
      <c r="R4" s="3" t="s">
        <v>156</v>
      </c>
      <c r="S4" s="3" t="s">
        <v>173</v>
      </c>
      <c r="T4" s="3" t="s">
        <v>173</v>
      </c>
      <c r="U4" s="3" t="s">
        <v>13</v>
      </c>
      <c r="V4" s="3" t="str">
        <f t="shared" si="0" ref="V4:V7">Q4</f>
        <v>11003155</v>
      </c>
      <c r="W4" s="3" t="s">
        <v>115</v>
      </c>
      <c r="X4" s="3" t="s">
        <v>156</v>
      </c>
      <c r="Y4" s="3" t="s">
        <v>88</v>
      </c>
      <c r="Z4" s="3" t="s">
        <v>173</v>
      </c>
      <c r="AA4" s="3" t="s">
        <v>173</v>
      </c>
      <c r="AB4" s="8" t="e">
        <f>[1]Output!A4</f>
        <v>#REF!</v>
      </c>
      <c r="AC4" s="5" t="e">
        <f t="shared" si="1" ref="AC4:AC7">"Document "&amp;AB4&amp;" was posted in company code "&amp;L4</f>
        <v>#REF!</v>
      </c>
      <c r="AD4" s="2" t="s">
        <v>53</v>
      </c>
      <c r="AE4" s="2" t="s">
        <v>53</v>
      </c>
      <c r="AF4" s="11">
        <f ca="1">TODAY()</f>
        <v>45902</v>
      </c>
      <c r="AG4" s="3" t="s">
        <v>15</v>
      </c>
      <c r="AH4" s="11">
        <f ca="1">TODAY()</f>
        <v>45902</v>
      </c>
      <c r="AI4" s="3" t="str">
        <f t="shared" si="2" ref="AI4:AI7">L4</f>
        <v>RO02</v>
      </c>
      <c r="AJ4" s="3" t="s">
        <v>129</v>
      </c>
      <c r="AK4" s="3" t="s">
        <v>183</v>
      </c>
      <c r="AL4" s="3" t="s">
        <v>173</v>
      </c>
      <c r="AM4" s="3" t="s">
        <v>3</v>
      </c>
      <c r="AN4" s="3" t="str">
        <f t="shared" si="3" ref="AN4:AN7">Q4</f>
        <v>11003155</v>
      </c>
      <c r="AO4" s="3" t="s">
        <v>156</v>
      </c>
      <c r="AP4" s="3" t="s">
        <v>173</v>
      </c>
      <c r="AQ4" s="3" t="s">
        <v>173</v>
      </c>
      <c r="AR4" s="3" t="s">
        <v>58</v>
      </c>
      <c r="AS4" s="3" t="str">
        <f t="shared" si="4" ref="AS4:AS7">Q4</f>
        <v>11003155</v>
      </c>
      <c r="AT4" s="3" t="s">
        <v>115</v>
      </c>
      <c r="AU4" s="3" t="s">
        <v>156</v>
      </c>
      <c r="AV4" s="3" t="s">
        <v>88</v>
      </c>
      <c r="AW4" s="3" t="s">
        <v>173</v>
      </c>
      <c r="AX4" s="11">
        <f ca="1">TODAY()</f>
        <v>45902</v>
      </c>
      <c r="AY4" s="3" t="s">
        <v>173</v>
      </c>
      <c r="AZ4" s="8" t="e">
        <f>[1]Output!C4</f>
        <v>#REF!</v>
      </c>
      <c r="BA4" s="5" t="e">
        <f t="shared" si="5" ref="BA4:BA7">"Document "&amp;AZ4&amp;" was posted in company code "&amp;L4</f>
        <v>#REF!</v>
      </c>
      <c r="BB4" s="2" t="s">
        <v>118</v>
      </c>
      <c r="BC4" s="2" t="s">
        <v>118</v>
      </c>
      <c r="BD4" s="3" t="str">
        <f t="shared" si="6" ref="BD4:BD7">L4</f>
        <v>RO02</v>
      </c>
      <c r="BE4" s="3">
        <f ca="1" t="shared" si="7" ref="BE4:BE7">YEAR(TODAY())</f>
        <v>2025</v>
      </c>
      <c r="BF4" s="3" t="e">
        <f t="shared" si="8" ref="BF4:BF7">AB4</f>
        <v>#REF!</v>
      </c>
      <c r="BG4" s="8" t="e">
        <f>[1]Output!D4</f>
        <v>#REF!</v>
      </c>
      <c r="BH4" s="3" t="s">
        <v>118</v>
      </c>
      <c r="BI4" s="3" t="s">
        <v>118</v>
      </c>
      <c r="BJ4" s="3" t="str">
        <f t="shared" si="9" ref="BJ4:BJ7">L4</f>
        <v>RO02</v>
      </c>
      <c r="BK4" s="3">
        <f ca="1" t="shared" si="10" ref="BK4:BK7">YEAR(TODAY())</f>
        <v>2025</v>
      </c>
      <c r="BL4" s="3" t="e">
        <f t="shared" si="11" ref="BL4:BL7">AZ4</f>
        <v>#REF!</v>
      </c>
      <c r="BM4" s="8" t="e">
        <f>[1]Output!E4</f>
        <v>#REF!</v>
      </c>
      <c r="BN4" s="12" t="e">
        <f t="shared" si="12" ref="BN4:BN7">LEFT(BM4,LEN(BM4)-1)</f>
        <v>#REF!</v>
      </c>
      <c r="BO4" s="2" t="s">
        <v>132</v>
      </c>
      <c r="BP4" s="2" t="s">
        <v>132</v>
      </c>
      <c r="BQ4" s="3" t="str">
        <f t="shared" si="13" ref="BQ4:BQ7">Q4</f>
        <v>11003155</v>
      </c>
      <c r="BR4" s="3" t="e">
        <f t="shared" si="14" ref="BR4:BR7">AB4</f>
        <v>#REF!</v>
      </c>
      <c r="BS4" s="3" t="e">
        <f t="shared" si="15" ref="BS4:BS7">AZ4</f>
        <v>#REF!</v>
      </c>
      <c r="BT4" s="3" t="e">
        <f t="shared" si="16" ref="BT4:BT7">AB4</f>
        <v>#REF!</v>
      </c>
      <c r="BU4" s="3" t="e">
        <f t="shared" si="17" ref="BU4:BU7">AZ4</f>
        <v>#REF!</v>
      </c>
      <c r="BV4" s="3" t="s">
        <v>19</v>
      </c>
      <c r="BW4" s="3" t="s">
        <v>19</v>
      </c>
      <c r="BX4" s="3" t="s">
        <v>45</v>
      </c>
      <c r="BY4" s="3" t="str">
        <f t="shared" si="18" ref="BY4:BY7">Q4</f>
        <v>11003155</v>
      </c>
      <c r="BZ4" s="3" t="str">
        <f t="shared" si="19" ref="BZ4:BZ7">L4</f>
        <v>RO02</v>
      </c>
      <c r="CA4" s="3" t="s">
        <v>129</v>
      </c>
      <c r="CB4" s="3" t="s">
        <v>115</v>
      </c>
      <c r="CC4" s="3" t="s">
        <v>63</v>
      </c>
      <c r="CD4" s="3" t="e">
        <f t="shared" si="20" ref="CD4:CD7">AB4</f>
        <v>#REF!</v>
      </c>
      <c r="CE4" s="3" t="e">
        <f t="shared" si="21" ref="CE4:CE7">AZ4</f>
        <v>#REF!</v>
      </c>
      <c r="CF4" s="8" t="e">
        <f>[1]Output!F4</f>
        <v>#REF!</v>
      </c>
      <c r="CG4" s="5" t="e">
        <f t="shared" si="22" ref="CG4:CG7">"Document "&amp;CF4&amp;" was posted in company code "&amp;L4</f>
        <v>#REF!</v>
      </c>
      <c r="CH4" s="3" t="s">
        <v>118</v>
      </c>
      <c r="CI4" s="3" t="s">
        <v>118</v>
      </c>
      <c r="CJ4" s="3" t="e">
        <f t="shared" si="23" ref="CJ4:CJ7">CF4</f>
        <v>#REF!</v>
      </c>
      <c r="CK4" s="3" t="str">
        <f t="shared" si="24" ref="CK4:CK7">L4</f>
        <v>RO02</v>
      </c>
      <c r="CL4" s="3">
        <f ca="1" t="shared" si="25" ref="CL4:CL7">YEAR(TODAY())</f>
        <v>2025</v>
      </c>
      <c r="CM4" s="5" t="s">
        <v>137</v>
      </c>
      <c r="CN4" s="5" t="s">
        <v>115</v>
      </c>
      <c r="CO4" s="9" t="s">
        <v>47</v>
      </c>
      <c r="CP4" s="9" t="s">
        <v>47</v>
      </c>
      <c r="CQ4" s="9" t="s">
        <v>101</v>
      </c>
      <c r="CR4" s="13" t="s">
        <v>58</v>
      </c>
      <c r="CS4" s="5" t="s">
        <v>115</v>
      </c>
      <c r="CT4" s="21" t="s">
        <v>91</v>
      </c>
      <c r="CU4" s="9" t="s">
        <v>47</v>
      </c>
      <c r="CV4" s="9" t="s">
        <v>47</v>
      </c>
      <c r="CW4" s="9" t="s">
        <v>22</v>
      </c>
      <c r="CX4" s="13" t="s">
        <v>13</v>
      </c>
      <c r="CY4" s="18" t="e">
        <f t="shared" si="26" ref="CY4:CY7">CONCATENATE(BG4,"-")</f>
        <v>#REF!</v>
      </c>
      <c r="CZ4" s="13" t="s">
        <v>48</v>
      </c>
      <c r="DA4" s="25" t="e">
        <f>[1]Output!H4</f>
        <v>#REF!</v>
      </c>
      <c r="DB4" s="20" t="e">
        <f t="shared" si="27" ref="DB4:DB7">IF(RIGHT(DA4,1)="-",LEFT(DA4,LEN(DA4)-1),DA4)</f>
        <v>#REF!</v>
      </c>
      <c r="DC4" s="20" t="e">
        <f>IF(RIGHT(DB4,1)="-",LEFT(DB4,LEN(DB4)-1),DB4)</f>
        <v>#REF!</v>
      </c>
      <c r="DD4" s="2" t="s">
        <v>132</v>
      </c>
      <c r="DE4" s="2" t="s">
        <v>132</v>
      </c>
      <c r="DF4" s="6" t="str">
        <f t="shared" si="28" ref="DF4:DF7">Q4</f>
        <v>11003155</v>
      </c>
      <c r="DG4" s="6" t="str">
        <f t="shared" si="29" ref="DG4:DG7">L4</f>
        <v>RO02</v>
      </c>
      <c r="DH4" s="6" t="b">
        <v>1</v>
      </c>
      <c r="DI4" s="6" t="b">
        <v>0</v>
      </c>
      <c r="DJ4" s="6" t="b">
        <v>1</v>
      </c>
      <c r="DK4" s="6" t="e">
        <f t="shared" si="30" ref="DK4:DK7">AB4</f>
        <v>#REF!</v>
      </c>
      <c r="DL4" s="6" t="e">
        <f t="shared" si="31" ref="DL4:DL7">AZ4</f>
        <v>#REF!</v>
      </c>
      <c r="DM4" s="6" t="e">
        <f t="shared" si="32" ref="DM4:DM7">CF4</f>
        <v>#REF!</v>
      </c>
      <c r="DN4" s="19" t="s">
        <v>68</v>
      </c>
      <c r="DO4" s="16" t="b">
        <v>1</v>
      </c>
    </row>
    <row r="5" s="17" customFormat="1">
      <c r="A5" s="1">
        <v>5</v>
      </c>
      <c r="B5" s="1" t="s">
        <v>142</v>
      </c>
      <c r="C5" s="10" t="s">
        <v>70</v>
      </c>
      <c r="D5" s="10" t="s">
        <v>52</v>
      </c>
      <c r="E5" s="22" t="s">
        <v>127</v>
      </c>
      <c r="F5" s="10" t="s">
        <v>143</v>
      </c>
      <c r="G5" s="10" t="s">
        <v>128</v>
      </c>
      <c r="H5" s="2" t="s">
        <v>1</v>
      </c>
      <c r="I5" s="2" t="s">
        <v>53</v>
      </c>
      <c r="J5" s="2" t="s">
        <v>53</v>
      </c>
      <c r="K5" s="3" t="s">
        <v>182</v>
      </c>
      <c r="L5" s="3" t="s">
        <v>2</v>
      </c>
      <c r="M5" s="3"/>
      <c r="N5" s="3" t="s">
        <v>129</v>
      </c>
      <c r="O5" s="3" t="s">
        <v>183</v>
      </c>
      <c r="P5" s="3" t="s">
        <v>173</v>
      </c>
      <c r="Q5" s="3">
        <v>11011629</v>
      </c>
      <c r="R5" s="3" t="s">
        <v>156</v>
      </c>
      <c r="S5" s="3" t="s">
        <v>173</v>
      </c>
      <c r="T5" s="3" t="s">
        <v>173</v>
      </c>
      <c r="U5" s="3" t="s">
        <v>13</v>
      </c>
      <c r="V5" s="3">
        <f t="shared" si="0"/>
        <v>11011629</v>
      </c>
      <c r="W5" s="3" t="s">
        <v>115</v>
      </c>
      <c r="X5" s="3" t="s">
        <v>156</v>
      </c>
      <c r="Y5" s="3" t="s">
        <v>88</v>
      </c>
      <c r="Z5" s="3" t="s">
        <v>173</v>
      </c>
      <c r="AA5" s="3" t="s">
        <v>173</v>
      </c>
      <c r="AB5" s="8" t="e">
        <f>[1]Output!A5</f>
        <v>#REF!</v>
      </c>
      <c r="AC5" s="5" t="e">
        <f t="shared" si="1"/>
        <v>#REF!</v>
      </c>
      <c r="AD5" s="2" t="s">
        <v>53</v>
      </c>
      <c r="AE5" s="2" t="s">
        <v>53</v>
      </c>
      <c r="AF5" s="3" t="s">
        <v>55</v>
      </c>
      <c r="AG5" s="3" t="s">
        <v>15</v>
      </c>
      <c r="AH5" s="3"/>
      <c r="AI5" s="3" t="str">
        <f t="shared" si="2"/>
        <v>RO02</v>
      </c>
      <c r="AJ5" s="3" t="s">
        <v>129</v>
      </c>
      <c r="AK5" s="3" t="s">
        <v>183</v>
      </c>
      <c r="AL5" s="3" t="s">
        <v>173</v>
      </c>
      <c r="AM5" s="3" t="s">
        <v>3</v>
      </c>
      <c r="AN5" s="3">
        <f t="shared" si="3"/>
        <v>11011629</v>
      </c>
      <c r="AO5" s="3" t="s">
        <v>156</v>
      </c>
      <c r="AP5" s="3" t="s">
        <v>173</v>
      </c>
      <c r="AQ5" s="3" t="s">
        <v>173</v>
      </c>
      <c r="AR5" s="3" t="s">
        <v>58</v>
      </c>
      <c r="AS5" s="3">
        <f t="shared" si="4"/>
        <v>11011629</v>
      </c>
      <c r="AT5" s="3" t="s">
        <v>115</v>
      </c>
      <c r="AU5" s="3" t="s">
        <v>156</v>
      </c>
      <c r="AV5" s="3" t="s">
        <v>88</v>
      </c>
      <c r="AW5" s="3" t="s">
        <v>173</v>
      </c>
      <c r="AX5" s="3"/>
      <c r="AY5" s="3" t="s">
        <v>173</v>
      </c>
      <c r="AZ5" s="8" t="e">
        <f>[1]Output!D5</f>
        <v>#REF!</v>
      </c>
      <c r="BA5" s="5" t="e">
        <f t="shared" si="5"/>
        <v>#REF!</v>
      </c>
      <c r="BB5" s="2" t="s">
        <v>118</v>
      </c>
      <c r="BC5" s="2" t="s">
        <v>118</v>
      </c>
      <c r="BD5" s="3" t="str">
        <f t="shared" si="6"/>
        <v>RO02</v>
      </c>
      <c r="BE5" s="3">
        <f ca="1" t="shared" si="7"/>
        <v>2025</v>
      </c>
      <c r="BF5" s="3" t="e">
        <f t="shared" si="8"/>
        <v>#REF!</v>
      </c>
      <c r="BG5" s="8" t="e">
        <f>[1]Output!B5</f>
        <v>#REF!</v>
      </c>
      <c r="BH5" s="3" t="s">
        <v>118</v>
      </c>
      <c r="BI5" s="3" t="s">
        <v>118</v>
      </c>
      <c r="BJ5" s="3" t="str">
        <f t="shared" si="9"/>
        <v>RO02</v>
      </c>
      <c r="BK5" s="3">
        <f ca="1" t="shared" si="10"/>
        <v>2025</v>
      </c>
      <c r="BL5" s="3" t="e">
        <f t="shared" si="11"/>
        <v>#REF!</v>
      </c>
      <c r="BM5" s="8" t="e">
        <f>[1]Output!E5</f>
        <v>#REF!</v>
      </c>
      <c r="BN5" s="12" t="e">
        <f t="shared" si="12"/>
        <v>#REF!</v>
      </c>
      <c r="BO5" s="2" t="s">
        <v>132</v>
      </c>
      <c r="BP5" s="2" t="s">
        <v>132</v>
      </c>
      <c r="BQ5" s="3">
        <f t="shared" si="13"/>
        <v>11011629</v>
      </c>
      <c r="BR5" s="3" t="e">
        <f t="shared" si="14"/>
        <v>#REF!</v>
      </c>
      <c r="BS5" s="3" t="e">
        <f t="shared" si="15"/>
        <v>#REF!</v>
      </c>
      <c r="BT5" s="3" t="e">
        <f t="shared" si="16"/>
        <v>#REF!</v>
      </c>
      <c r="BU5" s="3" t="e">
        <f t="shared" si="17"/>
        <v>#REF!</v>
      </c>
      <c r="BV5" s="3" t="s">
        <v>19</v>
      </c>
      <c r="BW5" s="3" t="s">
        <v>19</v>
      </c>
      <c r="BX5" s="3" t="s">
        <v>45</v>
      </c>
      <c r="BY5" s="3">
        <f t="shared" si="18"/>
        <v>11011629</v>
      </c>
      <c r="BZ5" s="3" t="str">
        <f t="shared" si="19"/>
        <v>RO02</v>
      </c>
      <c r="CA5" s="3" t="s">
        <v>129</v>
      </c>
      <c r="CB5" s="3" t="s">
        <v>115</v>
      </c>
      <c r="CC5" s="3" t="s">
        <v>63</v>
      </c>
      <c r="CD5" s="3" t="e">
        <f t="shared" si="20"/>
        <v>#REF!</v>
      </c>
      <c r="CE5" s="3" t="e">
        <f t="shared" si="21"/>
        <v>#REF!</v>
      </c>
      <c r="CF5" s="8" t="e">
        <f>[1]Output!F5</f>
        <v>#REF!</v>
      </c>
      <c r="CG5" s="5" t="e">
        <f t="shared" si="22"/>
        <v>#REF!</v>
      </c>
      <c r="CH5" s="3" t="s">
        <v>118</v>
      </c>
      <c r="CI5" s="3" t="s">
        <v>118</v>
      </c>
      <c r="CJ5" s="3" t="e">
        <f t="shared" si="23"/>
        <v>#REF!</v>
      </c>
      <c r="CK5" s="3" t="str">
        <f t="shared" si="24"/>
        <v>RO02</v>
      </c>
      <c r="CL5" s="3">
        <f ca="1" t="shared" si="25"/>
        <v>2025</v>
      </c>
      <c r="CM5" s="5" t="s">
        <v>137</v>
      </c>
      <c r="CN5" s="5" t="s">
        <v>115</v>
      </c>
      <c r="CO5" s="9" t="s">
        <v>193</v>
      </c>
      <c r="CP5" s="9" t="s">
        <v>193</v>
      </c>
      <c r="CQ5" s="6">
        <f>Q5</f>
        <v>11011629</v>
      </c>
      <c r="CR5" s="5" t="s">
        <v>58</v>
      </c>
      <c r="CS5" s="5" t="s">
        <v>115</v>
      </c>
      <c r="CT5" s="5" t="s">
        <v>68</v>
      </c>
      <c r="CU5" s="9" t="s">
        <v>193</v>
      </c>
      <c r="CV5" s="9" t="s">
        <v>193</v>
      </c>
      <c r="CW5" s="9" t="s">
        <v>139</v>
      </c>
      <c r="CX5" s="5" t="s">
        <v>165</v>
      </c>
      <c r="CY5" s="18" t="e">
        <f t="shared" si="26"/>
        <v>#REF!</v>
      </c>
      <c r="CZ5" s="5" t="s">
        <v>68</v>
      </c>
      <c r="DA5" s="8" t="s">
        <v>8</v>
      </c>
      <c r="DB5" s="12" t="str">
        <f t="shared" si="27"/>
        <v>38,40</v>
      </c>
      <c r="DC5" s="12" t="e">
        <f t="shared" si="33" ref="DC5:DC7">TEXT(ABS(BG5-BN5),"##,#0")</f>
        <v>#REF!</v>
      </c>
      <c r="DD5" s="2" t="s">
        <v>132</v>
      </c>
      <c r="DE5" s="2" t="s">
        <v>132</v>
      </c>
      <c r="DF5" s="6">
        <f t="shared" si="28"/>
        <v>11011629</v>
      </c>
      <c r="DG5" s="6" t="str">
        <f t="shared" si="29"/>
        <v>RO02</v>
      </c>
      <c r="DH5" s="6" t="b">
        <v>1</v>
      </c>
      <c r="DI5" s="6" t="b">
        <v>0</v>
      </c>
      <c r="DJ5" s="6" t="b">
        <v>1</v>
      </c>
      <c r="DK5" s="6" t="e">
        <f t="shared" si="30"/>
        <v>#REF!</v>
      </c>
      <c r="DL5" s="6" t="e">
        <f t="shared" si="31"/>
        <v>#REF!</v>
      </c>
      <c r="DM5" s="6" t="e">
        <f t="shared" si="32"/>
        <v>#REF!</v>
      </c>
      <c r="DN5" s="19" t="s">
        <v>68</v>
      </c>
      <c r="DO5" s="16"/>
    </row>
    <row r="6" s="17" customFormat="1">
      <c r="A6" s="1">
        <v>6</v>
      </c>
      <c r="B6" s="1" t="s">
        <v>11</v>
      </c>
      <c r="C6" s="10" t="s">
        <v>112</v>
      </c>
      <c r="D6" s="10" t="s">
        <v>52</v>
      </c>
      <c r="E6" s="10" t="s">
        <v>170</v>
      </c>
      <c r="F6" s="10" t="s">
        <v>187</v>
      </c>
      <c r="G6" s="10" t="s">
        <v>128</v>
      </c>
      <c r="H6" s="2" t="s">
        <v>1</v>
      </c>
      <c r="I6" s="2" t="s">
        <v>53</v>
      </c>
      <c r="J6" s="2" t="s">
        <v>53</v>
      </c>
      <c r="K6" s="3" t="s">
        <v>54</v>
      </c>
      <c r="L6" s="3" t="s">
        <v>2</v>
      </c>
      <c r="M6" s="3"/>
      <c r="N6" s="3" t="s">
        <v>129</v>
      </c>
      <c r="O6" s="3" t="s">
        <v>183</v>
      </c>
      <c r="P6" s="3" t="s">
        <v>173</v>
      </c>
      <c r="Q6" s="3" t="s">
        <v>101</v>
      </c>
      <c r="R6" s="3" t="s">
        <v>156</v>
      </c>
      <c r="S6" s="3" t="s">
        <v>173</v>
      </c>
      <c r="T6" s="3" t="s">
        <v>173</v>
      </c>
      <c r="U6" s="3" t="s">
        <v>13</v>
      </c>
      <c r="V6" s="3" t="str">
        <f t="shared" si="0"/>
        <v>11003155</v>
      </c>
      <c r="W6" s="3" t="s">
        <v>115</v>
      </c>
      <c r="X6" s="3" t="s">
        <v>156</v>
      </c>
      <c r="Y6" s="3" t="s">
        <v>88</v>
      </c>
      <c r="Z6" s="3" t="s">
        <v>173</v>
      </c>
      <c r="AA6" s="3" t="s">
        <v>173</v>
      </c>
      <c r="AB6" s="8" t="e">
        <f>[1]Output!A6</f>
        <v>#REF!</v>
      </c>
      <c r="AC6" s="5" t="e">
        <f t="shared" si="1"/>
        <v>#REF!</v>
      </c>
      <c r="AD6" s="2" t="s">
        <v>53</v>
      </c>
      <c r="AE6" s="2" t="s">
        <v>53</v>
      </c>
      <c r="AF6" s="3" t="s">
        <v>40</v>
      </c>
      <c r="AG6" s="3" t="s">
        <v>15</v>
      </c>
      <c r="AH6" s="3"/>
      <c r="AI6" s="3" t="str">
        <f t="shared" si="2"/>
        <v>RO02</v>
      </c>
      <c r="AJ6" s="3" t="s">
        <v>129</v>
      </c>
      <c r="AK6" s="3" t="s">
        <v>183</v>
      </c>
      <c r="AL6" s="3" t="s">
        <v>173</v>
      </c>
      <c r="AM6" s="3" t="s">
        <v>3</v>
      </c>
      <c r="AN6" s="3" t="str">
        <f t="shared" si="3"/>
        <v>11003155</v>
      </c>
      <c r="AO6" s="3" t="s">
        <v>156</v>
      </c>
      <c r="AP6" s="3" t="s">
        <v>173</v>
      </c>
      <c r="AQ6" s="3" t="s">
        <v>173</v>
      </c>
      <c r="AR6" s="3" t="s">
        <v>58</v>
      </c>
      <c r="AS6" s="3" t="str">
        <f t="shared" si="4"/>
        <v>11003155</v>
      </c>
      <c r="AT6" s="3" t="s">
        <v>115</v>
      </c>
      <c r="AU6" s="3" t="s">
        <v>156</v>
      </c>
      <c r="AV6" s="3" t="s">
        <v>88</v>
      </c>
      <c r="AW6" s="3" t="s">
        <v>173</v>
      </c>
      <c r="AX6" s="3"/>
      <c r="AY6" s="3" t="s">
        <v>173</v>
      </c>
      <c r="AZ6" s="8" t="e">
        <f>[1]Output!D6</f>
        <v>#REF!</v>
      </c>
      <c r="BA6" s="5" t="e">
        <f t="shared" si="5"/>
        <v>#REF!</v>
      </c>
      <c r="BB6" s="2" t="s">
        <v>118</v>
      </c>
      <c r="BC6" s="2" t="s">
        <v>118</v>
      </c>
      <c r="BD6" s="3" t="str">
        <f t="shared" si="6"/>
        <v>RO02</v>
      </c>
      <c r="BE6" s="3">
        <f ca="1" t="shared" si="7"/>
        <v>2025</v>
      </c>
      <c r="BF6" s="3" t="e">
        <f t="shared" si="8"/>
        <v>#REF!</v>
      </c>
      <c r="BG6" s="8" t="e">
        <f>[1]Output!B6</f>
        <v>#REF!</v>
      </c>
      <c r="BH6" s="3" t="s">
        <v>118</v>
      </c>
      <c r="BI6" s="3" t="s">
        <v>118</v>
      </c>
      <c r="BJ6" s="3" t="str">
        <f t="shared" si="9"/>
        <v>RO02</v>
      </c>
      <c r="BK6" s="3">
        <f ca="1" t="shared" si="10"/>
        <v>2025</v>
      </c>
      <c r="BL6" s="3" t="e">
        <f t="shared" si="11"/>
        <v>#REF!</v>
      </c>
      <c r="BM6" s="8" t="e">
        <f>[1]Output!E6</f>
        <v>#REF!</v>
      </c>
      <c r="BN6" s="12" t="e">
        <f t="shared" si="12"/>
        <v>#REF!</v>
      </c>
      <c r="BO6" s="2" t="s">
        <v>132</v>
      </c>
      <c r="BP6" s="2" t="s">
        <v>132</v>
      </c>
      <c r="BQ6" s="3" t="str">
        <f t="shared" si="13"/>
        <v>11003155</v>
      </c>
      <c r="BR6" s="3" t="e">
        <f t="shared" si="14"/>
        <v>#REF!</v>
      </c>
      <c r="BS6" s="3" t="e">
        <f t="shared" si="15"/>
        <v>#REF!</v>
      </c>
      <c r="BT6" s="3" t="e">
        <f t="shared" si="16"/>
        <v>#REF!</v>
      </c>
      <c r="BU6" s="3" t="e">
        <f t="shared" si="17"/>
        <v>#REF!</v>
      </c>
      <c r="BV6" s="3" t="s">
        <v>19</v>
      </c>
      <c r="BW6" s="3" t="s">
        <v>19</v>
      </c>
      <c r="BX6" s="3" t="s">
        <v>45</v>
      </c>
      <c r="BY6" s="3" t="str">
        <f t="shared" si="18"/>
        <v>11003155</v>
      </c>
      <c r="BZ6" s="3" t="str">
        <f t="shared" si="19"/>
        <v>RO02</v>
      </c>
      <c r="CA6" s="3" t="s">
        <v>129</v>
      </c>
      <c r="CB6" s="3" t="s">
        <v>115</v>
      </c>
      <c r="CC6" s="3" t="s">
        <v>63</v>
      </c>
      <c r="CD6" s="3" t="e">
        <f t="shared" si="20"/>
        <v>#REF!</v>
      </c>
      <c r="CE6" s="3" t="e">
        <f t="shared" si="21"/>
        <v>#REF!</v>
      </c>
      <c r="CF6" s="8" t="e">
        <f>[1]Output!F6</f>
        <v>#REF!</v>
      </c>
      <c r="CG6" s="5" t="e">
        <f t="shared" si="22"/>
        <v>#REF!</v>
      </c>
      <c r="CH6" s="3" t="s">
        <v>118</v>
      </c>
      <c r="CI6" s="3" t="s">
        <v>118</v>
      </c>
      <c r="CJ6" s="3" t="e">
        <f t="shared" si="23"/>
        <v>#REF!</v>
      </c>
      <c r="CK6" s="3" t="str">
        <f t="shared" si="24"/>
        <v>RO02</v>
      </c>
      <c r="CL6" s="3">
        <f ca="1" t="shared" si="25"/>
        <v>2025</v>
      </c>
      <c r="CM6" s="5" t="s">
        <v>137</v>
      </c>
      <c r="CN6" s="5" t="s">
        <v>115</v>
      </c>
      <c r="CO6" s="9" t="s">
        <v>193</v>
      </c>
      <c r="CP6" s="9" t="s">
        <v>193</v>
      </c>
      <c r="CQ6" s="9" t="s">
        <v>101</v>
      </c>
      <c r="CR6" s="5" t="s">
        <v>58</v>
      </c>
      <c r="CS6" s="5" t="s">
        <v>115</v>
      </c>
      <c r="CT6" s="5" t="s">
        <v>68</v>
      </c>
      <c r="CU6" s="9" t="s">
        <v>193</v>
      </c>
      <c r="CV6" s="9" t="s">
        <v>193</v>
      </c>
      <c r="CW6" s="9" t="s">
        <v>139</v>
      </c>
      <c r="CX6" s="5" t="s">
        <v>165</v>
      </c>
      <c r="CY6" s="18" t="e">
        <f t="shared" si="26"/>
        <v>#REF!</v>
      </c>
      <c r="CZ6" s="5" t="s">
        <v>68</v>
      </c>
      <c r="DA6" s="8" t="s">
        <v>94</v>
      </c>
      <c r="DB6" s="12" t="str">
        <f t="shared" si="27"/>
        <v>76,20</v>
      </c>
      <c r="DC6" s="12" t="e">
        <f t="shared" si="33"/>
        <v>#REF!</v>
      </c>
      <c r="DD6" s="2" t="s">
        <v>132</v>
      </c>
      <c r="DE6" s="2" t="s">
        <v>132</v>
      </c>
      <c r="DF6" s="6" t="str">
        <f t="shared" si="28"/>
        <v>11003155</v>
      </c>
      <c r="DG6" s="6" t="str">
        <f t="shared" si="29"/>
        <v>RO02</v>
      </c>
      <c r="DH6" s="6" t="b">
        <v>1</v>
      </c>
      <c r="DI6" s="6" t="b">
        <v>0</v>
      </c>
      <c r="DJ6" s="6" t="b">
        <v>1</v>
      </c>
      <c r="DK6" s="6" t="e">
        <f t="shared" si="30"/>
        <v>#REF!</v>
      </c>
      <c r="DL6" s="6" t="e">
        <f t="shared" si="31"/>
        <v>#REF!</v>
      </c>
      <c r="DM6" s="6" t="e">
        <f t="shared" si="32"/>
        <v>#REF!</v>
      </c>
      <c r="DN6" s="19" t="s">
        <v>68</v>
      </c>
      <c r="DO6" s="16"/>
    </row>
    <row r="7" s="17" customFormat="1">
      <c r="A7" s="1">
        <v>7</v>
      </c>
      <c r="B7" s="1" t="s">
        <v>125</v>
      </c>
      <c r="C7" s="14" t="s">
        <v>154</v>
      </c>
      <c r="D7" s="14" t="s">
        <v>98</v>
      </c>
      <c r="E7" s="15" t="s">
        <v>126</v>
      </c>
      <c r="F7" s="15" t="s">
        <v>113</v>
      </c>
      <c r="G7" s="10" t="s">
        <v>128</v>
      </c>
      <c r="H7" s="2" t="s">
        <v>1</v>
      </c>
      <c r="I7" s="2" t="s">
        <v>53</v>
      </c>
      <c r="J7" s="2" t="s">
        <v>53</v>
      </c>
      <c r="K7" s="11">
        <f ca="1">TODAY()</f>
        <v>45902</v>
      </c>
      <c r="L7" s="3" t="s">
        <v>2</v>
      </c>
      <c r="M7" s="3"/>
      <c r="N7" s="3" t="s">
        <v>129</v>
      </c>
      <c r="O7" s="3" t="s">
        <v>183</v>
      </c>
      <c r="P7" s="3" t="s">
        <v>173</v>
      </c>
      <c r="Q7" s="3" t="s">
        <v>101</v>
      </c>
      <c r="R7" s="3" t="s">
        <v>156</v>
      </c>
      <c r="S7" s="3" t="s">
        <v>173</v>
      </c>
      <c r="T7" s="3" t="s">
        <v>173</v>
      </c>
      <c r="U7" s="3" t="s">
        <v>13</v>
      </c>
      <c r="V7" s="3" t="str">
        <f t="shared" si="0"/>
        <v>11003155</v>
      </c>
      <c r="W7" s="3" t="s">
        <v>115</v>
      </c>
      <c r="X7" s="3" t="s">
        <v>156</v>
      </c>
      <c r="Y7" s="3" t="s">
        <v>88</v>
      </c>
      <c r="Z7" s="3" t="s">
        <v>173</v>
      </c>
      <c r="AA7" s="3" t="s">
        <v>173</v>
      </c>
      <c r="AB7" s="8" t="e">
        <f>[1]Output!A7</f>
        <v>#REF!</v>
      </c>
      <c r="AC7" s="5" t="e">
        <f t="shared" si="1"/>
        <v>#REF!</v>
      </c>
      <c r="AD7" s="2" t="s">
        <v>53</v>
      </c>
      <c r="AE7" s="2" t="s">
        <v>53</v>
      </c>
      <c r="AF7" s="11">
        <f ca="1">TODAY()</f>
        <v>45902</v>
      </c>
      <c r="AG7" s="3" t="s">
        <v>15</v>
      </c>
      <c r="AH7" s="3"/>
      <c r="AI7" s="3" t="str">
        <f t="shared" si="2"/>
        <v>RO02</v>
      </c>
      <c r="AJ7" s="3" t="s">
        <v>129</v>
      </c>
      <c r="AK7" s="3" t="s">
        <v>183</v>
      </c>
      <c r="AL7" s="3" t="s">
        <v>173</v>
      </c>
      <c r="AM7" s="3" t="s">
        <v>3</v>
      </c>
      <c r="AN7" s="3" t="str">
        <f t="shared" si="3"/>
        <v>11003155</v>
      </c>
      <c r="AO7" s="3" t="s">
        <v>156</v>
      </c>
      <c r="AP7" s="3" t="s">
        <v>173</v>
      </c>
      <c r="AQ7" s="3" t="s">
        <v>173</v>
      </c>
      <c r="AR7" s="3" t="s">
        <v>58</v>
      </c>
      <c r="AS7" s="3" t="str">
        <f t="shared" si="4"/>
        <v>11003155</v>
      </c>
      <c r="AT7" s="3" t="s">
        <v>115</v>
      </c>
      <c r="AU7" s="3" t="s">
        <v>156</v>
      </c>
      <c r="AV7" s="3" t="s">
        <v>88</v>
      </c>
      <c r="AW7" s="3" t="s">
        <v>173</v>
      </c>
      <c r="AX7" s="3"/>
      <c r="AY7" s="3" t="s">
        <v>173</v>
      </c>
      <c r="AZ7" s="8" t="e">
        <f>[1]Output!D7</f>
        <v>#REF!</v>
      </c>
      <c r="BA7" s="5" t="e">
        <f t="shared" si="5"/>
        <v>#REF!</v>
      </c>
      <c r="BB7" s="2" t="s">
        <v>118</v>
      </c>
      <c r="BC7" s="2" t="s">
        <v>118</v>
      </c>
      <c r="BD7" s="3" t="str">
        <f t="shared" si="6"/>
        <v>RO02</v>
      </c>
      <c r="BE7" s="3">
        <f ca="1" t="shared" si="7"/>
        <v>2025</v>
      </c>
      <c r="BF7" s="3" t="e">
        <f t="shared" si="8"/>
        <v>#REF!</v>
      </c>
      <c r="BG7" s="8" t="e">
        <f>[1]Output!B7</f>
        <v>#REF!</v>
      </c>
      <c r="BH7" s="3" t="s">
        <v>118</v>
      </c>
      <c r="BI7" s="3" t="s">
        <v>118</v>
      </c>
      <c r="BJ7" s="3" t="str">
        <f t="shared" si="9"/>
        <v>RO02</v>
      </c>
      <c r="BK7" s="3">
        <f ca="1" t="shared" si="10"/>
        <v>2025</v>
      </c>
      <c r="BL7" s="3" t="e">
        <f t="shared" si="11"/>
        <v>#REF!</v>
      </c>
      <c r="BM7" s="8" t="e">
        <f>[1]Output!E7</f>
        <v>#REF!</v>
      </c>
      <c r="BN7" s="12" t="e">
        <f t="shared" si="12"/>
        <v>#REF!</v>
      </c>
      <c r="BO7" s="2" t="s">
        <v>132</v>
      </c>
      <c r="BP7" s="2" t="s">
        <v>132</v>
      </c>
      <c r="BQ7" s="3" t="str">
        <f t="shared" si="13"/>
        <v>11003155</v>
      </c>
      <c r="BR7" s="3" t="e">
        <f t="shared" si="14"/>
        <v>#REF!</v>
      </c>
      <c r="BS7" s="3" t="e">
        <f t="shared" si="15"/>
        <v>#REF!</v>
      </c>
      <c r="BT7" s="3" t="e">
        <f t="shared" si="16"/>
        <v>#REF!</v>
      </c>
      <c r="BU7" s="3" t="e">
        <f t="shared" si="17"/>
        <v>#REF!</v>
      </c>
      <c r="BV7" s="3" t="s">
        <v>19</v>
      </c>
      <c r="BW7" s="3" t="s">
        <v>19</v>
      </c>
      <c r="BX7" s="3" t="s">
        <v>45</v>
      </c>
      <c r="BY7" s="3" t="str">
        <f t="shared" si="18"/>
        <v>11003155</v>
      </c>
      <c r="BZ7" s="3" t="str">
        <f t="shared" si="19"/>
        <v>RO02</v>
      </c>
      <c r="CA7" s="3" t="s">
        <v>129</v>
      </c>
      <c r="CB7" s="3" t="s">
        <v>115</v>
      </c>
      <c r="CC7" s="3" t="s">
        <v>63</v>
      </c>
      <c r="CD7" s="3" t="e">
        <f t="shared" si="20"/>
        <v>#REF!</v>
      </c>
      <c r="CE7" s="3" t="e">
        <f t="shared" si="21"/>
        <v>#REF!</v>
      </c>
      <c r="CF7" s="8" t="e">
        <f>[1]Output!F7</f>
        <v>#REF!</v>
      </c>
      <c r="CG7" s="5" t="e">
        <f t="shared" si="22"/>
        <v>#REF!</v>
      </c>
      <c r="CH7" s="3" t="s">
        <v>118</v>
      </c>
      <c r="CI7" s="3" t="s">
        <v>118</v>
      </c>
      <c r="CJ7" s="3" t="e">
        <f t="shared" si="23"/>
        <v>#REF!</v>
      </c>
      <c r="CK7" s="3" t="str">
        <f t="shared" si="24"/>
        <v>RO02</v>
      </c>
      <c r="CL7" s="3">
        <f ca="1" t="shared" si="25"/>
        <v>2025</v>
      </c>
      <c r="CM7" s="5" t="s">
        <v>137</v>
      </c>
      <c r="CN7" s="5" t="s">
        <v>115</v>
      </c>
      <c r="CO7" s="9" t="s">
        <v>47</v>
      </c>
      <c r="CP7" s="9" t="s">
        <v>47</v>
      </c>
      <c r="CQ7" s="9" t="s">
        <v>101</v>
      </c>
      <c r="CR7" s="5" t="s">
        <v>58</v>
      </c>
      <c r="CS7" s="5" t="s">
        <v>115</v>
      </c>
      <c r="CT7" s="5" t="s">
        <v>68</v>
      </c>
      <c r="CU7" s="9" t="s">
        <v>47</v>
      </c>
      <c r="CV7" s="9" t="s">
        <v>47</v>
      </c>
      <c r="CW7" s="9" t="s">
        <v>139</v>
      </c>
      <c r="CX7" s="5" t="s">
        <v>165</v>
      </c>
      <c r="CY7" s="18" t="e">
        <f t="shared" si="26"/>
        <v>#REF!</v>
      </c>
      <c r="CZ7" s="5" t="s">
        <v>68</v>
      </c>
      <c r="DA7" s="8" t="s">
        <v>149</v>
      </c>
      <c r="DB7" s="12" t="str">
        <f t="shared" si="27"/>
        <v>11,25</v>
      </c>
      <c r="DC7" s="12" t="e">
        <f t="shared" si="33"/>
        <v>#REF!</v>
      </c>
      <c r="DD7" s="2" t="s">
        <v>132</v>
      </c>
      <c r="DE7" s="2" t="s">
        <v>132</v>
      </c>
      <c r="DF7" s="6" t="str">
        <f t="shared" si="28"/>
        <v>11003155</v>
      </c>
      <c r="DG7" s="6" t="str">
        <f t="shared" si="29"/>
        <v>RO02</v>
      </c>
      <c r="DH7" s="6" t="b">
        <v>1</v>
      </c>
      <c r="DI7" s="6" t="b">
        <v>0</v>
      </c>
      <c r="DJ7" s="6" t="b">
        <v>1</v>
      </c>
      <c r="DK7" s="6" t="e">
        <f t="shared" si="30"/>
        <v>#REF!</v>
      </c>
      <c r="DL7" s="6" t="e">
        <f t="shared" si="31"/>
        <v>#REF!</v>
      </c>
      <c r="DM7" s="6" t="e">
        <f t="shared" si="32"/>
        <v>#REF!</v>
      </c>
      <c r="DN7" s="19" t="s">
        <v>68</v>
      </c>
      <c r="DO7" s="16"/>
    </row>
    <row r="8" s="17" customFormat="1">
      <c r="A8" s="2"/>
      <c r="B8" s="1"/>
      <c r="C8" s="1" t="s"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6"/>
    </row>
    <row r="9" s="17" customFormat="1">
      <c r="A9" s="2"/>
      <c r="B9" s="1"/>
      <c r="C9" s="10" t="s">
        <v>179</v>
      </c>
      <c r="D9" s="1"/>
      <c r="E9" s="1"/>
      <c r="F9" s="1"/>
      <c r="G9" s="1"/>
      <c r="H9" s="1"/>
      <c r="I9" s="1"/>
      <c r="J9" s="1"/>
      <c r="K9" s="11" t="s">
        <v>172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 t="s">
        <v>140</v>
      </c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6"/>
    </row>
    <row r="10" s="17" customFormat="1">
      <c r="A10" s="2"/>
      <c r="B10" s="1"/>
      <c r="C10" s="3" t="s">
        <v>71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6"/>
    </row>
    <row r="11" s="17" customFormat="1">
      <c r="A11" s="2"/>
      <c r="B11" s="1"/>
      <c r="C11" s="24" t="s">
        <v>169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6"/>
    </row>
    <row r="12" s="17" customFormat="1">
      <c r="A12" s="2"/>
      <c r="B12" s="1"/>
      <c r="C12" s="8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6"/>
    </row>
    <row r="13" s="17" customFormat="1">
      <c r="A13" s="2"/>
      <c r="B13" s="1"/>
      <c r="C13" s="12" t="s">
        <v>51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6"/>
    </row>
    <row r="14" s="17" customFormat="1">
      <c r="A14" s="2"/>
      <c r="B14" s="1"/>
      <c r="C14" s="5" t="s">
        <v>96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26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6"/>
    </row>
    <row r="15" s="17" customFormat="1">
      <c r="A15" s="2"/>
      <c r="B15" s="1"/>
      <c r="C15" s="23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1"/>
      <c r="DO15" s="16"/>
    </row>
    <row r="16" s="17" customFormat="1">
      <c r="A16" s="2"/>
      <c r="B16" s="1"/>
      <c r="C16" s="29" t="s">
        <v>97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1"/>
      <c r="DO16" s="16"/>
    </row>
    <row r="17" s="17" customFormat="1">
      <c r="A17" s="2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6"/>
    </row>
    <row r="18" s="17" customFormat="1">
      <c r="A18" s="2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6"/>
    </row>
    <row r="19" s="17" customFormat="1">
      <c r="A19" s="2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6"/>
    </row>
    <row r="20" s="17" customFormat="1">
      <c r="A20" s="2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6"/>
    </row>
    <row r="21" s="17" customFormat="1">
      <c r="A21" s="2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H4"/>
  <sheetViews>
    <sheetView topLeftCell="B1" workbookViewId="0">
      <selection activeCell="B2" sqref="B2"/>
    </sheetView>
  </sheetViews>
  <sheetFormatPr defaultColWidth="9.125" defaultRowHeight="14.25"/>
  <cols>
    <col min="1" max="1" width="10.875" style="17" bestFit="1" customWidth="1"/>
    <col min="2" max="2" width="9.125" style="17" customWidth="1"/>
    <col min="3" max="3" width="10.875" style="17" bestFit="1" customWidth="1"/>
    <col min="4" max="4" width="39.25" style="17" customWidth="1"/>
    <col min="5" max="6" width="9.125" style="17" customWidth="1"/>
    <col min="7" max="7" width="17.25" style="17" customWidth="1"/>
    <col min="8" max="8" width="62.25" style="17" customWidth="1"/>
    <col min="9" max="16384" width="9.125" style="17" customWidth="1"/>
  </cols>
  <sheetData>
    <row r="1" ht="12.75" customHeight="1" customFormat="1">
      <c r="A1" t="s">
        <v>49</v>
      </c>
      <c r="B1" t="s">
        <v>110</v>
      </c>
      <c r="C1" t="s">
        <v>65</v>
      </c>
      <c r="D1" t="s">
        <v>69</v>
      </c>
      <c r="E1" t="s">
        <v>50</v>
      </c>
      <c r="F1" t="s">
        <v>111</v>
      </c>
      <c r="G1" t="s">
        <v>167</v>
      </c>
      <c r="H1" t="s">
        <v>196</v>
      </c>
    </row>
    <row r="2">
      <c r="A2" s="1"/>
      <c r="B2" s="1"/>
      <c r="C2" s="1"/>
      <c r="D2" s="1"/>
      <c r="E2" s="1"/>
      <c r="F2" s="1"/>
      <c r="G2" s="1"/>
      <c r="H2" s="16"/>
    </row>
    <row r="3">
      <c r="A3" s="1"/>
      <c r="B3" s="1"/>
      <c r="C3" s="1"/>
      <c r="D3" s="1"/>
      <c r="E3" s="1"/>
      <c r="F3" s="1"/>
      <c r="G3" s="1"/>
      <c r="H3" s="16"/>
    </row>
    <row r="4">
      <c r="A4" s="1">
        <v>1600000647</v>
      </c>
      <c r="B4" s="1" t="s">
        <v>124</v>
      </c>
      <c r="C4" s="1">
        <v>1600000648</v>
      </c>
      <c r="D4" s="1" t="s">
        <v>124</v>
      </c>
      <c r="E4" s="1" t="s">
        <v>124</v>
      </c>
      <c r="F4" s="1">
        <v>9000063753</v>
      </c>
      <c r="G4" s="1" t="s">
        <v>124</v>
      </c>
      <c r="H4" s="16" t="s">
        <v>10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