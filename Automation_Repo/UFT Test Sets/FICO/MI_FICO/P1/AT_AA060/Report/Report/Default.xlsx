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T" sheetId="2" r:id="rId2"/>
    <sheet name="AT {RunTimeResultFolderCrea..00" sheetId="3" r:id="rId3"/>
    <sheet name="AT {Test_PRE_AA060 Capitali..00" sheetId="4" r:id="rId4"/>
  </sheets>
  <calcPr calcId="40001"/>
</workbook>
</file>

<file path=xl/sharedStrings.xml><?xml version="1.0" encoding="utf-8"?>
<sst xmlns="http://schemas.openxmlformats.org/spreadsheetml/2006/main" uniqueCount="180">
  <si>
    <t/>
  </si>
  <si>
    <t>DT_SAPTRANSACTIONCODE</t>
  </si>
  <si>
    <t>RO02</t>
  </si>
  <si>
    <t>DT_EXPECTEDVALUE_OCC3</t>
  </si>
  <si>
    <t>/nAS03</t>
  </si>
  <si>
    <t>DT_AS01_0301_CHECK_GETCELLVALUE_OF_GRIDCELL_0_BUBTR</t>
  </si>
  <si>
    <t>40</t>
  </si>
  <si>
    <t>Distribution rules saved</t>
  </si>
  <si>
    <t>200.000,00</t>
  </si>
  <si>
    <t>300000227116</t>
  </si>
  <si>
    <t>DT_AS01_1142_CHECK_TEXT_OF_CAPITALIZED_ON_OCC3</t>
  </si>
  <si>
    <t>DT_AS01_1182_WBS_ELEMENT</t>
  </si>
  <si>
    <t>DT_AS01_0100_TYPE</t>
  </si>
  <si>
    <t>DT_AS01_0305_ASSIGNMENT</t>
  </si>
  <si>
    <t>DT_AS01_0100_CHECK_TEXT_OF_STATUSBAR_OCC1</t>
  </si>
  <si>
    <t>DT_AS01_0301_CHECK_GETCELLVALUE_OF_GRIDCELL_0_BWASL</t>
  </si>
  <si>
    <t>DT_AS01_0500_GRIDCELL_0__OCC1</t>
  </si>
  <si>
    <t>DT_AS01_0130_TABLECELL_SETTLEMENT_RECEIVER_0</t>
  </si>
  <si>
    <t>DT_AS01_0130_TABLECELL__0</t>
  </si>
  <si>
    <t>Transfer_of_asstes</t>
  </si>
  <si>
    <t>DT_AS01_0500_CHECK_GETCELLVALUE_OF_GRIDCELL_4_ANBTR</t>
  </si>
  <si>
    <t>DT_AS01_0100_TEST_RUN</t>
  </si>
  <si>
    <t>345</t>
  </si>
  <si>
    <t>Fixed</t>
  </si>
  <si>
    <t>Data Coming from another test</t>
  </si>
  <si>
    <t>DT_AS01_1145_COST_CENTER</t>
  </si>
  <si>
    <t>DT_AS01_1145_CHECK_SELECTED_OF_ASSET_SHUTDOWN</t>
  </si>
  <si>
    <t>A1</t>
  </si>
  <si>
    <t>DT_AS01_0302_ACCOUNT</t>
  </si>
  <si>
    <t>DT_AS01_0301_CHECK_GETCELLVALUE_OF_GRIDCELL_1_BUBTR_2</t>
  </si>
  <si>
    <t>DT_AS01_0301_CHECK_GETCELLVALUE_OF_GRIDCELL_0_BWASL_OCC2</t>
  </si>
  <si>
    <t>DT_AS01_0105_COMPANY_CODE_OCC1</t>
  </si>
  <si>
    <t>Z</t>
  </si>
  <si>
    <t>%blank%</t>
  </si>
  <si>
    <t>DT_AS01_0100_CURRENCYRATE</t>
  </si>
  <si>
    <t>DT_AS01_1142_CHECK_TEXT_OF_CAPITALIZED_ON</t>
  </si>
  <si>
    <t>DT_AS01_0301_CHECK_GETCELLVALUE_OF_GRIDCELL_0_BWATXT</t>
  </si>
  <si>
    <t>External asset acquisition</t>
  </si>
  <si>
    <t>OFF</t>
  </si>
  <si>
    <t>DT_AS01_0500_CHECK_TEXT_OF_STATUSBAR_OCC1</t>
  </si>
  <si>
    <t>DT_AS01_0500_CHECK_TEXT_OF_STATUSBAR_OCC2_OUTPUT</t>
  </si>
  <si>
    <t>Formulas</t>
  </si>
  <si>
    <t>200</t>
  </si>
  <si>
    <t>AUTOMI</t>
  </si>
  <si>
    <t>DT_EXPECTEDVALUE</t>
  </si>
  <si>
    <t>ON</t>
  </si>
  <si>
    <t>AA</t>
  </si>
  <si>
    <t>DT_AS01_0305_AMOUNT</t>
  </si>
  <si>
    <t>DT_EXPECTEDVALUE_OCC4</t>
  </si>
  <si>
    <t>BB</t>
  </si>
  <si>
    <t>DT_AS01_0100_OKCD</t>
  </si>
  <si>
    <t>DT_AS01_0500_GRIDCELL_0_</t>
  </si>
  <si>
    <t>30</t>
  </si>
  <si>
    <t>DT_AS01_0500_CHECK_GETCELLVALUE_OF_GRIDCELL_1_ANBTR</t>
  </si>
  <si>
    <t>DT_AS01_0301_CHECK_GETCELLVALUE_OF_GRIDCELL_3_VERAENDERUNG</t>
  </si>
  <si>
    <t>DT_SAPSYSTEM</t>
  </si>
  <si>
    <t>57755f0999bdf3732f3bebc6</t>
  </si>
  <si>
    <t>DT_AS01_0105_COMPANY_CODE</t>
  </si>
  <si>
    <t>DT_AS01_0100_ACCOUNT</t>
  </si>
  <si>
    <t>120000</t>
  </si>
  <si>
    <t>DT_AS01_0302_BUS_AREA</t>
  </si>
  <si>
    <t>70</t>
  </si>
  <si>
    <t>0,00</t>
  </si>
  <si>
    <t>DT_AS01_0130_TABLECELL_SETTLEMENT_RECEIVER_1</t>
  </si>
  <si>
    <t>DT_AS01_0130_TABLECELL__1</t>
  </si>
  <si>
    <t>500.000,00-</t>
  </si>
  <si>
    <t>DT_AS01_1142_CHECK_TEXT_OF_FIRST_ACQUISITION_ON_OCC1</t>
  </si>
  <si>
    <t>346</t>
  </si>
  <si>
    <t>Input Data</t>
  </si>
  <si>
    <t>DT_SAPLANGUAGE</t>
  </si>
  <si>
    <t>DT_SAPOPTIONS</t>
  </si>
  <si>
    <t>DT_AS01_0105_NUMBER_OF_SIMILAR_ASSETS</t>
  </si>
  <si>
    <t>DT_AS01_1140_DESCRIPTION</t>
  </si>
  <si>
    <t>A001</t>
  </si>
  <si>
    <t>rs000002</t>
  </si>
  <si>
    <t>RBLD</t>
  </si>
  <si>
    <t>R00002.01.RS000002-A3.09</t>
  </si>
  <si>
    <t>S</t>
  </si>
  <si>
    <t>=AA2</t>
  </si>
  <si>
    <t>DT_AS01_0105_OKCD</t>
  </si>
  <si>
    <t>DT_AS01_0302_BUS_AREA_OCC1</t>
  </si>
  <si>
    <t>DT_AS01_0100_CHECK_TEXT_OF_STATUSBAR</t>
  </si>
  <si>
    <t>0</t>
  </si>
  <si>
    <t>150.000,00</t>
  </si>
  <si>
    <t>DT_AS01_0301_CHECK_GETCELLVALUE_OF_GRIDCELL_1_BUBTR_3</t>
  </si>
  <si>
    <t>DT_AS01_0301_CHECK_GETCELLVALUE_OF_GRIDCELL_0_BWASL_OCC3</t>
  </si>
  <si>
    <t>400000113185</t>
  </si>
  <si>
    <t>DT_AS01_0100_CHECK_TEXT_OF_STATUSBAR_OCC1_OUTPUT</t>
  </si>
  <si>
    <t>SCENARIO</t>
  </si>
  <si>
    <t>18006100</t>
  </si>
  <si>
    <t>R002</t>
  </si>
  <si>
    <t>/nAIBU</t>
  </si>
  <si>
    <t>DT_AS01_0500_CHECK_TEXT_OF_STATUSBAR_OCC2</t>
  </si>
  <si>
    <t>DT_AS01_0100_ASSET</t>
  </si>
  <si>
    <t>Verifications</t>
  </si>
  <si>
    <t>Execution Control Data</t>
  </si>
  <si>
    <t>DT_EXPECTEDVALUE_OCC1</t>
  </si>
  <si>
    <t>AB</t>
  </si>
  <si>
    <t>31</t>
  </si>
  <si>
    <t>DT_AS01_0100_OKCD_OCC1</t>
  </si>
  <si>
    <t>DT_EXPECTEDVALUE_OCC5</t>
  </si>
  <si>
    <t>DT_AS01_0500_OKCD</t>
  </si>
  <si>
    <t>DT_AS01_0500_CHECK_GETCELLVALUE_OF_GRIDCELL_3_ANBTR</t>
  </si>
  <si>
    <t>DT_AS01_1142_CHECK_TEXT_OF_CAPITALIZED_ON_OCC1</t>
  </si>
  <si>
    <t>DT_AS01_0105_CHECK_TEXT_OF_STATUSBAR_OCC1</t>
  </si>
  <si>
    <t>RON</t>
  </si>
  <si>
    <t>DT_AS01_0302_TAX_CODE</t>
  </si>
  <si>
    <t>DT_DOCUMENT_CHECK</t>
  </si>
  <si>
    <t>DT_AS01_0110_ADDIT_AREA</t>
  </si>
  <si>
    <t>DT_AS01_0130_TABLECELL__2</t>
  </si>
  <si>
    <t>DT_AS01_0500_CHECK_TEXT_OF_STATUSBAR</t>
  </si>
  <si>
    <t>DT_AS01_0100_ASSET_OCC1</t>
  </si>
  <si>
    <t>DT_COUNT</t>
  </si>
  <si>
    <t>DT_AS01_0105_CHECK_TEXT_OF_STATUSBAR_OCC1_OUTPUT</t>
  </si>
  <si>
    <t>EN</t>
  </si>
  <si>
    <t>DT_AS01_0105_ASSET_CLASS</t>
  </si>
  <si>
    <t>1</t>
  </si>
  <si>
    <t>Test_AA060_AOC_4</t>
  </si>
  <si>
    <t>DT_AS01_1160_EVALUATION_GROUP_1</t>
  </si>
  <si>
    <t>DT_ASSET_CHECK</t>
  </si>
  <si>
    <t>DT_AS01_0100_COMPANY_CODE</t>
  </si>
  <si>
    <t>DT_AS01_0100_PSTKY</t>
  </si>
  <si>
    <t>Document 100032627 was posted in company code RO02</t>
  </si>
  <si>
    <t>DT_AS01_0130_TABLECELL_SETTLEMENT_RECEIVER_2</t>
  </si>
  <si>
    <t>DT_AS01_0301_CHECK_GETCELLVALUE_OF_GRIDCELL_1_BUBTR</t>
  </si>
  <si>
    <t>DT_AS01_1142_CHECK_TEXT_OF_FIRST_ACQUISITION_ON_OCC2</t>
  </si>
  <si>
    <t>RZZZ</t>
  </si>
  <si>
    <t>The asset 400000051126 0 is created</t>
  </si>
  <si>
    <t>/nF-90</t>
  </si>
  <si>
    <t>DT_AS01_0302_TAX_AMOUNT</t>
  </si>
  <si>
    <t>DT_AS01_0500_CHECK_GETCELLVALUE_OF_GRIDCELL_5_ANBTR</t>
  </si>
  <si>
    <t>DT_AS01_0500_CHECK_GETCELLVALUE_OF_GRIDCELL_0_ANBTR</t>
  </si>
  <si>
    <t>DT_AS01_0301_CHECK_GETCELLVALUE_OF_GRIDCELL_1_BWASL</t>
  </si>
  <si>
    <t>DT_AS01_1181_VENDOR</t>
  </si>
  <si>
    <t>K1</t>
  </si>
  <si>
    <t>DT_AS01_0100_PERIOD</t>
  </si>
  <si>
    <t>DT_EXPECTEDVALUE_OCC2</t>
  </si>
  <si>
    <t>DT_AS01_0302_TTYPE</t>
  </si>
  <si>
    <t>100</t>
  </si>
  <si>
    <t>DT_AS01_1142_CHECK_TEXT_OF_FIRST_ACQUISITION_ON</t>
  </si>
  <si>
    <t>/nAIAB</t>
  </si>
  <si>
    <t>DT_AS01_0100_DOCUMENT_TYPE</t>
  </si>
  <si>
    <t>DT_AS01_0500_OKCD_OCC1</t>
  </si>
  <si>
    <t>300000227115</t>
  </si>
  <si>
    <t>DT_AS01_1142_CHECK_TEXT_OF_CAPITALIZED_ON_OCC2</t>
  </si>
  <si>
    <t>AA060 Capitalization of AUC on multiple AA Percentage</t>
  </si>
  <si>
    <t>R1E - SAP RETAIL Pre-Production EUROPE</t>
  </si>
  <si>
    <t>DT_SAPPASSWORD</t>
  </si>
  <si>
    <t>E</t>
  </si>
  <si>
    <t>DT_AS01_1145_BUSINESS_AREA</t>
  </si>
  <si>
    <t>10004337</t>
  </si>
  <si>
    <t>DT_AS01_0105_CHECK_TEXT_OF_STATUSBAR</t>
  </si>
  <si>
    <t>=Output!C2</t>
  </si>
  <si>
    <t>DT_AS01_0302_AMOUNT</t>
  </si>
  <si>
    <t>500.000,00</t>
  </si>
  <si>
    <t>DT_REFERENCE</t>
  </si>
  <si>
    <t>Asset transaction posted with document no. 100032628</t>
  </si>
  <si>
    <t>CI</t>
  </si>
  <si>
    <t>/nas03</t>
  </si>
  <si>
    <t>DT_AS01_0100_ASSET_OCC2</t>
  </si>
  <si>
    <t>DF</t>
  </si>
  <si>
    <t>ROW</t>
  </si>
  <si>
    <t>Login Information</t>
  </si>
  <si>
    <t>DT_SAPUSER</t>
  </si>
  <si>
    <t>DT_AS01_1160_EVALUATION_GROUP_2</t>
  </si>
  <si>
    <t>DT_AS01_0100_DOCUMENT_DATE</t>
  </si>
  <si>
    <t>620.000,00</t>
  </si>
  <si>
    <t>AA01</t>
  </si>
  <si>
    <t>DT_AS01_0700_CHECK_TEXT_OF_C</t>
  </si>
  <si>
    <t>DT_AS01_0500_CHECK_GETCELLVALUE_OF_GRIDCELL_2_ANBTR</t>
  </si>
  <si>
    <t>DT_AS01_0301_CHECK_GETCELLVALUE_OF_GRIDCELL_0_BWASL_OCC1</t>
  </si>
  <si>
    <t>DT_AS01_0301_CHECK_GETCELLVALUE_OF_GRIDCELL_1_BUBTR_1</t>
  </si>
  <si>
    <t>DT_AS01_1142_CHECK_TEXT_OF_FIRST_ACQUISITION_ON_OCC3</t>
  </si>
  <si>
    <t>Output data</t>
  </si>
  <si>
    <t>DT_SAPCLIENT</t>
  </si>
  <si>
    <t>AS01</t>
  </si>
  <si>
    <t>DT_AS01_0302_PSTKY</t>
  </si>
  <si>
    <t>DT_AS01_0100_TEXT</t>
  </si>
  <si>
    <t>DT_AS01_0500_CHECK_GETCELLVALUE_OF_GRIDCELL_7_ANBTR</t>
  </si>
  <si>
    <t>DT_ASSET_CHECK1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</si>
</sst>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164" fontId="1" fillId="2" borderId="1" xfId="0" applyNumberForma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ill="1" applyBorder="1" applyProtection="1">
      <protection locked="0"/>
    </xf>
    <xf numFmtId="49" fontId="2" fillId="0" borderId="1" xfId="0" applyNumberFormat="1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2" borderId="1" xfId="0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0" borderId="1" xfId="0" applyNumberFormat="1" applyBorder="1" applyProtection="1">
      <protection locked="0"/>
    </xf>
    <xf numFmtId="164" fontId="1" fillId="0" borderId="1" xfId="0" applyNumberForma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F11"/>
  <sheetViews>
    <sheetView workbookViewId="0">
      <pane xSplit="1" ySplit="0" topLeftCell="DE2" activePane="topRight"/>
      <selection activeCell="DE2" sqref="DE2"/>
      <selection pane="topRight" activeCell="DE2" sqref="DE2"/>
    </sheetView>
  </sheetViews>
  <sheetFormatPr defaultColWidth="9.125" defaultRowHeight="14.25"/>
  <cols>
    <col min="1" max="1" width="9.125" style="17" customWidth="1"/>
    <col min="2" max="2" width="46.25" style="17" customWidth="1"/>
    <col min="3" max="3" width="38.125" style="17" customWidth="1"/>
    <col min="4" max="4" width="15" style="17" customWidth="1"/>
    <col min="5" max="5" width="13.625" style="17" customWidth="1"/>
    <col min="6" max="6" width="23.5" style="17" customWidth="1"/>
    <col min="7" max="7" width="18.625" style="17" customWidth="1"/>
    <col min="8" max="8" width="16.75" style="17" customWidth="1"/>
    <col min="9" max="9" width="27.125" style="17" customWidth="1"/>
    <col min="10" max="10" width="28.375" style="17" customWidth="1"/>
    <col min="11" max="11" width="30.625" style="17" customWidth="1"/>
    <col min="12" max="12" width="43.625" style="17" customWidth="1"/>
    <col min="13" max="13" width="20.75" style="17" customWidth="1"/>
    <col min="14" max="14" width="36.5" style="17" customWidth="1"/>
    <col min="15" max="15" width="27.875" style="17" customWidth="1"/>
    <col min="16" max="16" width="30.75" style="17" customWidth="1"/>
    <col min="17" max="17" width="29" style="17" customWidth="1"/>
    <col min="18" max="19" width="36.75" style="17" customWidth="1"/>
    <col min="20" max="20" width="29.25" style="17" customWidth="1"/>
    <col min="21" max="21" width="23.125" style="17" customWidth="1"/>
    <col min="22" max="22" width="55.125" style="17" customWidth="1"/>
    <col min="23" max="23" width="26.625" style="17" customWidth="1"/>
    <col min="24" max="24" width="43.25" style="17" customWidth="1"/>
    <col min="25" max="25" width="49.125" style="17" customWidth="1"/>
    <col min="26" max="26" width="23" style="17" customWidth="1"/>
    <col min="27" max="27" width="20.625" style="17" customWidth="1"/>
    <col min="28" max="28" width="13.5" style="17" customWidth="1"/>
    <col min="29" max="29" width="47.5" style="17" customWidth="1"/>
    <col min="30" max="30" width="20.25" style="17" customWidth="1"/>
    <col min="31" max="31" width="32" style="17" customWidth="1"/>
    <col min="32" max="32" width="20.125" style="17" customWidth="1"/>
    <col min="33" max="33" width="30.625" style="17" customWidth="1"/>
    <col min="34" max="34" width="22.25" style="17" customWidth="1"/>
    <col min="35" max="35" width="30.75" style="17" customWidth="1"/>
    <col min="36" max="36" width="21.25" style="17" customWidth="1"/>
    <col min="37" max="37" width="24.25" style="17" customWidth="1"/>
    <col min="38" max="38" width="23.25" style="17" customWidth="1"/>
    <col min="39" max="39" width="27.875" style="17" customWidth="1"/>
    <col min="40" max="40" width="25" style="17" customWidth="1"/>
    <col min="41" max="41" width="25.125" style="17" customWidth="1"/>
    <col min="42" max="42" width="21.25" style="17" customWidth="1"/>
    <col min="43" max="43" width="24.25" style="17" customWidth="1"/>
    <col min="44" max="44" width="26.625" style="17" customWidth="1"/>
    <col min="45" max="45" width="31" style="17" customWidth="1"/>
    <col min="46" max="46" width="26.625" style="17" customWidth="1"/>
    <col min="47" max="47" width="21.375" style="17" customWidth="1"/>
    <col min="48" max="48" width="23.25" style="17" customWidth="1"/>
    <col min="49" max="49" width="27.5" style="17" customWidth="1"/>
    <col min="50" max="50" width="33" style="17" customWidth="1"/>
    <col min="51" max="51" width="26.625" style="17" customWidth="1"/>
    <col min="52" max="52" width="43.25" style="17" customWidth="1"/>
    <col min="53" max="53" width="49.125" style="17" customWidth="1"/>
    <col min="54" max="54" width="10.5" style="17" customWidth="1"/>
    <col min="55" max="55" width="49.125" style="17" customWidth="1"/>
    <col min="56" max="56" width="20.25" style="17" customWidth="1"/>
    <col min="57" max="57" width="47.5" style="17" customWidth="1"/>
    <col min="58" max="58" width="54" style="17" customWidth="1"/>
    <col min="59" max="60" width="60" style="17" customWidth="1"/>
    <col min="61" max="61" width="61.375" style="17" customWidth="1"/>
    <col min="62" max="62" width="26.125" style="17" customWidth="1"/>
    <col min="63" max="63" width="27" style="17" customWidth="1"/>
    <col min="64" max="64" width="27.25" style="17" customWidth="1"/>
    <col min="65" max="65" width="33.125" style="17" customWidth="1"/>
    <col min="66" max="68" width="51.75" style="17" customWidth="1"/>
    <col min="69" max="71" width="28.625" style="17" customWidth="1"/>
    <col min="72" max="72" width="26.625" style="17" customWidth="1"/>
    <col min="73" max="73" width="43.25" style="17" customWidth="1"/>
    <col min="74" max="75" width="20.25" style="17" customWidth="1"/>
    <col min="76" max="76" width="20" style="17" customWidth="1"/>
    <col min="77" max="77" width="31.875" style="17" customWidth="1"/>
    <col min="78" max="84" width="60" style="17" customWidth="1"/>
    <col min="85" max="85" width="25.25" style="17" customWidth="1"/>
    <col min="86" max="87" width="49.125" style="17" customWidth="1"/>
    <col min="88" max="88" width="10" style="17" customWidth="1"/>
    <col min="89" max="89" width="46.5" style="17" customWidth="1"/>
    <col min="90" max="90" width="26.125" style="17" customWidth="1"/>
    <col min="91" max="91" width="69.375" style="17" customWidth="1"/>
    <col min="92" max="93" width="60" style="17" customWidth="1"/>
    <col min="94" max="94" width="21.375" style="17" customWidth="1"/>
    <col min="95" max="95" width="53.375" style="17" customWidth="1"/>
    <col min="96" max="96" width="59.875" style="17" customWidth="1"/>
    <col min="97" max="97" width="65.875" style="17" customWidth="1"/>
    <col min="98" max="98" width="62" style="17" customWidth="1"/>
    <col min="99" max="99" width="27.25" style="17" customWidth="1"/>
    <col min="100" max="100" width="53.375" style="17" customWidth="1"/>
    <col min="101" max="101" width="59.875" style="17" customWidth="1"/>
    <col min="102" max="102" width="62" style="17" customWidth="1"/>
    <col min="103" max="103" width="65.875" style="17" customWidth="1"/>
    <col min="104" max="104" width="27.25" style="17" customWidth="1"/>
    <col min="105" max="105" width="53.375" style="17" customWidth="1"/>
    <col min="106" max="106" width="59.875" style="17" customWidth="1"/>
    <col min="107" max="107" width="62" style="17" customWidth="1"/>
    <col min="108" max="108" width="65.875" style="17" customWidth="1"/>
    <col min="109" max="16384" width="9.125" style="17" customWidth="1"/>
  </cols>
  <sheetData>
    <row r="1" ht="12.75" customHeight="1" customFormat="1">
      <c r="A1" t="s">
        <v>161</v>
      </c>
      <c r="B1" t="s">
        <v>88</v>
      </c>
      <c r="C1" t="s">
        <v>55</v>
      </c>
      <c r="D1" t="s">
        <v>174</v>
      </c>
      <c r="E1" t="s">
        <v>163</v>
      </c>
      <c r="F1" t="s">
        <v>147</v>
      </c>
      <c r="G1" t="s">
        <v>69</v>
      </c>
      <c r="H1" t="s">
        <v>70</v>
      </c>
      <c r="I1" t="s">
        <v>1</v>
      </c>
      <c r="J1" t="s">
        <v>115</v>
      </c>
      <c r="K1" t="s">
        <v>57</v>
      </c>
      <c r="L1" t="s">
        <v>71</v>
      </c>
      <c r="M1" t="s">
        <v>44</v>
      </c>
      <c r="N1" t="s">
        <v>31</v>
      </c>
      <c r="O1" t="s">
        <v>72</v>
      </c>
      <c r="P1" t="s">
        <v>149</v>
      </c>
      <c r="Q1" t="s">
        <v>25</v>
      </c>
      <c r="R1" t="s">
        <v>118</v>
      </c>
      <c r="S1" t="s">
        <v>164</v>
      </c>
      <c r="T1" t="s">
        <v>11</v>
      </c>
      <c r="U1" t="s">
        <v>133</v>
      </c>
      <c r="V1" t="s">
        <v>26</v>
      </c>
      <c r="W1" t="s">
        <v>96</v>
      </c>
      <c r="X1" t="s">
        <v>151</v>
      </c>
      <c r="Y1" t="s">
        <v>104</v>
      </c>
      <c r="Z1" t="s">
        <v>32</v>
      </c>
      <c r="AA1" t="s">
        <v>46</v>
      </c>
      <c r="AB1" t="s">
        <v>97</v>
      </c>
      <c r="AC1" t="s">
        <v>119</v>
      </c>
      <c r="AD1" t="s">
        <v>79</v>
      </c>
      <c r="AE1" t="s">
        <v>165</v>
      </c>
      <c r="AF1" t="s">
        <v>12</v>
      </c>
      <c r="AG1" t="s">
        <v>120</v>
      </c>
      <c r="AH1" t="s">
        <v>135</v>
      </c>
      <c r="AI1" t="s">
        <v>34</v>
      </c>
      <c r="AJ1" t="s">
        <v>121</v>
      </c>
      <c r="AK1" t="s">
        <v>58</v>
      </c>
      <c r="AL1" t="s">
        <v>153</v>
      </c>
      <c r="AM1" t="s">
        <v>129</v>
      </c>
      <c r="AN1" t="s">
        <v>106</v>
      </c>
      <c r="AO1" t="s">
        <v>60</v>
      </c>
      <c r="AP1" t="s">
        <v>176</v>
      </c>
      <c r="AQ1" t="s">
        <v>28</v>
      </c>
      <c r="AR1" t="s">
        <v>136</v>
      </c>
      <c r="AS1" t="s">
        <v>80</v>
      </c>
      <c r="AT1" t="s">
        <v>3</v>
      </c>
      <c r="AU1" t="s">
        <v>137</v>
      </c>
      <c r="AV1" t="s">
        <v>47</v>
      </c>
      <c r="AW1" t="s">
        <v>13</v>
      </c>
      <c r="AX1" t="s">
        <v>168</v>
      </c>
      <c r="AY1" t="s">
        <v>48</v>
      </c>
      <c r="AZ1" t="s">
        <v>81</v>
      </c>
      <c r="BA1" t="s">
        <v>14</v>
      </c>
      <c r="BB1" t="s">
        <v>49</v>
      </c>
      <c r="BC1" t="s">
        <v>107</v>
      </c>
      <c r="BD1" t="s">
        <v>50</v>
      </c>
      <c r="BE1" t="s">
        <v>35</v>
      </c>
      <c r="BF1" t="s">
        <v>139</v>
      </c>
      <c r="BG1" t="s">
        <v>5</v>
      </c>
      <c r="BH1" t="s">
        <v>15</v>
      </c>
      <c r="BI1" t="s">
        <v>36</v>
      </c>
      <c r="BJ1" t="s">
        <v>99</v>
      </c>
      <c r="BK1" t="s">
        <v>108</v>
      </c>
      <c r="BL1" t="s">
        <v>51</v>
      </c>
      <c r="BM1" t="s">
        <v>16</v>
      </c>
      <c r="BN1" t="s">
        <v>17</v>
      </c>
      <c r="BO1" t="s">
        <v>63</v>
      </c>
      <c r="BP1" t="s">
        <v>123</v>
      </c>
      <c r="BQ1" t="s">
        <v>18</v>
      </c>
      <c r="BR1" t="s">
        <v>64</v>
      </c>
      <c r="BS1" t="s">
        <v>109</v>
      </c>
      <c r="BT1" t="s">
        <v>100</v>
      </c>
      <c r="BU1" t="s">
        <v>110</v>
      </c>
      <c r="BV1" t="s">
        <v>101</v>
      </c>
      <c r="BW1" t="s">
        <v>155</v>
      </c>
      <c r="BX1" t="s">
        <v>177</v>
      </c>
      <c r="BY1" t="s">
        <v>141</v>
      </c>
      <c r="BZ1" t="s">
        <v>178</v>
      </c>
      <c r="CA1" t="s">
        <v>130</v>
      </c>
      <c r="CB1" t="s">
        <v>131</v>
      </c>
      <c r="CC1" t="s">
        <v>53</v>
      </c>
      <c r="CD1" t="s">
        <v>169</v>
      </c>
      <c r="CE1" t="s">
        <v>102</v>
      </c>
      <c r="CF1" t="s">
        <v>20</v>
      </c>
      <c r="CG1" t="s">
        <v>21</v>
      </c>
      <c r="CH1" t="s">
        <v>39</v>
      </c>
      <c r="CI1" t="s">
        <v>92</v>
      </c>
      <c r="CJ1" t="s">
        <v>157</v>
      </c>
      <c r="CK1" t="s">
        <v>179</v>
      </c>
      <c r="CL1" t="s">
        <v>142</v>
      </c>
      <c r="CM1" t="s">
        <v>54</v>
      </c>
      <c r="CN1" t="s">
        <v>124</v>
      </c>
      <c r="CO1" t="s">
        <v>132</v>
      </c>
      <c r="CP1" t="s">
        <v>93</v>
      </c>
      <c r="CQ1" t="s">
        <v>103</v>
      </c>
      <c r="CR1" t="s">
        <v>66</v>
      </c>
      <c r="CS1" t="s">
        <v>170</v>
      </c>
      <c r="CT1" t="s">
        <v>171</v>
      </c>
      <c r="CU1" t="s">
        <v>111</v>
      </c>
      <c r="CV1" t="s">
        <v>144</v>
      </c>
      <c r="CW1" t="s">
        <v>125</v>
      </c>
      <c r="CX1" t="s">
        <v>29</v>
      </c>
      <c r="CY1" t="s">
        <v>30</v>
      </c>
      <c r="CZ1" t="s">
        <v>159</v>
      </c>
      <c r="DA1" t="s">
        <v>10</v>
      </c>
      <c r="DB1" t="s">
        <v>172</v>
      </c>
      <c r="DC1" t="s">
        <v>84</v>
      </c>
      <c r="DD1" t="s">
        <v>85</v>
      </c>
      <c r="DE1" t="s">
        <v>112</v>
      </c>
      <c r="DF1" t="s">
        <v>160</v>
      </c>
    </row>
    <row r="2">
      <c r="A2" s="1">
        <v>2</v>
      </c>
      <c r="B2" s="1" t="s">
        <v>145</v>
      </c>
      <c r="C2" s="6" t="s">
        <v>146</v>
      </c>
      <c r="D2" s="6" t="s">
        <v>42</v>
      </c>
      <c r="E2" s="6" t="s">
        <v>43</v>
      </c>
      <c r="F2" s="6" t="s">
        <v>56</v>
      </c>
      <c r="G2" s="6" t="s">
        <v>114</v>
      </c>
      <c r="H2" s="6" t="s">
        <v>0</v>
      </c>
      <c r="I2" s="2" t="s">
        <v>175</v>
      </c>
      <c r="J2" s="2" t="s">
        <v>89</v>
      </c>
      <c r="K2" s="2" t="s">
        <v>90</v>
      </c>
      <c r="L2" s="2" t="s">
        <v>116</v>
      </c>
      <c r="M2" s="4" t="s">
        <v>148</v>
      </c>
      <c r="N2" s="2" t="s">
        <v>2</v>
      </c>
      <c r="O2" s="2" t="s">
        <v>117</v>
      </c>
      <c r="P2" s="2" t="s">
        <v>73</v>
      </c>
      <c r="Q2" s="2" t="s">
        <v>74</v>
      </c>
      <c r="R2" s="2" t="s">
        <v>75</v>
      </c>
      <c r="S2" s="2" t="s">
        <v>126</v>
      </c>
      <c r="T2" s="2" t="s">
        <v>76</v>
      </c>
      <c r="U2" s="2" t="s">
        <v>150</v>
      </c>
      <c r="V2" s="4" t="s">
        <v>45</v>
      </c>
      <c r="W2" s="4" t="s">
        <v>77</v>
      </c>
      <c r="X2" s="4" t="s">
        <v>152</v>
      </c>
      <c r="Y2" s="7" t="s">
        <v>127</v>
      </c>
      <c r="Z2" s="14" t="str">
        <f>RIGHT(Y2,LEN(Y2)-10)</f>
        <v>400000051126 0 is created</v>
      </c>
      <c r="AA2" s="16" t="s">
        <v>152</v>
      </c>
      <c r="AB2" s="16" t="s">
        <v>78</v>
      </c>
      <c r="AC2" s="14" t="str">
        <f>"The asset "&amp;AB2&amp;"0 is created"</f>
        <v>The asset =AA20 is created</v>
      </c>
      <c r="AD2" s="2" t="s">
        <v>128</v>
      </c>
      <c r="AE2" s="10">
        <f ca="1">TODAY()</f>
        <v>45512</v>
      </c>
      <c r="AF2" s="2" t="s">
        <v>134</v>
      </c>
      <c r="AG2" s="2" t="s">
        <v>2</v>
      </c>
      <c r="AH2" s="2" t="s">
        <v>33</v>
      </c>
      <c r="AI2" s="2" t="s">
        <v>105</v>
      </c>
      <c r="AJ2" s="2" t="s">
        <v>98</v>
      </c>
      <c r="AK2" s="2" t="s">
        <v>150</v>
      </c>
      <c r="AL2" s="2" t="s">
        <v>166</v>
      </c>
      <c r="AM2" s="2" t="s">
        <v>59</v>
      </c>
      <c r="AN2" s="2" t="s">
        <v>27</v>
      </c>
      <c r="AO2" s="2" t="s">
        <v>167</v>
      </c>
      <c r="AP2" s="2" t="s">
        <v>61</v>
      </c>
      <c r="AQ2" s="8" t="str">
        <f>AA2</f>
        <v>=Output!C2</v>
      </c>
      <c r="AR2" s="2" t="s">
        <v>148</v>
      </c>
      <c r="AS2" s="2" t="s">
        <v>73</v>
      </c>
      <c r="AT2" s="4" t="s">
        <v>148</v>
      </c>
      <c r="AU2" s="2" t="s">
        <v>138</v>
      </c>
      <c r="AV2" s="2" t="s">
        <v>154</v>
      </c>
      <c r="AW2" s="2" t="s">
        <v>117</v>
      </c>
      <c r="AX2" s="20" t="s">
        <v>62</v>
      </c>
      <c r="AY2" s="4" t="s">
        <v>77</v>
      </c>
      <c r="AZ2" s="4" t="s">
        <v>0</v>
      </c>
      <c r="BA2" s="7" t="s">
        <v>122</v>
      </c>
      <c r="BB2" s="9" t="str">
        <f>MID(BA2,10,10)</f>
        <v xml:space="preserve">100032627 </v>
      </c>
      <c r="BC2" s="9" t="str">
        <f>"Document "&amp;BB2 &amp;"was posted in company code RO02"</f>
        <v>Document 100032627 was posted in company code RO02</v>
      </c>
      <c r="BD2" s="2" t="s">
        <v>4</v>
      </c>
      <c r="BE2" s="10">
        <f ca="1" t="shared" si="0" ref="BE2:BF2">TODAY()</f>
        <v>45512</v>
      </c>
      <c r="BF2" s="10">
        <f ca="1" t="shared" si="0"/>
        <v>45512</v>
      </c>
      <c r="BG2" s="2" t="s">
        <v>154</v>
      </c>
      <c r="BH2" s="2" t="s">
        <v>138</v>
      </c>
      <c r="BI2" s="3" t="s">
        <v>37</v>
      </c>
      <c r="BJ2" s="2" t="s">
        <v>140</v>
      </c>
      <c r="BK2" s="2" t="s">
        <v>33</v>
      </c>
      <c r="BL2" s="2" t="s">
        <v>33</v>
      </c>
      <c r="BM2" s="2" t="s">
        <v>82</v>
      </c>
      <c r="BN2" s="8" t="str">
        <f>CP2&amp;"-0"</f>
        <v>300000227114-0</v>
      </c>
      <c r="BO2" s="8" t="str">
        <f>CU2&amp;"-0"</f>
        <v>300000227115-0</v>
      </c>
      <c r="BP2" s="8" t="str">
        <f>CZ2&amp;"-0"</f>
        <v>300000227116-0</v>
      </c>
      <c r="BQ2" s="2" t="s">
        <v>52</v>
      </c>
      <c r="BR2" s="2" t="s">
        <v>6</v>
      </c>
      <c r="BS2" s="2" t="s">
        <v>52</v>
      </c>
      <c r="BT2" s="4" t="s">
        <v>77</v>
      </c>
      <c r="BU2" s="3" t="s">
        <v>7</v>
      </c>
      <c r="BV2" s="2" t="s">
        <v>91</v>
      </c>
      <c r="BW2" s="8" t="str">
        <f ca="1">CONCATENATE("PIF",TEXT(TODAY(),"DD.MM.YYYY"))</f>
        <v>PIF08.08.2024</v>
      </c>
      <c r="BX2" s="2" t="s">
        <v>19</v>
      </c>
      <c r="BY2" s="2" t="s">
        <v>46</v>
      </c>
      <c r="BZ2" s="3" t="s">
        <v>154</v>
      </c>
      <c r="CA2" s="3" t="s">
        <v>83</v>
      </c>
      <c r="CB2" s="3" t="s">
        <v>83</v>
      </c>
      <c r="CC2" s="3" t="s">
        <v>83</v>
      </c>
      <c r="CD2" s="3" t="s">
        <v>8</v>
      </c>
      <c r="CE2" s="3" t="s">
        <v>8</v>
      </c>
      <c r="CF2" s="3" t="s">
        <v>83</v>
      </c>
      <c r="CG2" s="3" t="s">
        <v>38</v>
      </c>
      <c r="CH2" s="4" t="s">
        <v>0</v>
      </c>
      <c r="CI2" s="7" t="s">
        <v>156</v>
      </c>
      <c r="CJ2" s="9" t="str">
        <f>MID(CI2,44,10)</f>
        <v>100032628</v>
      </c>
      <c r="CK2" s="9" t="str">
        <f>"Asset transaction posted with document no. " &amp;CJ2</f>
        <v>Asset transaction posted with document no. 100032628</v>
      </c>
      <c r="CL2" s="2" t="s">
        <v>158</v>
      </c>
      <c r="CM2" s="3" t="s">
        <v>33</v>
      </c>
      <c r="CN2" s="3" t="s">
        <v>65</v>
      </c>
      <c r="CO2" s="3" t="s">
        <v>22</v>
      </c>
      <c r="CP2" s="11">
        <v>300000227114</v>
      </c>
      <c r="CQ2" s="5">
        <f ca="1" t="shared" si="1" ref="CQ2:CR3">TODAY()</f>
        <v>45512</v>
      </c>
      <c r="CR2" s="5">
        <f ca="1" t="shared" si="1"/>
        <v>45512</v>
      </c>
      <c r="CS2" s="3" t="s">
        <v>67</v>
      </c>
      <c r="CT2" s="3" t="s">
        <v>83</v>
      </c>
      <c r="CU2" s="15" t="s">
        <v>143</v>
      </c>
      <c r="CV2" s="5">
        <f ca="1" t="shared" si="2" ref="CV2:CW3">TODAY()</f>
        <v>45512</v>
      </c>
      <c r="CW2" s="5">
        <f ca="1" t="shared" si="2"/>
        <v>45512</v>
      </c>
      <c r="CX2" s="3" t="s">
        <v>8</v>
      </c>
      <c r="CY2" s="3" t="s">
        <v>67</v>
      </c>
      <c r="CZ2" s="15" t="s">
        <v>9</v>
      </c>
      <c r="DA2" s="5">
        <f ca="1" t="shared" si="3" ref="DA2:DB3">TODAY()</f>
        <v>45512</v>
      </c>
      <c r="DB2" s="5">
        <f ca="1" t="shared" si="3"/>
        <v>45512</v>
      </c>
      <c r="DC2" s="3" t="s">
        <v>83</v>
      </c>
      <c r="DD2" s="3" t="s">
        <v>67</v>
      </c>
      <c r="DE2" s="1"/>
      <c r="DF2" s="2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" t="s">
        <v>46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7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7"/>
      <c r="CL3" s="1"/>
      <c r="CM3" s="1"/>
      <c r="CN3" s="1"/>
      <c r="CO3" s="1"/>
      <c r="CP3" s="11" t="str">
        <f>"300000084624"</f>
        <v>300000084624</v>
      </c>
      <c r="CQ3" s="5">
        <f ca="1" t="shared" si="1"/>
        <v>45512</v>
      </c>
      <c r="CR3" s="5">
        <f ca="1" t="shared" si="1"/>
        <v>45512</v>
      </c>
      <c r="CS3" s="1"/>
      <c r="CT3" s="1"/>
      <c r="CU3" s="11" t="str">
        <f>"300000084625"</f>
        <v>300000084625</v>
      </c>
      <c r="CV3" s="5">
        <f ca="1" t="shared" si="2"/>
        <v>45512</v>
      </c>
      <c r="CW3" s="5">
        <f ca="1" t="shared" si="2"/>
        <v>45512</v>
      </c>
      <c r="CX3" s="1"/>
      <c r="CY3" s="1"/>
      <c r="CZ3" s="11" t="str">
        <f>"300000084626"</f>
        <v>300000084626</v>
      </c>
      <c r="DA3" s="5">
        <f ca="1" t="shared" si="3"/>
        <v>45512</v>
      </c>
      <c r="DB3" s="5">
        <f ca="1" t="shared" si="3"/>
        <v>45512</v>
      </c>
      <c r="DC3" s="1"/>
      <c r="DD3" s="1"/>
      <c r="DE3" s="1"/>
      <c r="DF3" s="13"/>
    </row>
    <row r="4">
      <c r="A4" s="1"/>
      <c r="B4" s="22" t="s">
        <v>162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4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1" t="str">
        <f>"300000108777"</f>
        <v>300000108777</v>
      </c>
      <c r="CQ4" s="1"/>
      <c r="CR4" s="1"/>
      <c r="CS4" s="1"/>
      <c r="CT4" s="1"/>
      <c r="CU4" s="11" t="str">
        <f>"300000108778"</f>
        <v>300000108778</v>
      </c>
      <c r="CV4" s="1"/>
      <c r="CW4" s="1"/>
      <c r="CX4" s="1"/>
      <c r="CY4" s="1"/>
      <c r="CZ4" s="11" t="str">
        <f>"300000108779"</f>
        <v>300000108779</v>
      </c>
      <c r="DA4" s="1"/>
      <c r="DB4" s="1"/>
      <c r="DC4" s="1"/>
      <c r="DD4" s="1"/>
      <c r="DE4" s="1"/>
      <c r="DF4" s="13"/>
    </row>
    <row r="5">
      <c r="A5" s="1"/>
      <c r="B5" s="19" t="s">
        <v>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3"/>
    </row>
    <row r="6">
      <c r="A6" s="1"/>
      <c r="B6" s="1" t="s">
        <v>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3" t="str">
        <f ca="1">CONCATENATE("PIF",TEXT(TODAY(),"DD.MM.YYYY"))</f>
        <v>PIF08.08.2024</v>
      </c>
      <c r="P6" s="27">
        <f ca="1">TODAY()</f>
        <v>45512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3"/>
    </row>
    <row r="7">
      <c r="A7" s="1"/>
      <c r="B7" s="29" t="s">
        <v>173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3"/>
    </row>
    <row r="8">
      <c r="A8" s="1"/>
      <c r="B8" s="18" t="s">
        <v>41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3"/>
    </row>
    <row r="9">
      <c r="A9" s="1"/>
      <c r="B9" s="25" t="s">
        <v>94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3"/>
    </row>
    <row r="10">
      <c r="A10" s="1"/>
      <c r="B10" s="28" t="s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3"/>
    </row>
    <row r="11">
      <c r="A11" s="1"/>
      <c r="B11" s="26" t="s">
        <v>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3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1" width="9.125" style="17" customWidth="1"/>
    <col min="2" max="2" width="25.125" style="17" customWidth="1"/>
    <col min="3" max="3" width="45.75" style="17" customWidth="1"/>
    <col min="4" max="5" width="59.25" style="17" bestFit="1" customWidth="1"/>
    <col min="6" max="16384" width="9.125" style="17" customWidth="1"/>
  </cols>
  <sheetData>
    <row r="1" ht="12.75" customHeight="1" customFormat="1">
      <c r="A1" t="s">
        <v>161</v>
      </c>
      <c r="B1" t="s">
        <v>88</v>
      </c>
      <c r="C1" t="s">
        <v>113</v>
      </c>
      <c r="D1" t="s">
        <v>87</v>
      </c>
      <c r="E1" t="s">
        <v>40</v>
      </c>
    </row>
    <row r="2">
      <c r="A2" s="1">
        <v>2</v>
      </c>
      <c r="B2" s="1" t="s">
        <v>145</v>
      </c>
      <c r="C2" s="4" t="s">
        <v>86</v>
      </c>
      <c r="D2" s="1">
        <v>3000000698</v>
      </c>
      <c r="E2" s="13">
        <v>100004006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