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4_BR04" sheetId="2" r:id="rId2"/>
    <sheet name="TC5_BR05a" sheetId="3" r:id="rId3"/>
    <sheet name="TC7_BR06" sheetId="4" r:id="rId4"/>
    <sheet name="TC9_BR09" sheetId="5" r:id="rId5"/>
    <sheet name="TC8_BR07" sheetId="6" r:id="rId6"/>
    <sheet name="TC6_BR05b" sheetId="7" r:id="rId7"/>
    <sheet name="TC1_BR01" sheetId="8" r:id="rId8"/>
    <sheet name="TC2_BR02" sheetId="9" r:id="rId9"/>
    <sheet name="TC0_RunTimeResultFolder" sheetId="10" r:id="rId10"/>
    <sheet name="DT1" sheetId="11" r:id="rId11"/>
    <sheet name="TC3_BR03" sheetId="12" r:id="rId12"/>
  </sheets>
  <calcPr calcId="40001"/>
</workbook>
</file>

<file path=xl/sharedStrings.xml><?xml version="1.0" encoding="utf-8"?>
<sst xmlns="http://schemas.openxmlformats.org/spreadsheetml/2006/main" uniqueCount="80">
  <si>
    <t/>
  </si>
  <si>
    <t>DT_SAPTRANSACTIONCODE</t>
  </si>
  <si>
    <t>13723972</t>
  </si>
  <si>
    <t>=Output!C3</t>
  </si>
  <si>
    <t>=Output!D4</t>
  </si>
  <si>
    <t>Verifications Date</t>
  </si>
  <si>
    <t>Data Coming from another test</t>
  </si>
  <si>
    <t>4357</t>
  </si>
  <si>
    <t>DT_OPTVIM_7AX2_1105_DOCUMENT_ID</t>
  </si>
  <si>
    <t>Scenario</t>
  </si>
  <si>
    <t>Output Data</t>
  </si>
  <si>
    <t>AUTOFDLL</t>
  </si>
  <si>
    <t>Iovio002!</t>
  </si>
  <si>
    <t>%blank%</t>
  </si>
  <si>
    <t>200</t>
  </si>
  <si>
    <t>DT_OPTVIM_7AX2_2002_VENDOR_REFERENCE</t>
  </si>
  <si>
    <t>DT_OPTVIM_7AX2_2002_VENDOR_VAT_NO</t>
  </si>
  <si>
    <t>DT_OPTVIM_WF_ID</t>
  </si>
  <si>
    <t>DT_EXPECTEDVALUE</t>
  </si>
  <si>
    <t>DLL_04.04.02.10 VIM - NPO Precontrole Issue - BR09 - Invalid Vendor VAT Number (NPO)</t>
  </si>
  <si>
    <t>DT_SAPSYSTEM</t>
  </si>
  <si>
    <t>AUTOAB</t>
  </si>
  <si>
    <t>5773350fdc53786c0f299a99</t>
  </si>
  <si>
    <t>=Output!C4</t>
  </si>
  <si>
    <t>=Output!E2</t>
  </si>
  <si>
    <t>EL072595815</t>
  </si>
  <si>
    <t>Changes saved successfully</t>
  </si>
  <si>
    <t>Input Data</t>
  </si>
  <si>
    <t>DT_SAPLANGUAGE</t>
  </si>
  <si>
    <t>DT_SAPOPTIONS</t>
  </si>
  <si>
    <t>DT_OPTVIM_7AX2_0002_ARCH</t>
  </si>
  <si>
    <t>DT_GET_VENDOR_VAT_NO</t>
  </si>
  <si>
    <t>DT_OPTVIM_DOC_NUM</t>
  </si>
  <si>
    <t>S</t>
  </si>
  <si>
    <t>=Q2</t>
  </si>
  <si>
    <t>Row</t>
  </si>
  <si>
    <t>2801637</t>
  </si>
  <si>
    <t>6213076</t>
  </si>
  <si>
    <t>4</t>
  </si>
  <si>
    <t>DT_OPTVIM_7AX2_1000_GRIDCELL_0_EXECUTE</t>
  </si>
  <si>
    <t>Formulas Date</t>
  </si>
  <si>
    <t>Verifications</t>
  </si>
  <si>
    <t>Execution Control Data</t>
  </si>
  <si>
    <t>31</t>
  </si>
  <si>
    <t>DT_OPTVIM_7AX2_1000_GRIDCELL_1_DOC_ID</t>
  </si>
  <si>
    <t>ICON_EXEC</t>
  </si>
  <si>
    <t>DT_OPTVIM_7AX2_2004_CHECK_GETCELLVALUE_OF_GRIDCELL_7_STATUS_OCC1</t>
  </si>
  <si>
    <t>/OPT/VIM_7AX2</t>
  </si>
  <si>
    <t>DT_OPTVIM_7AX2_0002_ADDL_DOCS_OLD</t>
  </si>
  <si>
    <t>=Output!D2</t>
  </si>
  <si>
    <t>EN</t>
  </si>
  <si>
    <t>DT_INCREMENT</t>
  </si>
  <si>
    <t>=Output!E3</t>
  </si>
  <si>
    <t>DT_OPTVIM_7AX2_0002_CHECK_TEXT_OF_STATUSBAR_OCC1</t>
  </si>
  <si>
    <t>=Q3</t>
  </si>
  <si>
    <t>DT_OPTVIM_7AX2_2004_CHECK_TEXT_OF_WND1</t>
  </si>
  <si>
    <t>DT_OPTVIM_7AX2_2004_CHECK_GETCELLVALUE_OF_GRIDCELL_7_STATUS</t>
  </si>
  <si>
    <t>@08\QProcessed@</t>
  </si>
  <si>
    <t>Formulas General</t>
  </si>
  <si>
    <t>DT_VENDOR_NUMBER</t>
  </si>
  <si>
    <t>/n/OPT/VIM_WP</t>
  </si>
  <si>
    <t>MI_04.04.02.10 VIM - NPO Precontrole Issue - BR09 - Invalid Vendor VAT Number (NPO)</t>
  </si>
  <si>
    <t>Fixed Data</t>
  </si>
  <si>
    <t>R1E - SAP RETAIL Pre-Production EUROPE</t>
  </si>
  <si>
    <t>DT_SAPPASSWORD</t>
  </si>
  <si>
    <t>=Output!C2</t>
  </si>
  <si>
    <t>=Output!D3</t>
  </si>
  <si>
    <t>AB_04.04.02.10 VIM - NPO Precontrole Issue - BR09 - Invalid Vendor VAT Number (NPO)</t>
  </si>
  <si>
    <t>Login Information</t>
  </si>
  <si>
    <t>DT_SAPUSER</t>
  </si>
  <si>
    <t>S5</t>
  </si>
  <si>
    <t>=Output!E4</t>
  </si>
  <si>
    <t>DT_OPTVIM_7AX2_0002_OKCD</t>
  </si>
  <si>
    <t>=Q4</t>
  </si>
  <si>
    <t>DT_OPTVIM_7AX2_9400_VENDOR_VAT_NUMBER</t>
  </si>
  <si>
    <t>DT_OPTVIM_7AX2_1000_CHECK_TEXT_OF_STATUSBAR</t>
  </si>
  <si>
    <t>DT_SAPCLIENT</t>
  </si>
  <si>
    <t>DT_OPTVIM_7AX2_0150_ALL_USERS_VIEW</t>
  </si>
  <si>
    <t>@0A\QException occured@</t>
  </si>
  <si>
    <t>DT_OPTVIM_7AX2_0002_ADDL_DOCS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</si>
</sst>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2" borderId="1" xfId="0" applyFont="1" applyFill="1" applyBorder="1" applyAlignment="1" applyProtection="1">
      <protection locked="0"/>
    </xf>
    <xf numFmtId="0" fontId="1" fillId="2" borderId="1" xfId="0" applyFont="1" applyFill="1" applyBorder="1" applyProtection="1">
      <protection locked="0"/>
    </xf>
    <xf numFmtId="49" fontId="3" fillId="0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5"/>
  <sheetViews>
    <sheetView zoomScale="70"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5" style="13" customWidth="1"/>
    <col min="2" max="2" width="82.625" style="13" customWidth="1"/>
    <col min="3" max="3" width="35.375" style="13" customWidth="1"/>
    <col min="4" max="4" width="14.5" style="13" customWidth="1"/>
    <col min="5" max="5" width="13" style="13" customWidth="1"/>
    <col min="6" max="6" width="48" style="13" customWidth="1"/>
    <col min="7" max="7" width="18.125" style="13" customWidth="1"/>
    <col min="8" max="8" width="16" style="13" customWidth="1"/>
    <col min="9" max="9" width="26.375" style="13" customWidth="1"/>
    <col min="10" max="10" width="28.375" style="13" customWidth="1"/>
    <col min="11" max="12" width="34.25" style="13" customWidth="1"/>
    <col min="13" max="13" width="15.625" style="13" customWidth="1"/>
    <col min="14" max="15" width="43" style="13" customWidth="1"/>
    <col min="16" max="16" width="39.875" style="13" customWidth="1"/>
    <col min="17" max="17" width="23.375" style="13" customWidth="1"/>
    <col min="18" max="18" width="19.875" style="13" customWidth="1"/>
    <col min="19" max="19" width="60.625" style="13" customWidth="1"/>
    <col min="20" max="20" width="28.375" style="13" customWidth="1"/>
    <col min="21" max="21" width="39.375" style="13" customWidth="1"/>
    <col min="22" max="22" width="20" style="13" customWidth="1"/>
    <col min="23" max="23" width="42.125" style="13" customWidth="1"/>
    <col min="24" max="24" width="36.875" style="13" customWidth="1"/>
    <col min="25" max="25" width="43.5" style="13" customWidth="1"/>
    <col min="26" max="26" width="58.625" style="13" customWidth="1"/>
    <col min="27" max="27" width="68.125" style="13" customWidth="1"/>
    <col min="28" max="28" width="44.875" style="13" customWidth="1"/>
    <col min="29" max="29" width="74.125" style="13" customWidth="1"/>
    <col min="30" max="30" width="50" style="13" customWidth="1"/>
    <col min="31" max="31" width="36.25" style="13" bestFit="1" customWidth="1"/>
    <col min="32" max="16384" width="9.125" style="13" customWidth="1"/>
  </cols>
  <sheetData>
    <row r="1" ht="12.75" customHeight="1" customFormat="1">
      <c r="A1" t="s">
        <v>35</v>
      </c>
      <c r="B1" t="s">
        <v>9</v>
      </c>
      <c r="C1" t="s">
        <v>20</v>
      </c>
      <c r="D1" t="s">
        <v>76</v>
      </c>
      <c r="E1" t="s">
        <v>69</v>
      </c>
      <c r="F1" t="s">
        <v>64</v>
      </c>
      <c r="G1" t="s">
        <v>28</v>
      </c>
      <c r="H1" t="s">
        <v>29</v>
      </c>
      <c r="I1" t="s">
        <v>1</v>
      </c>
      <c r="J1" t="s">
        <v>30</v>
      </c>
      <c r="K1" t="s">
        <v>48</v>
      </c>
      <c r="L1" t="s">
        <v>31</v>
      </c>
      <c r="M1" t="s">
        <v>51</v>
      </c>
      <c r="N1" t="s">
        <v>15</v>
      </c>
      <c r="O1" t="s">
        <v>59</v>
      </c>
      <c r="P1" t="s">
        <v>16</v>
      </c>
      <c r="Q1" t="s">
        <v>32</v>
      </c>
      <c r="R1" t="s">
        <v>17</v>
      </c>
      <c r="S1" t="s">
        <v>53</v>
      </c>
      <c r="T1" t="s">
        <v>72</v>
      </c>
      <c r="U1" t="s">
        <v>77</v>
      </c>
      <c r="V1" t="s">
        <v>18</v>
      </c>
      <c r="W1" t="s">
        <v>44</v>
      </c>
      <c r="X1" t="s">
        <v>8</v>
      </c>
      <c r="Y1" t="s">
        <v>39</v>
      </c>
      <c r="Z1" t="s">
        <v>55</v>
      </c>
      <c r="AA1" t="s">
        <v>56</v>
      </c>
      <c r="AB1" t="s">
        <v>74</v>
      </c>
      <c r="AC1" t="s">
        <v>46</v>
      </c>
      <c r="AD1" t="s">
        <v>75</v>
      </c>
      <c r="AE1" t="s">
        <v>79</v>
      </c>
    </row>
    <row r="2">
      <c r="A2" s="1">
        <v>1</v>
      </c>
      <c r="B2" s="1" t="s">
        <v>19</v>
      </c>
      <c r="C2" s="5" t="s">
        <v>63</v>
      </c>
      <c r="D2" s="5" t="s">
        <v>14</v>
      </c>
      <c r="E2" s="5" t="s">
        <v>11</v>
      </c>
      <c r="F2" s="5" t="s">
        <v>22</v>
      </c>
      <c r="G2" s="5" t="s">
        <v>50</v>
      </c>
      <c r="H2" s="5" t="s">
        <v>0</v>
      </c>
      <c r="I2" s="4" t="s">
        <v>47</v>
      </c>
      <c r="J2" s="4" t="s">
        <v>70</v>
      </c>
      <c r="K2" s="11" t="s">
        <v>36</v>
      </c>
      <c r="L2" s="20" t="s">
        <v>65</v>
      </c>
      <c r="M2" s="4" t="s">
        <v>43</v>
      </c>
      <c r="N2" s="7" t="str">
        <f t="shared" si="0" ref="N2:N4">"Invalid Vnd VAT "&amp;M2</f>
        <v>Invalid Vnd VAT 31</v>
      </c>
      <c r="O2" s="7"/>
      <c r="P2" s="4" t="s">
        <v>13</v>
      </c>
      <c r="Q2" s="6" t="s">
        <v>49</v>
      </c>
      <c r="R2" s="6" t="s">
        <v>24</v>
      </c>
      <c r="S2" s="8" t="str">
        <f t="shared" si="1" ref="S2:S4">"Document Number "&amp;Q2&amp;" Workflow ID "&amp;R2</f>
        <v>Document Number =Output!D2 Workflow ID =Output!E2</v>
      </c>
      <c r="T2" s="4" t="s">
        <v>60</v>
      </c>
      <c r="U2" s="4" t="s">
        <v>38</v>
      </c>
      <c r="V2" s="4" t="s">
        <v>33</v>
      </c>
      <c r="W2" s="4" t="s">
        <v>13</v>
      </c>
      <c r="X2" s="4" t="s">
        <v>34</v>
      </c>
      <c r="Y2" s="6" t="s">
        <v>45</v>
      </c>
      <c r="Z2" s="8" t="str">
        <f t="shared" si="2" ref="Z2:Z4">"Simulate Business Rules for DP Document - "&amp;Q2</f>
        <v>Simulate Business Rules for DP Document - =Output!D2</v>
      </c>
      <c r="AA2" s="6" t="s">
        <v>78</v>
      </c>
      <c r="AB2" s="7" t="str">
        <f>L2</f>
        <v>=Output!C2</v>
      </c>
      <c r="AC2" s="6" t="s">
        <v>57</v>
      </c>
      <c r="AD2" s="6" t="s">
        <v>26</v>
      </c>
      <c r="AE2" s="23"/>
    </row>
    <row r="3">
      <c r="A3" s="1">
        <v>2</v>
      </c>
      <c r="B3" s="1" t="s">
        <v>67</v>
      </c>
      <c r="C3" s="5" t="s">
        <v>63</v>
      </c>
      <c r="D3" s="5" t="s">
        <v>14</v>
      </c>
      <c r="E3" s="5" t="s">
        <v>21</v>
      </c>
      <c r="F3" s="5" t="s">
        <v>12</v>
      </c>
      <c r="G3" s="5" t="s">
        <v>50</v>
      </c>
      <c r="H3" s="5" t="s">
        <v>0</v>
      </c>
      <c r="I3" s="4" t="s">
        <v>47</v>
      </c>
      <c r="J3" s="4" t="s">
        <v>70</v>
      </c>
      <c r="K3" s="11" t="s">
        <v>2</v>
      </c>
      <c r="L3" s="20" t="s">
        <v>3</v>
      </c>
      <c r="M3" s="4">
        <v>120</v>
      </c>
      <c r="N3" s="7" t="str">
        <f t="shared" si="0"/>
        <v>Invalid Vnd VAT 120</v>
      </c>
      <c r="O3" s="17"/>
      <c r="P3" s="4" t="s">
        <v>7</v>
      </c>
      <c r="Q3" s="6" t="s">
        <v>66</v>
      </c>
      <c r="R3" s="6" t="s">
        <v>52</v>
      </c>
      <c r="S3" s="8" t="str">
        <f t="shared" si="1"/>
        <v>Document Number =Output!D3 Workflow ID =Output!E3</v>
      </c>
      <c r="T3" s="4" t="s">
        <v>60</v>
      </c>
      <c r="U3" s="4" t="s">
        <v>38</v>
      </c>
      <c r="V3" s="4" t="s">
        <v>33</v>
      </c>
      <c r="W3" s="4" t="s">
        <v>13</v>
      </c>
      <c r="X3" s="4" t="s">
        <v>54</v>
      </c>
      <c r="Y3" s="6" t="s">
        <v>45</v>
      </c>
      <c r="Z3" s="8" t="str">
        <f t="shared" si="2"/>
        <v>Simulate Business Rules for DP Document - =Output!D3</v>
      </c>
      <c r="AA3" s="6" t="s">
        <v>78</v>
      </c>
      <c r="AB3" s="7" t="s">
        <v>25</v>
      </c>
      <c r="AC3" s="6" t="s">
        <v>57</v>
      </c>
      <c r="AD3" s="6" t="s">
        <v>26</v>
      </c>
      <c r="AE3" s="23">
        <v>49308844</v>
      </c>
    </row>
    <row r="4">
      <c r="A4" s="1">
        <v>3</v>
      </c>
      <c r="B4" s="1" t="s">
        <v>61</v>
      </c>
      <c r="C4" s="5" t="s">
        <v>63</v>
      </c>
      <c r="D4" s="5" t="s">
        <v>14</v>
      </c>
      <c r="E4" s="5" t="s">
        <v>11</v>
      </c>
      <c r="F4" s="5" t="s">
        <v>22</v>
      </c>
      <c r="G4" s="5" t="s">
        <v>50</v>
      </c>
      <c r="H4" s="5" t="s">
        <v>0</v>
      </c>
      <c r="I4" s="4" t="s">
        <v>47</v>
      </c>
      <c r="J4" s="4" t="s">
        <v>70</v>
      </c>
      <c r="K4" s="11" t="s">
        <v>37</v>
      </c>
      <c r="L4" s="20" t="s">
        <v>23</v>
      </c>
      <c r="M4" s="4">
        <v>124</v>
      </c>
      <c r="N4" s="7" t="str">
        <f t="shared" si="0"/>
        <v>Invalid Vnd VAT 124</v>
      </c>
      <c r="O4" s="17"/>
      <c r="P4" s="4" t="s">
        <v>13</v>
      </c>
      <c r="Q4" s="6" t="s">
        <v>4</v>
      </c>
      <c r="R4" s="6" t="s">
        <v>71</v>
      </c>
      <c r="S4" s="8" t="str">
        <f t="shared" si="1"/>
        <v>Document Number =Output!D4 Workflow ID =Output!E4</v>
      </c>
      <c r="T4" s="4" t="s">
        <v>60</v>
      </c>
      <c r="U4" s="4" t="s">
        <v>38</v>
      </c>
      <c r="V4" s="4" t="s">
        <v>33</v>
      </c>
      <c r="W4" s="4" t="s">
        <v>13</v>
      </c>
      <c r="X4" s="4" t="s">
        <v>73</v>
      </c>
      <c r="Y4" s="6" t="s">
        <v>45</v>
      </c>
      <c r="Z4" s="8" t="str">
        <f t="shared" si="2"/>
        <v>Simulate Business Rules for DP Document - =Output!D4</v>
      </c>
      <c r="AA4" s="6" t="s">
        <v>78</v>
      </c>
      <c r="AB4" s="7" t="str">
        <f>L4</f>
        <v>=Output!C4</v>
      </c>
      <c r="AC4" s="6" t="s">
        <v>57</v>
      </c>
      <c r="AD4" s="6" t="s">
        <v>26</v>
      </c>
      <c r="AE4" s="23">
        <v>49313711</v>
      </c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19"/>
      <c r="L5" s="2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4"/>
      <c r="AC5" s="1"/>
      <c r="AD5" s="1"/>
      <c r="AE5" s="23"/>
    </row>
    <row r="6">
      <c r="A6" s="1"/>
      <c r="B6" s="21" t="s">
        <v>68</v>
      </c>
      <c r="C6" s="1"/>
      <c r="D6" s="1"/>
      <c r="E6" s="1"/>
      <c r="F6" s="1"/>
      <c r="G6" s="1"/>
      <c r="H6" s="1"/>
      <c r="I6" s="1"/>
      <c r="J6" s="1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9"/>
      <c r="AC6" s="1"/>
      <c r="AD6" s="1"/>
      <c r="AE6" s="23"/>
    </row>
    <row r="7">
      <c r="A7" s="1"/>
      <c r="B7" s="18" t="s">
        <v>27</v>
      </c>
      <c r="C7" s="1"/>
      <c r="D7" s="1"/>
      <c r="E7" s="1"/>
      <c r="F7" s="1"/>
      <c r="G7" s="1"/>
      <c r="H7" s="1"/>
      <c r="I7" s="1"/>
      <c r="J7" s="1"/>
      <c r="K7" s="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3"/>
    </row>
    <row r="8">
      <c r="A8" s="1"/>
      <c r="B8" s="25" t="s">
        <v>62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3"/>
    </row>
    <row r="9">
      <c r="A9" s="1"/>
      <c r="B9" s="14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23"/>
    </row>
    <row r="10">
      <c r="A10" s="1"/>
      <c r="B10" s="22" t="s">
        <v>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23"/>
    </row>
    <row r="11">
      <c r="A11" s="1"/>
      <c r="B11" s="12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23"/>
    </row>
    <row r="12">
      <c r="A12" s="1"/>
      <c r="B12" s="10" t="s">
        <v>41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23"/>
    </row>
    <row r="13">
      <c r="A13" s="1"/>
      <c r="B13" s="16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23"/>
    </row>
    <row r="14">
      <c r="A14" s="1"/>
      <c r="B14" s="15" t="s">
        <v>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23"/>
    </row>
    <row r="15">
      <c r="A15" s="1"/>
      <c r="B15" s="26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2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