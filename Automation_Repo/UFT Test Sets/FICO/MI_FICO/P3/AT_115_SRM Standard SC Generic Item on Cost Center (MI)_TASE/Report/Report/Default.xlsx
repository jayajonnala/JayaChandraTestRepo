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5_Test_SRM_Approve" sheetId="3" r:id="rId3"/>
    <sheet name="TC1_Test_113" sheetId="4" r:id="rId4"/>
    <sheet name="TC2_Test_159" sheetId="5" r:id="rId5"/>
    <sheet name="TC4_DT1_DataTransfer_One" sheetId="6" r:id="rId6"/>
    <sheet name="TC3_Test_115" sheetId="7" r:id="rId7"/>
    <sheet name="TC6_Test_115_P2" sheetId="8" r:id="rId8"/>
    <sheet name="AT {{1}RunTimeResultFolderC..00" sheetId="9" r:id="rId9"/>
  </sheets>
  <externalReferences>
    <externalReference r:id="rId13"/>
  </externalReferences>
  <definedNames>
    <definedName name="_xlnm._FilterDatabase" localSheetId="0" hidden="1">#N/A</definedName>
  </definedNames>
  <calcPr calcId="40001"/>
</workbook>
</file>

<file path=xl/sharedStrings.xml><?xml version="1.0" encoding="utf-8"?>
<sst xmlns="http://schemas.openxmlformats.org/spreadsheetml/2006/main" uniqueCount="147">
  <si>
    <t>AT_04.04.02.23 VIM - PO Precontrole Issue - BR03 - Missing Vendor Invoice Reference (PO) MI</t>
  </si>
  <si>
    <t>AT_04.04.02.27 VIM - MI</t>
  </si>
  <si>
    <t/>
  </si>
  <si>
    <t>AT_SRM_116_12</t>
  </si>
  <si>
    <t>=I15</t>
  </si>
  <si>
    <t>=I26</t>
  </si>
  <si>
    <t>=H4</t>
  </si>
  <si>
    <t>=H24</t>
  </si>
  <si>
    <t>=H28</t>
  </si>
  <si>
    <t>=H39</t>
  </si>
  <si>
    <t>6300091377/10</t>
  </si>
  <si>
    <t>AT_04.04.02.21 VIM - PO Precontrole Issue - BR01 - Invalid Company  MI</t>
  </si>
  <si>
    <t>AT_04.04.02.40 VIM - PO Precontrole Issue - BR18 - Invalid Tax Info (PO) MI</t>
  </si>
  <si>
    <t>DT_NAME_OF_SHOPPING_CART</t>
  </si>
  <si>
    <t>1000008641</t>
  </si>
  <si>
    <t>1000343261</t>
  </si>
  <si>
    <t>=I5</t>
  </si>
  <si>
    <t>=I9</t>
  </si>
  <si>
    <t>=H8</t>
  </si>
  <si>
    <t>DT_Item</t>
  </si>
  <si>
    <t>DT_SCENARIO</t>
  </si>
  <si>
    <t>AT_04.04.02.31 VIM - PO Precontrole Issue - BR10 - Invalid Vendor VAT Number (PO) MI</t>
  </si>
  <si>
    <t>AT_04.04.02.25 VIM - MI</t>
  </si>
  <si>
    <t>AT_04.04.02.40 VIM - MI</t>
  </si>
  <si>
    <t>DT_SAPURL</t>
  </si>
  <si>
    <t>Test_115_70</t>
  </si>
  <si>
    <t>6300091366/10</t>
  </si>
  <si>
    <t>DT_PO_Item</t>
  </si>
  <si>
    <t>AT_04.04.02.30 VIM - PO Precontrole Issue - BR09 - Invalid Recipien MI</t>
  </si>
  <si>
    <t>AT_04.04.02.36 VIM - PO Precontrole Issue - BR14 - Company Code Mismatch (PO) MI</t>
  </si>
  <si>
    <t>Test_115_67</t>
  </si>
  <si>
    <t>=I12</t>
  </si>
  <si>
    <t>=I30</t>
  </si>
  <si>
    <t>=H10</t>
  </si>
  <si>
    <t>=H14</t>
  </si>
  <si>
    <t>=H32</t>
  </si>
  <si>
    <t>04.04.02.58 VIM - PO Precontrole Issue - Process PO Invoice (PO) - Manual Posting - Euro to RON</t>
  </si>
  <si>
    <t>=I16</t>
  </si>
  <si>
    <t>=I34</t>
  </si>
  <si>
    <t>=I38</t>
  </si>
  <si>
    <t>=H18</t>
  </si>
  <si>
    <t>=H36</t>
  </si>
  <si>
    <t>04.04.02.51 VIM - PO Precontrole Issue - BR30 - Vendor Sub-Rang</t>
  </si>
  <si>
    <t>ASRMMI01</t>
  </si>
  <si>
    <t>1000008642</t>
  </si>
  <si>
    <t>DT_VENDOR_ART_NO</t>
  </si>
  <si>
    <t>=I6</t>
  </si>
  <si>
    <t>=H5</t>
  </si>
  <si>
    <t>=H9</t>
  </si>
  <si>
    <t>6300091373/10</t>
  </si>
  <si>
    <t>http://sapportal-pre.delhaize.com/irj/portal?spnego=disabled</t>
  </si>
  <si>
    <t>DT_SAPOPTIONS</t>
  </si>
  <si>
    <t>Test_115_232</t>
  </si>
  <si>
    <t>Test_115_42</t>
  </si>
  <si>
    <t>Test_115_35</t>
  </si>
  <si>
    <t>Test_40_5</t>
  </si>
  <si>
    <t>Test_46_5</t>
  </si>
  <si>
    <t>Test_47_7</t>
  </si>
  <si>
    <t>1000478567</t>
  </si>
  <si>
    <t>1000478578</t>
  </si>
  <si>
    <t>04.04.02.54 VIM - PO Precontrole Issue - Process PO Invoice (PO) - Auto Posting - Euro to RON</t>
  </si>
  <si>
    <t>AT_04.04.02.51 VIM - MI</t>
  </si>
  <si>
    <t>Test_35_7</t>
  </si>
  <si>
    <t>=I13</t>
  </si>
  <si>
    <t>=I20</t>
  </si>
  <si>
    <t>=H11</t>
  </si>
  <si>
    <t>=H15</t>
  </si>
  <si>
    <t>=H22</t>
  </si>
  <si>
    <t>=H40</t>
  </si>
  <si>
    <t>6300091362/10</t>
  </si>
  <si>
    <t>DT_PO_NUMBER</t>
  </si>
  <si>
    <t>AT_04.04.02.39 VIM - PO Precontrole Issue - BR17 - Balance Not Zero MI</t>
  </si>
  <si>
    <t>AT_04.04.02.35 VIM - MI</t>
  </si>
  <si>
    <t>Test_25_3</t>
  </si>
  <si>
    <t>AT_SRM_116_10</t>
  </si>
  <si>
    <t>1000950858/1</t>
  </si>
  <si>
    <t>1000100783</t>
  </si>
  <si>
    <t>=I24</t>
  </si>
  <si>
    <t>=I28</t>
  </si>
  <si>
    <t>=I39</t>
  </si>
  <si>
    <t>=H2</t>
  </si>
  <si>
    <t>=H26</t>
  </si>
  <si>
    <t>6300091370/10</t>
  </si>
  <si>
    <t>Shopping Cart</t>
  </si>
  <si>
    <t>1000008629</t>
  </si>
  <si>
    <t>1000478615</t>
  </si>
  <si>
    <t>=I3</t>
  </si>
  <si>
    <t>=I7</t>
  </si>
  <si>
    <t>=H6</t>
  </si>
  <si>
    <t>6300057472/10</t>
  </si>
  <si>
    <t>AT_04.04.02.22 VIM - PO Precontrole Issue - BR02 - Missing Invoice  MI</t>
  </si>
  <si>
    <t>AT_04.04.02.24 VIM - PO Precontrole Issue - BR04 - Invalid Vendor (PO) MI</t>
  </si>
  <si>
    <t>AT_163_SRM 2nd PO - MI</t>
  </si>
  <si>
    <t>Test_115_36</t>
  </si>
  <si>
    <t>Test_46_6</t>
  </si>
  <si>
    <t>1000478597</t>
  </si>
  <si>
    <t>6300057471/10</t>
  </si>
  <si>
    <t>DT_ROW</t>
  </si>
  <si>
    <t>AT_04.04.02.32 VIM - MI</t>
  </si>
  <si>
    <t>AT_04.04.02.47 VIM - MI</t>
  </si>
  <si>
    <t>AT_163_SRM 3rd PO - MI</t>
  </si>
  <si>
    <t>Iovio002</t>
  </si>
  <si>
    <t>Test_32_2</t>
  </si>
  <si>
    <t>=I10</t>
  </si>
  <si>
    <t>=I14</t>
  </si>
  <si>
    <t>DT_SHOPPING_CART_NAME</t>
  </si>
  <si>
    <t>=H12</t>
  </si>
  <si>
    <t>=H30</t>
  </si>
  <si>
    <t>6300057470/10</t>
  </si>
  <si>
    <t>DT_ITEM_NUMBER</t>
  </si>
  <si>
    <t>AT_04.04.02.46 VIM - MI</t>
  </si>
  <si>
    <t>AT_04.04.02.31 VIM - MI</t>
  </si>
  <si>
    <t>AT_SRM_116_11</t>
  </si>
  <si>
    <t>IP-O-0108-00001</t>
  </si>
  <si>
    <t>=I18</t>
  </si>
  <si>
    <t>=I32</t>
  </si>
  <si>
    <t>=I36</t>
  </si>
  <si>
    <t>=H3</t>
  </si>
  <si>
    <t>=H16</t>
  </si>
  <si>
    <t>=H34</t>
  </si>
  <si>
    <t>=H38</t>
  </si>
  <si>
    <t>DT_PONUM_ITEM_NUMBER</t>
  </si>
  <si>
    <t>P2</t>
  </si>
  <si>
    <t>DT_SAPPASSWORD</t>
  </si>
  <si>
    <t>Welcome@2025</t>
  </si>
  <si>
    <t>1000478550</t>
  </si>
  <si>
    <t>1000343260</t>
  </si>
  <si>
    <t>DT_OUR_REFERENCE_OCC1</t>
  </si>
  <si>
    <t>=I4</t>
  </si>
  <si>
    <t>=I8</t>
  </si>
  <si>
    <t>=H7</t>
  </si>
  <si>
    <t>DT_PO</t>
  </si>
  <si>
    <t>DT_PONUM_OUTPUT</t>
  </si>
  <si>
    <t>AT_04.04.02.37 VIM - PO Precontrole Issue - BR15 - Vendor Mismatch (PO) MI</t>
  </si>
  <si>
    <t>DT_SAPUSER</t>
  </si>
  <si>
    <t>DT_SEARCH_FOR</t>
  </si>
  <si>
    <t>DT_SC_NUMBER</t>
  </si>
  <si>
    <t>Generic PO Creation - MI</t>
  </si>
  <si>
    <t>AT_163_SRM 1st PO - MI</t>
  </si>
  <si>
    <t>Test_115_37</t>
  </si>
  <si>
    <t>Test_Generic_11</t>
  </si>
  <si>
    <t>DT_OUR_REFERENCE</t>
  </si>
  <si>
    <t>=I11</t>
  </si>
  <si>
    <t>=I22</t>
  </si>
  <si>
    <t>=I40</t>
  </si>
  <si>
    <t>=H13</t>
  </si>
  <si>
    <t>=H20</t>
  </si>
</sst>
</file>

<file path=xl/styles.xml><?xml version="1.0" encoding="utf-8"?>
<styleSheet xmlns="http://schemas.openxmlformats.org/spreadsheetml/2006/main">
  <numFmts count="0"/>
  <fonts count="2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10"/>
      <name val="Mic Shell Dlg"/>
      <charset val="1"/>
    </font>
    <font>
      <u/>
      <sz val="11"/>
      <color indexed="12"/>
      <name val="Mic Shell Dlg"/>
      <charset val="1"/>
    </font>
    <font>
      <u/>
      <sz val="11"/>
      <color theme="10"/>
      <name val="Mic Shell Dlg"/>
      <charset val="1"/>
    </font>
    <font>
      <u/>
      <sz val="11"/>
      <color indexed="30"/>
      <name val="Mic Shell Dlg"/>
      <charset val="1"/>
    </font>
    <font>
      <sz val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49" fontId="4" fillId="0" borderId="1" xfId="0" applyNumberFormat="1" applyFon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49" fontId="5" fillId="4" borderId="1" xfId="0" applyNumberFormat="1" applyFont="1" applyFill="1" applyBorder="1" applyProtection="1">
      <protection locked="0"/>
    </xf>
    <xf numFmtId="49" fontId="2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Border="1" applyProtection="1">
      <protection locked="0"/>
    </xf>
    <xf numFmtId="0" fontId="2" fillId="0" borderId="2" xfId="0" applyBorder="1" applyProtection="1">
      <protection locked="0"/>
    </xf>
    <xf numFmtId="0" fontId="2" fillId="0" borderId="1" xfId="0" applyNumberFormat="1" applyBorder="1" applyProtection="1">
      <protection locked="0"/>
    </xf>
    <xf numFmtId="0" fontId="4" fillId="0" borderId="0" xfId="0" applyFont="1" applyFill="1" applyBorder="1" applyProtection="1">
      <protection locked="0"/>
    </xf>
    <xf numFmtId="49" fontId="6" fillId="2" borderId="1" xfId="0" applyNumberFormat="1" applyFont="1" applyFill="1" applyBorder="1" applyProtection="1">
      <protection locked="0"/>
    </xf>
    <xf numFmtId="49" fontId="7" fillId="2" borderId="1" xfId="1" applyNumberForma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9" fillId="6" borderId="1" xfId="0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FICO\TASE_DT_115_SRM%20Standard8SC%20Generic%20Item%20on%20Cost%20Center%20(MI)%20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5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5"/>
  <sheetViews>
    <sheetView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1" width="9.125" style="9" customWidth="1"/>
    <col min="2" max="2" width="76.25" style="9" customWidth="1"/>
    <col min="3" max="3" width="55.75" style="9" customWidth="1"/>
    <col min="4" max="4" width="13.625" style="9" customWidth="1"/>
    <col min="5" max="5" width="20" style="9" customWidth="1"/>
    <col min="6" max="6" width="16.75" style="9" customWidth="1"/>
    <col min="7" max="7" width="17.25" style="9" customWidth="1"/>
    <col min="8" max="8" width="30.375" style="9" customWidth="1"/>
    <col min="9" max="10" width="21.25" style="9" customWidth="1"/>
    <col min="11" max="11" width="27.125" style="9" customWidth="1"/>
    <col min="12" max="12" width="26.875" style="12" customWidth="1"/>
    <col min="13" max="13" width="14.875" style="9" customWidth="1"/>
    <col min="14" max="14" width="17" style="9" customWidth="1"/>
    <col min="15" max="15" width="16.375" style="9" bestFit="1" customWidth="1"/>
    <col min="16" max="16" width="16.375" style="9" customWidth="1"/>
    <col min="17" max="17" width="17.125" style="9" customWidth="1"/>
    <col min="18" max="16384" width="9.125" style="9" customWidth="1"/>
  </cols>
  <sheetData>
    <row r="1" ht="12.75" customHeight="1" customFormat="1">
      <c r="A1" t="s">
        <v>97</v>
      </c>
      <c r="B1" t="s">
        <v>20</v>
      </c>
      <c r="C1" t="s">
        <v>24</v>
      </c>
      <c r="D1" t="s">
        <v>134</v>
      </c>
      <c r="E1" t="s">
        <v>123</v>
      </c>
      <c r="F1" t="s">
        <v>51</v>
      </c>
      <c r="G1" t="s">
        <v>135</v>
      </c>
      <c r="H1" t="s">
        <v>13</v>
      </c>
      <c r="I1" t="s">
        <v>141</v>
      </c>
      <c r="J1" t="s">
        <v>45</v>
      </c>
      <c r="K1" t="s">
        <v>127</v>
      </c>
      <c r="L1" t="s">
        <v>105</v>
      </c>
      <c r="M1" t="s">
        <v>131</v>
      </c>
      <c r="N1" t="s">
        <v>70</v>
      </c>
      <c r="O1" t="s">
        <v>136</v>
      </c>
      <c r="P1" t="s">
        <v>19</v>
      </c>
      <c r="Q1" t="s">
        <v>27</v>
      </c>
    </row>
    <row r="2" s="9" customFormat="1">
      <c r="A2" s="1">
        <v>1</v>
      </c>
      <c r="B2" s="1" t="s">
        <v>122</v>
      </c>
      <c r="C2" s="13" t="s">
        <v>50</v>
      </c>
      <c r="D2" s="2" t="s">
        <v>43</v>
      </c>
      <c r="E2" s="14" t="s">
        <v>124</v>
      </c>
      <c r="F2" s="2" t="s">
        <v>2</v>
      </c>
      <c r="G2" s="5" t="s">
        <v>83</v>
      </c>
      <c r="H2" s="6" t="s">
        <v>52</v>
      </c>
      <c r="I2" s="15" t="s">
        <v>75</v>
      </c>
      <c r="J2" s="3" t="s">
        <v>113</v>
      </c>
      <c r="K2" s="1" t="str">
        <f>LEFT(I2,10)</f>
        <v>1000950858</v>
      </c>
      <c r="L2" s="4" t="s">
        <v>80</v>
      </c>
      <c r="M2" s="11" t="e">
        <f>[1]Output!C2</f>
        <v>#REF!</v>
      </c>
      <c r="N2" s="11" t="e">
        <f t="shared" si="0" ref="N2:N40">LEFT(M2,10)</f>
        <v>#REF!</v>
      </c>
      <c r="O2" s="1">
        <v>1002066016</v>
      </c>
      <c r="P2" s="1" t="e">
        <f>[1]Output!B2</f>
        <v>#REF!</v>
      </c>
      <c r="Q2" s="10" t="e">
        <f>N2&amp;"/"&amp;P2</f>
        <v>#REF!</v>
      </c>
    </row>
    <row r="3" s="9" customFormat="1">
      <c r="A3" s="1">
        <v>2</v>
      </c>
      <c r="B3" s="16" t="s">
        <v>60</v>
      </c>
      <c r="C3" s="2" t="s">
        <v>50</v>
      </c>
      <c r="D3" s="2" t="s">
        <v>43</v>
      </c>
      <c r="E3" s="2" t="s">
        <v>101</v>
      </c>
      <c r="F3" s="2" t="s">
        <v>2</v>
      </c>
      <c r="G3" s="5" t="s">
        <v>83</v>
      </c>
      <c r="H3" s="6" t="s">
        <v>53</v>
      </c>
      <c r="I3" s="7" t="s">
        <v>84</v>
      </c>
      <c r="J3" s="3" t="s">
        <v>113</v>
      </c>
      <c r="K3" s="3" t="s">
        <v>86</v>
      </c>
      <c r="L3" s="4" t="s">
        <v>117</v>
      </c>
      <c r="M3" s="1">
        <v>6300003237</v>
      </c>
      <c r="N3" s="1" t="str">
        <f t="shared" si="0"/>
        <v>6300003237</v>
      </c>
      <c r="O3" s="1"/>
      <c r="P3" s="1"/>
      <c r="Q3" s="10"/>
    </row>
    <row r="4" s="9" customFormat="1">
      <c r="A4" s="1">
        <v>3</v>
      </c>
      <c r="B4" s="16" t="s">
        <v>36</v>
      </c>
      <c r="C4" s="2" t="s">
        <v>50</v>
      </c>
      <c r="D4" s="2" t="s">
        <v>43</v>
      </c>
      <c r="E4" s="2" t="s">
        <v>101</v>
      </c>
      <c r="F4" s="2" t="s">
        <v>2</v>
      </c>
      <c r="G4" s="5" t="s">
        <v>83</v>
      </c>
      <c r="H4" s="6" t="s">
        <v>139</v>
      </c>
      <c r="I4" s="7" t="s">
        <v>76</v>
      </c>
      <c r="J4" s="3" t="s">
        <v>113</v>
      </c>
      <c r="K4" s="3" t="s">
        <v>128</v>
      </c>
      <c r="L4" s="4" t="s">
        <v>6</v>
      </c>
      <c r="M4" s="1"/>
      <c r="N4" s="1" t="str">
        <f t="shared" si="0"/>
        <v/>
      </c>
      <c r="O4" s="1"/>
      <c r="P4" s="1"/>
      <c r="Q4" s="10"/>
    </row>
    <row r="5" s="9" customFormat="1">
      <c r="A5" s="1">
        <v>4</v>
      </c>
      <c r="B5" s="16" t="s">
        <v>42</v>
      </c>
      <c r="C5" s="2" t="s">
        <v>50</v>
      </c>
      <c r="D5" s="2" t="s">
        <v>43</v>
      </c>
      <c r="E5" s="2" t="s">
        <v>101</v>
      </c>
      <c r="F5" s="2" t="s">
        <v>2</v>
      </c>
      <c r="G5" s="5" t="s">
        <v>83</v>
      </c>
      <c r="H5" s="6" t="s">
        <v>54</v>
      </c>
      <c r="I5" s="7" t="s">
        <v>14</v>
      </c>
      <c r="J5" s="3" t="s">
        <v>113</v>
      </c>
      <c r="K5" s="3" t="s">
        <v>16</v>
      </c>
      <c r="L5" s="4" t="s">
        <v>47</v>
      </c>
      <c r="M5" s="1">
        <v>6300002918</v>
      </c>
      <c r="N5" s="1" t="str">
        <f t="shared" si="0"/>
        <v>6300002918</v>
      </c>
      <c r="O5" s="1"/>
      <c r="P5" s="1"/>
      <c r="Q5" s="10"/>
    </row>
    <row r="6" s="9" customFormat="1">
      <c r="A6" s="1">
        <v>5</v>
      </c>
      <c r="B6" s="16" t="s">
        <v>42</v>
      </c>
      <c r="C6" s="2" t="s">
        <v>50</v>
      </c>
      <c r="D6" s="2" t="s">
        <v>43</v>
      </c>
      <c r="E6" s="2" t="s">
        <v>101</v>
      </c>
      <c r="F6" s="2" t="s">
        <v>2</v>
      </c>
      <c r="G6" s="5" t="s">
        <v>83</v>
      </c>
      <c r="H6" s="6" t="s">
        <v>93</v>
      </c>
      <c r="I6" s="7" t="s">
        <v>85</v>
      </c>
      <c r="J6" s="3" t="s">
        <v>113</v>
      </c>
      <c r="K6" s="3" t="s">
        <v>46</v>
      </c>
      <c r="L6" s="4" t="s">
        <v>88</v>
      </c>
      <c r="M6" s="1" t="s">
        <v>10</v>
      </c>
      <c r="N6" s="1" t="str">
        <f t="shared" si="0"/>
        <v>6300091377</v>
      </c>
      <c r="O6" s="1"/>
      <c r="P6" s="1"/>
      <c r="Q6" s="10"/>
    </row>
    <row r="7" s="9" customFormat="1">
      <c r="A7" s="1">
        <v>6</v>
      </c>
      <c r="B7" s="1" t="s">
        <v>11</v>
      </c>
      <c r="C7" s="2" t="s">
        <v>50</v>
      </c>
      <c r="D7" s="2" t="s">
        <v>43</v>
      </c>
      <c r="E7" s="2" t="s">
        <v>101</v>
      </c>
      <c r="F7" s="2" t="s">
        <v>2</v>
      </c>
      <c r="G7" s="5" t="s">
        <v>83</v>
      </c>
      <c r="H7" s="6" t="s">
        <v>54</v>
      </c>
      <c r="I7" s="7" t="s">
        <v>44</v>
      </c>
      <c r="J7" s="3" t="s">
        <v>113</v>
      </c>
      <c r="K7" s="3" t="s">
        <v>87</v>
      </c>
      <c r="L7" s="4" t="s">
        <v>130</v>
      </c>
      <c r="M7" s="1">
        <v>6300002918</v>
      </c>
      <c r="N7" s="1" t="str">
        <f t="shared" si="0"/>
        <v>6300002918</v>
      </c>
      <c r="O7" s="1"/>
      <c r="P7" s="1"/>
      <c r="Q7" s="10"/>
    </row>
    <row r="8" s="9" customFormat="1">
      <c r="A8" s="1">
        <v>7</v>
      </c>
      <c r="B8" s="1" t="s">
        <v>90</v>
      </c>
      <c r="C8" s="2" t="s">
        <v>50</v>
      </c>
      <c r="D8" s="2" t="s">
        <v>43</v>
      </c>
      <c r="E8" s="2" t="s">
        <v>101</v>
      </c>
      <c r="F8" s="2" t="s">
        <v>2</v>
      </c>
      <c r="G8" s="5" t="s">
        <v>83</v>
      </c>
      <c r="H8" s="6" t="s">
        <v>54</v>
      </c>
      <c r="I8" s="7" t="s">
        <v>44</v>
      </c>
      <c r="J8" s="3" t="s">
        <v>113</v>
      </c>
      <c r="K8" s="3" t="s">
        <v>129</v>
      </c>
      <c r="L8" s="4" t="s">
        <v>18</v>
      </c>
      <c r="M8" s="1">
        <v>6300002918</v>
      </c>
      <c r="N8" s="1" t="str">
        <f t="shared" si="0"/>
        <v>6300002918</v>
      </c>
      <c r="O8" s="1"/>
      <c r="P8" s="1"/>
      <c r="Q8" s="10"/>
    </row>
    <row r="9" s="9" customFormat="1">
      <c r="A9" s="1">
        <v>8</v>
      </c>
      <c r="B9" s="1" t="s">
        <v>0</v>
      </c>
      <c r="C9" s="2" t="s">
        <v>50</v>
      </c>
      <c r="D9" s="2" t="s">
        <v>43</v>
      </c>
      <c r="E9" s="2" t="s">
        <v>101</v>
      </c>
      <c r="F9" s="2" t="s">
        <v>2</v>
      </c>
      <c r="G9" s="5" t="s">
        <v>83</v>
      </c>
      <c r="H9" s="6" t="s">
        <v>54</v>
      </c>
      <c r="I9" s="7" t="s">
        <v>44</v>
      </c>
      <c r="J9" s="3" t="s">
        <v>113</v>
      </c>
      <c r="K9" s="3" t="s">
        <v>17</v>
      </c>
      <c r="L9" s="4" t="s">
        <v>48</v>
      </c>
      <c r="M9" s="1">
        <v>6300002918</v>
      </c>
      <c r="N9" s="1" t="str">
        <f t="shared" si="0"/>
        <v>6300002918</v>
      </c>
      <c r="O9" s="1"/>
      <c r="P9" s="1"/>
      <c r="Q9" s="10"/>
    </row>
    <row r="10" s="9" customFormat="1">
      <c r="A10" s="1">
        <v>9</v>
      </c>
      <c r="B10" s="1" t="s">
        <v>91</v>
      </c>
      <c r="C10" s="2" t="s">
        <v>50</v>
      </c>
      <c r="D10" s="2" t="s">
        <v>43</v>
      </c>
      <c r="E10" s="2" t="s">
        <v>101</v>
      </c>
      <c r="F10" s="2" t="s">
        <v>2</v>
      </c>
      <c r="G10" s="5" t="s">
        <v>83</v>
      </c>
      <c r="H10" s="6" t="s">
        <v>54</v>
      </c>
      <c r="I10" s="7" t="s">
        <v>44</v>
      </c>
      <c r="J10" s="3" t="s">
        <v>113</v>
      </c>
      <c r="K10" s="3" t="s">
        <v>103</v>
      </c>
      <c r="L10" s="4" t="s">
        <v>33</v>
      </c>
      <c r="M10" s="1">
        <v>6300002918</v>
      </c>
      <c r="N10" s="1" t="str">
        <f t="shared" si="0"/>
        <v>6300002918</v>
      </c>
      <c r="O10" s="1"/>
      <c r="P10" s="1"/>
      <c r="Q10" s="10"/>
    </row>
    <row r="11" s="9" customFormat="1">
      <c r="A11" s="1">
        <v>10</v>
      </c>
      <c r="B11" s="1" t="s">
        <v>28</v>
      </c>
      <c r="C11" s="2" t="s">
        <v>50</v>
      </c>
      <c r="D11" s="2" t="s">
        <v>43</v>
      </c>
      <c r="E11" s="2" t="s">
        <v>101</v>
      </c>
      <c r="F11" s="2" t="s">
        <v>2</v>
      </c>
      <c r="G11" s="5" t="s">
        <v>83</v>
      </c>
      <c r="H11" s="6" t="s">
        <v>54</v>
      </c>
      <c r="I11" s="7" t="s">
        <v>44</v>
      </c>
      <c r="J11" s="3" t="s">
        <v>113</v>
      </c>
      <c r="K11" s="3" t="s">
        <v>142</v>
      </c>
      <c r="L11" s="4" t="s">
        <v>65</v>
      </c>
      <c r="M11" s="1">
        <v>6300002918</v>
      </c>
      <c r="N11" s="1" t="str">
        <f t="shared" si="0"/>
        <v>6300002918</v>
      </c>
      <c r="O11" s="1"/>
      <c r="P11" s="1"/>
      <c r="Q11" s="10"/>
    </row>
    <row r="12" s="9" customFormat="1">
      <c r="A12" s="1">
        <v>11</v>
      </c>
      <c r="B12" s="1" t="s">
        <v>21</v>
      </c>
      <c r="C12" s="2" t="s">
        <v>50</v>
      </c>
      <c r="D12" s="2" t="s">
        <v>43</v>
      </c>
      <c r="E12" s="2" t="s">
        <v>101</v>
      </c>
      <c r="F12" s="2" t="s">
        <v>2</v>
      </c>
      <c r="G12" s="5" t="s">
        <v>83</v>
      </c>
      <c r="H12" s="6" t="s">
        <v>54</v>
      </c>
      <c r="I12" s="7" t="s">
        <v>44</v>
      </c>
      <c r="J12" s="3" t="s">
        <v>113</v>
      </c>
      <c r="K12" s="3" t="s">
        <v>31</v>
      </c>
      <c r="L12" s="4" t="s">
        <v>106</v>
      </c>
      <c r="M12" s="1">
        <v>6300002918</v>
      </c>
      <c r="N12" s="1" t="str">
        <f t="shared" si="0"/>
        <v>6300002918</v>
      </c>
      <c r="O12" s="1"/>
      <c r="P12" s="1"/>
      <c r="Q12" s="10"/>
    </row>
    <row r="13" s="9" customFormat="1">
      <c r="A13" s="1">
        <v>12</v>
      </c>
      <c r="B13" s="1" t="s">
        <v>29</v>
      </c>
      <c r="C13" s="2" t="s">
        <v>50</v>
      </c>
      <c r="D13" s="2" t="s">
        <v>43</v>
      </c>
      <c r="E13" s="2" t="s">
        <v>101</v>
      </c>
      <c r="F13" s="2" t="s">
        <v>2</v>
      </c>
      <c r="G13" s="5" t="s">
        <v>83</v>
      </c>
      <c r="H13" s="6" t="s">
        <v>54</v>
      </c>
      <c r="I13" s="7" t="s">
        <v>44</v>
      </c>
      <c r="J13" s="3" t="s">
        <v>113</v>
      </c>
      <c r="K13" s="3" t="s">
        <v>63</v>
      </c>
      <c r="L13" s="4" t="s">
        <v>145</v>
      </c>
      <c r="M13" s="1">
        <v>6300002918</v>
      </c>
      <c r="N13" s="1" t="str">
        <f t="shared" si="0"/>
        <v>6300002918</v>
      </c>
      <c r="O13" s="1"/>
      <c r="P13" s="1"/>
      <c r="Q13" s="10"/>
    </row>
    <row r="14" s="9" customFormat="1">
      <c r="A14" s="1">
        <v>13</v>
      </c>
      <c r="B14" s="1" t="s">
        <v>133</v>
      </c>
      <c r="C14" s="2" t="s">
        <v>50</v>
      </c>
      <c r="D14" s="2" t="s">
        <v>43</v>
      </c>
      <c r="E14" s="2" t="s">
        <v>101</v>
      </c>
      <c r="F14" s="2" t="s">
        <v>2</v>
      </c>
      <c r="G14" s="5" t="s">
        <v>83</v>
      </c>
      <c r="H14" s="6" t="s">
        <v>54</v>
      </c>
      <c r="I14" s="7" t="s">
        <v>44</v>
      </c>
      <c r="J14" s="3" t="s">
        <v>113</v>
      </c>
      <c r="K14" s="3" t="s">
        <v>104</v>
      </c>
      <c r="L14" s="4" t="s">
        <v>34</v>
      </c>
      <c r="M14" s="1">
        <v>6300002918</v>
      </c>
      <c r="N14" s="1" t="str">
        <f t="shared" si="0"/>
        <v>6300002918</v>
      </c>
      <c r="O14" s="1"/>
      <c r="P14" s="1"/>
      <c r="Q14" s="10"/>
    </row>
    <row r="15" s="9" customFormat="1">
      <c r="A15" s="1">
        <v>14</v>
      </c>
      <c r="B15" s="1" t="s">
        <v>71</v>
      </c>
      <c r="C15" s="2" t="s">
        <v>50</v>
      </c>
      <c r="D15" s="2" t="s">
        <v>43</v>
      </c>
      <c r="E15" s="2" t="s">
        <v>101</v>
      </c>
      <c r="F15" s="2" t="s">
        <v>2</v>
      </c>
      <c r="G15" s="5" t="s">
        <v>83</v>
      </c>
      <c r="H15" s="6" t="s">
        <v>54</v>
      </c>
      <c r="I15" s="7" t="s">
        <v>44</v>
      </c>
      <c r="J15" s="3" t="s">
        <v>113</v>
      </c>
      <c r="K15" s="3" t="s">
        <v>4</v>
      </c>
      <c r="L15" s="4" t="s">
        <v>66</v>
      </c>
      <c r="M15" s="1">
        <v>6300002918</v>
      </c>
      <c r="N15" s="1" t="str">
        <f t="shared" si="0"/>
        <v>6300002918</v>
      </c>
      <c r="O15" s="1"/>
      <c r="P15" s="1"/>
      <c r="Q15" s="10"/>
    </row>
    <row r="16" s="9" customFormat="1">
      <c r="A16" s="1">
        <v>15</v>
      </c>
      <c r="B16" s="1" t="s">
        <v>12</v>
      </c>
      <c r="C16" s="2" t="s">
        <v>50</v>
      </c>
      <c r="D16" s="2" t="s">
        <v>43</v>
      </c>
      <c r="E16" s="2" t="s">
        <v>101</v>
      </c>
      <c r="F16" s="2" t="s">
        <v>2</v>
      </c>
      <c r="G16" s="5" t="s">
        <v>83</v>
      </c>
      <c r="H16" s="6" t="s">
        <v>54</v>
      </c>
      <c r="I16" s="7" t="s">
        <v>44</v>
      </c>
      <c r="J16" s="3" t="s">
        <v>113</v>
      </c>
      <c r="K16" s="3" t="s">
        <v>37</v>
      </c>
      <c r="L16" s="4" t="s">
        <v>118</v>
      </c>
      <c r="M16" s="1">
        <v>6300002918</v>
      </c>
      <c r="N16" s="1" t="str">
        <f t="shared" si="0"/>
        <v>6300002918</v>
      </c>
      <c r="O16" s="1"/>
      <c r="P16" s="1"/>
      <c r="Q16" s="10"/>
    </row>
    <row r="17" s="9" customFormat="1">
      <c r="A17" s="1">
        <v>16</v>
      </c>
      <c r="B17" s="1"/>
      <c r="C17" s="1"/>
      <c r="D17" s="1"/>
      <c r="E17" s="2" t="s">
        <v>101</v>
      </c>
      <c r="F17" s="1"/>
      <c r="G17" s="1"/>
      <c r="H17" s="1"/>
      <c r="I17" s="1"/>
      <c r="J17" s="1"/>
      <c r="K17" s="1"/>
      <c r="L17" s="1"/>
      <c r="M17" s="1"/>
      <c r="N17" s="1" t="str">
        <f t="shared" si="0"/>
        <v/>
      </c>
      <c r="O17" s="1"/>
      <c r="P17" s="1"/>
      <c r="Q17" s="10"/>
    </row>
    <row r="18" ht="13.5" customHeight="1" s="9" customFormat="1">
      <c r="A18" s="1">
        <v>17</v>
      </c>
      <c r="B18" s="1" t="s">
        <v>22</v>
      </c>
      <c r="C18" s="2" t="s">
        <v>50</v>
      </c>
      <c r="D18" s="2" t="s">
        <v>43</v>
      </c>
      <c r="E18" s="2" t="s">
        <v>101</v>
      </c>
      <c r="F18" s="2" t="s">
        <v>2</v>
      </c>
      <c r="G18" s="5" t="s">
        <v>83</v>
      </c>
      <c r="H18" s="6" t="s">
        <v>73</v>
      </c>
      <c r="I18" s="7" t="s">
        <v>125</v>
      </c>
      <c r="J18" s="3" t="s">
        <v>113</v>
      </c>
      <c r="K18" s="3" t="s">
        <v>114</v>
      </c>
      <c r="L18" s="4" t="s">
        <v>40</v>
      </c>
      <c r="M18" s="1" t="s">
        <v>69</v>
      </c>
      <c r="N18" s="1" t="str">
        <f t="shared" si="0"/>
        <v>6300091362</v>
      </c>
      <c r="O18" s="1"/>
      <c r="P18" s="1"/>
      <c r="Q18" s="10"/>
    </row>
    <row r="19" s="9" customFormat="1">
      <c r="A19" s="1">
        <v>18</v>
      </c>
      <c r="B19" s="1"/>
      <c r="C19" s="1"/>
      <c r="D19" s="1"/>
      <c r="E19" s="2" t="s">
        <v>101</v>
      </c>
      <c r="F19" s="1"/>
      <c r="G19" s="1"/>
      <c r="H19" s="1"/>
      <c r="I19" s="1"/>
      <c r="J19" s="1"/>
      <c r="K19" s="1"/>
      <c r="L19" s="1"/>
      <c r="M19" s="1"/>
      <c r="N19" s="1" t="str">
        <f t="shared" si="0"/>
        <v/>
      </c>
      <c r="O19" s="1"/>
      <c r="P19" s="1"/>
      <c r="Q19" s="10"/>
    </row>
    <row r="20" ht="13.5" customHeight="1" s="9" customFormat="1">
      <c r="A20" s="1">
        <v>19</v>
      </c>
      <c r="B20" s="1" t="s">
        <v>1</v>
      </c>
      <c r="C20" s="2" t="s">
        <v>50</v>
      </c>
      <c r="D20" s="2" t="s">
        <v>43</v>
      </c>
      <c r="E20" s="2" t="s">
        <v>101</v>
      </c>
      <c r="F20" s="2" t="s">
        <v>2</v>
      </c>
      <c r="G20" s="5" t="s">
        <v>83</v>
      </c>
      <c r="H20" s="6" t="s">
        <v>30</v>
      </c>
      <c r="I20" s="7" t="s">
        <v>44</v>
      </c>
      <c r="J20" s="3" t="s">
        <v>113</v>
      </c>
      <c r="K20" s="3" t="s">
        <v>64</v>
      </c>
      <c r="L20" s="4" t="s">
        <v>146</v>
      </c>
      <c r="M20" s="1">
        <v>6300057431</v>
      </c>
      <c r="N20" s="1" t="str">
        <f t="shared" si="0"/>
        <v>6300057431</v>
      </c>
      <c r="O20" s="1"/>
      <c r="P20" s="1"/>
      <c r="Q20" s="10"/>
    </row>
    <row r="21" s="9" customFormat="1">
      <c r="A21" s="1">
        <v>20</v>
      </c>
      <c r="B21" s="1"/>
      <c r="C21" s="1"/>
      <c r="D21" s="1"/>
      <c r="E21" s="2" t="s">
        <v>101</v>
      </c>
      <c r="F21" s="1"/>
      <c r="G21" s="1"/>
      <c r="H21" s="1"/>
      <c r="I21" s="1"/>
      <c r="J21" s="1"/>
      <c r="K21" s="1"/>
      <c r="L21" s="1"/>
      <c r="M21" s="1"/>
      <c r="N21" s="1" t="str">
        <f t="shared" si="0"/>
        <v/>
      </c>
      <c r="O21" s="1"/>
      <c r="P21" s="1"/>
      <c r="Q21" s="10"/>
    </row>
    <row r="22" s="9" customFormat="1">
      <c r="A22" s="1">
        <v>21</v>
      </c>
      <c r="B22" s="1" t="s">
        <v>98</v>
      </c>
      <c r="C22" s="2" t="s">
        <v>50</v>
      </c>
      <c r="D22" s="2" t="s">
        <v>43</v>
      </c>
      <c r="E22" s="2" t="s">
        <v>101</v>
      </c>
      <c r="F22" s="2" t="s">
        <v>2</v>
      </c>
      <c r="G22" s="5" t="s">
        <v>83</v>
      </c>
      <c r="H22" s="6" t="s">
        <v>102</v>
      </c>
      <c r="I22" s="7" t="s">
        <v>44</v>
      </c>
      <c r="J22" s="3" t="s">
        <v>113</v>
      </c>
      <c r="K22" s="3" t="s">
        <v>143</v>
      </c>
      <c r="L22" s="4" t="s">
        <v>67</v>
      </c>
      <c r="M22" s="1">
        <v>6300002918</v>
      </c>
      <c r="N22" s="1" t="str">
        <f t="shared" si="0"/>
        <v>6300002918</v>
      </c>
      <c r="O22" s="1"/>
      <c r="P22" s="1"/>
      <c r="Q22" s="10"/>
    </row>
    <row r="23" s="9" customFormat="1">
      <c r="A23" s="1">
        <v>22</v>
      </c>
      <c r="B23" s="1"/>
      <c r="C23" s="1"/>
      <c r="D23" s="1"/>
      <c r="E23" s="2" t="s">
        <v>101</v>
      </c>
      <c r="F23" s="1"/>
      <c r="G23" s="1"/>
      <c r="H23" s="1"/>
      <c r="I23" s="1"/>
      <c r="J23" s="1"/>
      <c r="K23" s="1"/>
      <c r="L23" s="1"/>
      <c r="M23" s="1"/>
      <c r="N23" s="1" t="str">
        <f t="shared" si="0"/>
        <v/>
      </c>
      <c r="O23" s="1"/>
      <c r="P23" s="1"/>
      <c r="Q23" s="10"/>
    </row>
    <row r="24" s="9" customFormat="1">
      <c r="A24" s="1">
        <v>23</v>
      </c>
      <c r="B24" s="1" t="s">
        <v>72</v>
      </c>
      <c r="C24" s="2" t="s">
        <v>50</v>
      </c>
      <c r="D24" s="2" t="s">
        <v>43</v>
      </c>
      <c r="E24" s="2" t="s">
        <v>101</v>
      </c>
      <c r="F24" s="2" t="s">
        <v>2</v>
      </c>
      <c r="G24" s="5" t="s">
        <v>83</v>
      </c>
      <c r="H24" s="6" t="s">
        <v>62</v>
      </c>
      <c r="I24" s="7" t="s">
        <v>58</v>
      </c>
      <c r="J24" s="3" t="s">
        <v>113</v>
      </c>
      <c r="K24" s="3" t="s">
        <v>77</v>
      </c>
      <c r="L24" s="4" t="s">
        <v>7</v>
      </c>
      <c r="M24" s="1" t="s">
        <v>26</v>
      </c>
      <c r="N24" s="1" t="str">
        <f t="shared" si="0"/>
        <v>6300091366</v>
      </c>
      <c r="O24" s="1"/>
      <c r="P24" s="1"/>
      <c r="Q24" s="10"/>
    </row>
    <row r="25" s="9" customFormat="1">
      <c r="A25" s="1">
        <v>24</v>
      </c>
      <c r="B25" s="1"/>
      <c r="C25" s="1"/>
      <c r="D25" s="1"/>
      <c r="E25" s="2" t="s">
        <v>101</v>
      </c>
      <c r="F25" s="1"/>
      <c r="G25" s="1"/>
      <c r="H25" s="1"/>
      <c r="I25" s="1"/>
      <c r="J25" s="1"/>
      <c r="K25" s="1"/>
      <c r="L25" s="1"/>
      <c r="M25" s="1"/>
      <c r="N25" s="1" t="str">
        <f t="shared" si="0"/>
        <v/>
      </c>
      <c r="O25" s="1"/>
      <c r="P25" s="1"/>
      <c r="Q25" s="10"/>
    </row>
    <row r="26" s="9" customFormat="1">
      <c r="A26" s="1">
        <v>25</v>
      </c>
      <c r="B26" s="1" t="s">
        <v>23</v>
      </c>
      <c r="C26" s="2" t="s">
        <v>50</v>
      </c>
      <c r="D26" s="2" t="s">
        <v>43</v>
      </c>
      <c r="E26" s="2" t="s">
        <v>101</v>
      </c>
      <c r="F26" s="2" t="s">
        <v>2</v>
      </c>
      <c r="G26" s="5" t="s">
        <v>83</v>
      </c>
      <c r="H26" s="6" t="s">
        <v>55</v>
      </c>
      <c r="I26" s="7" t="s">
        <v>59</v>
      </c>
      <c r="J26" s="3" t="s">
        <v>113</v>
      </c>
      <c r="K26" s="3" t="s">
        <v>5</v>
      </c>
      <c r="L26" s="4" t="s">
        <v>81</v>
      </c>
      <c r="M26" s="1" t="s">
        <v>82</v>
      </c>
      <c r="N26" s="1" t="str">
        <f t="shared" si="0"/>
        <v>6300091370</v>
      </c>
      <c r="O26" s="1"/>
      <c r="P26" s="1"/>
      <c r="Q26" s="10"/>
    </row>
    <row r="27" s="9" customFormat="1">
      <c r="A27" s="1">
        <v>26</v>
      </c>
      <c r="B27" s="1"/>
      <c r="C27" s="1"/>
      <c r="D27" s="1"/>
      <c r="E27" s="2" t="s">
        <v>101</v>
      </c>
      <c r="F27" s="1"/>
      <c r="G27" s="1"/>
      <c r="H27" s="1"/>
      <c r="I27" s="1"/>
      <c r="J27" s="1"/>
      <c r="K27" s="1"/>
      <c r="L27" s="1"/>
      <c r="M27" s="1"/>
      <c r="N27" s="1" t="str">
        <f t="shared" si="0"/>
        <v/>
      </c>
      <c r="O27" s="1"/>
      <c r="P27" s="1"/>
      <c r="Q27" s="10"/>
    </row>
    <row r="28" s="9" customFormat="1">
      <c r="A28" s="1">
        <v>27</v>
      </c>
      <c r="B28" s="1" t="s">
        <v>110</v>
      </c>
      <c r="C28" s="2" t="s">
        <v>50</v>
      </c>
      <c r="D28" s="2" t="s">
        <v>43</v>
      </c>
      <c r="E28" s="2" t="s">
        <v>101</v>
      </c>
      <c r="F28" s="2" t="s">
        <v>2</v>
      </c>
      <c r="G28" s="5" t="s">
        <v>83</v>
      </c>
      <c r="H28" s="6" t="s">
        <v>56</v>
      </c>
      <c r="I28" s="7" t="s">
        <v>44</v>
      </c>
      <c r="J28" s="3" t="s">
        <v>113</v>
      </c>
      <c r="K28" s="3" t="s">
        <v>78</v>
      </c>
      <c r="L28" s="4" t="s">
        <v>8</v>
      </c>
      <c r="M28" s="1">
        <v>6300002918</v>
      </c>
      <c r="N28" s="1" t="str">
        <f t="shared" si="0"/>
        <v>6300002918</v>
      </c>
      <c r="O28" s="1"/>
      <c r="P28" s="1"/>
      <c r="Q28" s="10"/>
    </row>
    <row r="29" s="9" customFormat="1">
      <c r="A29" s="1">
        <v>28</v>
      </c>
      <c r="B29" s="1"/>
      <c r="C29" s="1"/>
      <c r="D29" s="1"/>
      <c r="E29" s="2" t="s">
        <v>101</v>
      </c>
      <c r="F29" s="1"/>
      <c r="G29" s="1"/>
      <c r="H29" s="1"/>
      <c r="I29" s="1"/>
      <c r="J29" s="1"/>
      <c r="K29" s="1"/>
      <c r="L29" s="1"/>
      <c r="M29" s="1"/>
      <c r="N29" s="1" t="str">
        <f t="shared" si="0"/>
        <v/>
      </c>
      <c r="O29" s="1"/>
      <c r="P29" s="1"/>
      <c r="Q29" s="10"/>
    </row>
    <row r="30" s="9" customFormat="1">
      <c r="A30" s="1">
        <v>29</v>
      </c>
      <c r="B30" s="1" t="s">
        <v>61</v>
      </c>
      <c r="C30" s="2" t="s">
        <v>50</v>
      </c>
      <c r="D30" s="2" t="s">
        <v>43</v>
      </c>
      <c r="E30" s="2" t="s">
        <v>101</v>
      </c>
      <c r="F30" s="2" t="s">
        <v>2</v>
      </c>
      <c r="G30" s="5" t="s">
        <v>83</v>
      </c>
      <c r="H30" s="6" t="s">
        <v>25</v>
      </c>
      <c r="I30" s="7" t="s">
        <v>44</v>
      </c>
      <c r="J30" s="3" t="s">
        <v>113</v>
      </c>
      <c r="K30" s="3" t="s">
        <v>32</v>
      </c>
      <c r="L30" s="4" t="s">
        <v>107</v>
      </c>
      <c r="M30" s="1">
        <v>6300002918</v>
      </c>
      <c r="N30" s="1" t="str">
        <f t="shared" si="0"/>
        <v>6300002918</v>
      </c>
      <c r="O30" s="1"/>
      <c r="P30" s="1"/>
      <c r="Q30" s="10"/>
    </row>
    <row r="31" s="9" customFormat="1">
      <c r="A31" s="1">
        <v>30</v>
      </c>
      <c r="B31" s="1"/>
      <c r="C31" s="1"/>
      <c r="D31" s="1"/>
      <c r="E31" s="2" t="s">
        <v>101</v>
      </c>
      <c r="F31" s="1"/>
      <c r="G31" s="1"/>
      <c r="H31" s="1"/>
      <c r="I31" s="1"/>
      <c r="J31" s="1"/>
      <c r="K31" s="1"/>
      <c r="L31" s="1"/>
      <c r="M31" s="1"/>
      <c r="N31" s="1" t="str">
        <f t="shared" si="0"/>
        <v/>
      </c>
      <c r="O31" s="1"/>
      <c r="P31" s="1"/>
      <c r="Q31" s="10"/>
    </row>
    <row r="32" s="9" customFormat="1">
      <c r="A32" s="1">
        <v>31</v>
      </c>
      <c r="B32" s="1" t="s">
        <v>99</v>
      </c>
      <c r="C32" s="2" t="s">
        <v>50</v>
      </c>
      <c r="D32" s="2" t="s">
        <v>43</v>
      </c>
      <c r="E32" s="2" t="s">
        <v>101</v>
      </c>
      <c r="F32" s="2" t="s">
        <v>2</v>
      </c>
      <c r="G32" s="5" t="s">
        <v>83</v>
      </c>
      <c r="H32" s="6" t="s">
        <v>57</v>
      </c>
      <c r="I32" s="7" t="s">
        <v>95</v>
      </c>
      <c r="J32" s="3" t="s">
        <v>113</v>
      </c>
      <c r="K32" s="3" t="s">
        <v>115</v>
      </c>
      <c r="L32" s="4" t="s">
        <v>35</v>
      </c>
      <c r="M32" s="1" t="s">
        <v>49</v>
      </c>
      <c r="N32" s="1" t="str">
        <f t="shared" si="0"/>
        <v>6300091373</v>
      </c>
      <c r="O32" s="1"/>
      <c r="P32" s="1"/>
      <c r="Q32" s="10"/>
    </row>
    <row r="33" s="9" customFormat="1">
      <c r="A33" s="1">
        <v>32</v>
      </c>
      <c r="B33" s="1"/>
      <c r="C33" s="1"/>
      <c r="D33" s="1"/>
      <c r="E33" s="2" t="s">
        <v>101</v>
      </c>
      <c r="F33" s="1"/>
      <c r="G33" s="1"/>
      <c r="H33" s="1"/>
      <c r="I33" s="1"/>
      <c r="J33" s="1"/>
      <c r="K33" s="1"/>
      <c r="L33" s="1"/>
      <c r="M33" s="1"/>
      <c r="N33" s="1" t="str">
        <f t="shared" si="0"/>
        <v/>
      </c>
      <c r="O33" s="1"/>
      <c r="P33" s="1"/>
      <c r="Q33" s="10"/>
    </row>
    <row r="34" s="9" customFormat="1">
      <c r="A34" s="1">
        <v>33</v>
      </c>
      <c r="B34" s="1" t="s">
        <v>111</v>
      </c>
      <c r="C34" s="2" t="s">
        <v>50</v>
      </c>
      <c r="D34" s="2" t="s">
        <v>43</v>
      </c>
      <c r="E34" s="2" t="s">
        <v>101</v>
      </c>
      <c r="F34" s="2" t="s">
        <v>2</v>
      </c>
      <c r="G34" s="5" t="s">
        <v>83</v>
      </c>
      <c r="H34" s="6" t="s">
        <v>94</v>
      </c>
      <c r="I34" s="7" t="s">
        <v>44</v>
      </c>
      <c r="J34" s="3" t="s">
        <v>113</v>
      </c>
      <c r="K34" s="3" t="s">
        <v>38</v>
      </c>
      <c r="L34" s="4" t="s">
        <v>119</v>
      </c>
      <c r="M34" s="1">
        <v>6300002918</v>
      </c>
      <c r="N34" s="1" t="str">
        <f t="shared" si="0"/>
        <v>6300002918</v>
      </c>
      <c r="O34" s="1"/>
      <c r="P34" s="1"/>
      <c r="Q34" s="10"/>
    </row>
    <row r="35" s="9" customFormat="1">
      <c r="A35" s="1">
        <v>34</v>
      </c>
      <c r="B35" s="1"/>
      <c r="C35" s="1"/>
      <c r="D35" s="1"/>
      <c r="E35" s="2" t="s">
        <v>101</v>
      </c>
      <c r="F35" s="1"/>
      <c r="G35" s="1"/>
      <c r="H35" s="1"/>
      <c r="I35" s="1"/>
      <c r="J35" s="1"/>
      <c r="K35" s="1"/>
      <c r="L35" s="1"/>
      <c r="M35" s="1"/>
      <c r="N35" s="1" t="str">
        <f t="shared" si="0"/>
        <v/>
      </c>
      <c r="O35" s="1"/>
      <c r="P35" s="1"/>
      <c r="Q35" s="10"/>
    </row>
    <row r="36" s="9" customFormat="1">
      <c r="A36" s="1">
        <v>35</v>
      </c>
      <c r="B36" s="1" t="s">
        <v>137</v>
      </c>
      <c r="C36" s="2" t="s">
        <v>50</v>
      </c>
      <c r="D36" s="2" t="s">
        <v>43</v>
      </c>
      <c r="E36" s="2" t="s">
        <v>101</v>
      </c>
      <c r="F36" s="2" t="s">
        <v>2</v>
      </c>
      <c r="G36" s="5" t="s">
        <v>83</v>
      </c>
      <c r="H36" s="6" t="s">
        <v>140</v>
      </c>
      <c r="I36" s="7" t="s">
        <v>44</v>
      </c>
      <c r="J36" s="3" t="s">
        <v>113</v>
      </c>
      <c r="K36" s="3" t="s">
        <v>116</v>
      </c>
      <c r="L36" s="4" t="s">
        <v>41</v>
      </c>
      <c r="M36" s="1">
        <v>6300057430</v>
      </c>
      <c r="N36" s="1" t="str">
        <f t="shared" si="0"/>
        <v>6300057430</v>
      </c>
      <c r="O36" s="1"/>
      <c r="P36" s="1"/>
      <c r="Q36" s="10"/>
    </row>
    <row r="37" s="9" customFormat="1">
      <c r="A37" s="1">
        <v>36</v>
      </c>
      <c r="B37" s="1"/>
      <c r="C37" s="1"/>
      <c r="D37" s="1"/>
      <c r="E37" s="2" t="s">
        <v>101</v>
      </c>
      <c r="F37" s="1"/>
      <c r="G37" s="1"/>
      <c r="H37" s="1"/>
      <c r="I37" s="1"/>
      <c r="J37" s="1"/>
      <c r="K37" s="1"/>
      <c r="L37" s="1"/>
      <c r="M37" s="1"/>
      <c r="N37" s="1" t="str">
        <f t="shared" si="0"/>
        <v/>
      </c>
      <c r="O37" s="1"/>
      <c r="P37" s="1"/>
      <c r="Q37" s="10"/>
    </row>
    <row r="38" s="9" customFormat="1">
      <c r="A38" s="1">
        <v>37</v>
      </c>
      <c r="B38" s="1" t="s">
        <v>138</v>
      </c>
      <c r="C38" s="2" t="s">
        <v>50</v>
      </c>
      <c r="D38" s="2" t="s">
        <v>43</v>
      </c>
      <c r="E38" s="2" t="s">
        <v>101</v>
      </c>
      <c r="F38" s="2" t="s">
        <v>2</v>
      </c>
      <c r="G38" s="5" t="s">
        <v>83</v>
      </c>
      <c r="H38" s="6" t="s">
        <v>3</v>
      </c>
      <c r="I38" s="7" t="s">
        <v>126</v>
      </c>
      <c r="J38" s="3" t="s">
        <v>113</v>
      </c>
      <c r="K38" s="3" t="s">
        <v>39</v>
      </c>
      <c r="L38" s="4" t="s">
        <v>120</v>
      </c>
      <c r="M38" s="1" t="s">
        <v>108</v>
      </c>
      <c r="N38" s="1" t="str">
        <f t="shared" si="0"/>
        <v>6300057470</v>
      </c>
      <c r="O38" s="1"/>
      <c r="P38" s="1"/>
      <c r="Q38" s="10"/>
    </row>
    <row r="39" s="9" customFormat="1">
      <c r="A39" s="1">
        <v>38</v>
      </c>
      <c r="B39" s="1" t="s">
        <v>92</v>
      </c>
      <c r="C39" s="2" t="s">
        <v>50</v>
      </c>
      <c r="D39" s="2" t="s">
        <v>43</v>
      </c>
      <c r="E39" s="2" t="s">
        <v>101</v>
      </c>
      <c r="F39" s="2" t="s">
        <v>2</v>
      </c>
      <c r="G39" s="5" t="s">
        <v>83</v>
      </c>
      <c r="H39" s="6" t="s">
        <v>112</v>
      </c>
      <c r="I39" s="7" t="s">
        <v>15</v>
      </c>
      <c r="J39" s="3" t="s">
        <v>113</v>
      </c>
      <c r="K39" s="3" t="s">
        <v>79</v>
      </c>
      <c r="L39" s="4" t="s">
        <v>9</v>
      </c>
      <c r="M39" s="1" t="s">
        <v>96</v>
      </c>
      <c r="N39" s="1" t="str">
        <f t="shared" si="0"/>
        <v>6300057471</v>
      </c>
      <c r="O39" s="1"/>
      <c r="P39" s="1"/>
      <c r="Q39" s="10"/>
    </row>
    <row r="40" s="9" customFormat="1">
      <c r="A40" s="1">
        <v>39</v>
      </c>
      <c r="B40" s="1" t="s">
        <v>100</v>
      </c>
      <c r="C40" s="2" t="s">
        <v>50</v>
      </c>
      <c r="D40" s="2" t="s">
        <v>43</v>
      </c>
      <c r="E40" s="2" t="s">
        <v>101</v>
      </c>
      <c r="F40" s="2" t="s">
        <v>2</v>
      </c>
      <c r="G40" s="5" t="s">
        <v>83</v>
      </c>
      <c r="H40" s="6" t="s">
        <v>74</v>
      </c>
      <c r="I40" s="7" t="s">
        <v>44</v>
      </c>
      <c r="J40" s="3" t="s">
        <v>113</v>
      </c>
      <c r="K40" s="3" t="s">
        <v>144</v>
      </c>
      <c r="L40" s="4" t="s">
        <v>68</v>
      </c>
      <c r="M40" s="1" t="s">
        <v>89</v>
      </c>
      <c r="N40" s="1" t="str">
        <f t="shared" si="0"/>
        <v>6300057472</v>
      </c>
      <c r="O40" s="1"/>
      <c r="P40" s="1"/>
      <c r="Q40" s="10"/>
    </row>
    <row r="41" s="9" customFormat="1">
      <c r="A41" s="1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0"/>
    </row>
    <row r="42" s="9" customFormat="1">
      <c r="A42" s="1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0"/>
    </row>
    <row r="43" s="9" customFormat="1">
      <c r="A43" s="1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0"/>
    </row>
    <row r="44" s="9" customFormat="1">
      <c r="A44" s="1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0"/>
    </row>
    <row r="45" s="9" customFormat="1">
      <c r="A45" s="1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0"/>
    </row>
  </sheetData>
  <hyperlinks>
    <hyperlink ref="E2" r:id="rId1" display="Welcome@2025"/>
  </hyperlinks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9" customWidth="1"/>
    <col min="3" max="3" width="20.25" style="9" customWidth="1"/>
    <col min="4" max="16384" width="9.125" style="9" customWidth="1"/>
  </cols>
  <sheetData>
    <row r="1" ht="12.75" customHeight="1" customFormat="1">
      <c r="A1" t="s">
        <v>132</v>
      </c>
      <c r="B1" t="s">
        <v>109</v>
      </c>
      <c r="C1" t="s">
        <v>121</v>
      </c>
    </row>
    <row r="2">
      <c r="A2" s="1">
        <v>6300504133</v>
      </c>
      <c r="B2" s="1">
        <v>10</v>
      </c>
      <c r="C2" s="10" t="str">
        <f>A2&amp;"/"&amp;B2</f>
        <v>6300504133/10</v>
      </c>
    </row>
  </sheetData>
  <printOptions gridLines="1"/>
  <pageMargins left="0.75" right="0.75" top="1" bottom="1" header="0.5" footer="0.5"/>
  <pageSetup orientation="portrait" horizontalDpi="65532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