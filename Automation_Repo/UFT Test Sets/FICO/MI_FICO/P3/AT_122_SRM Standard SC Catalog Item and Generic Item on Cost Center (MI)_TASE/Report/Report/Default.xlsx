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5_Test_SRM_Approve" sheetId="3" r:id="rId3"/>
    <sheet name="TC1_Test_113" sheetId="4" r:id="rId4"/>
    <sheet name="TC2_Test_159" sheetId="5" r:id="rId5"/>
    <sheet name="TC4_DT1_DataTransfer_One" sheetId="6" r:id="rId6"/>
    <sheet name="TC3_Test_122" sheetId="7" r:id="rId7"/>
    <sheet name="TC6_Test_117" sheetId="8" r:id="rId8"/>
  </sheets>
  <externalReferences>
    <externalReference r:id="rId12"/>
  </externalReferences>
  <calcPr calcId="40001"/>
</workbook>
</file>

<file path=xl/sharedStrings.xml><?xml version="1.0" encoding="utf-8"?>
<sst xmlns="http://schemas.openxmlformats.org/spreadsheetml/2006/main" uniqueCount="42">
  <si>
    <t/>
  </si>
  <si>
    <t>10003705-00032</t>
  </si>
  <si>
    <t>DT_ORDER_QUANTITY__UNIT_OCC1</t>
  </si>
  <si>
    <t>15</t>
  </si>
  <si>
    <t>DT_NAME_OF_SHOPPING_CART</t>
  </si>
  <si>
    <t>DT_ORDER_QUANTITY__UNIT</t>
  </si>
  <si>
    <t>DT_SAPURL</t>
  </si>
  <si>
    <t>Scenario</t>
  </si>
  <si>
    <t>%blank%</t>
  </si>
  <si>
    <t>DT_SCNUM</t>
  </si>
  <si>
    <t>DT_POKDMCJHADVANCEDVIEWINPUT4</t>
  </si>
  <si>
    <t>DT_COSTCENTER</t>
  </si>
  <si>
    <t>ASRMMI01</t>
  </si>
  <si>
    <t>1000102707</t>
  </si>
  <si>
    <t>AT_04.04.02.80 VIM - PO - Catalog Item approval</t>
  </si>
  <si>
    <t>DT_SAPOPTIONS</t>
  </si>
  <si>
    <t>DT_PRICE__CURRENCY_OCC1</t>
  </si>
  <si>
    <t>DT_SUPPLIER</t>
  </si>
  <si>
    <t>10005423</t>
  </si>
  <si>
    <t>IP-O-0621-00005</t>
  </si>
  <si>
    <t>DT_CREATED_CART</t>
  </si>
  <si>
    <t>Shopping cart "IP122_MI_Catalog_and_GenericItems_on_161" with number 1002066017 ordered successfully</t>
  </si>
  <si>
    <t>Row_Number</t>
  </si>
  <si>
    <t>122_SRM Standard SC Catalog Item and Generic Item on Cost Center (MI)</t>
  </si>
  <si>
    <t>35</t>
  </si>
  <si>
    <t>RS000004</t>
  </si>
  <si>
    <t>DT_INCREMENT</t>
  </si>
  <si>
    <t>DT_CREATED_CART_OUTPUT</t>
  </si>
  <si>
    <t>https://sapportal-pre.delhaize.com/irj/portal/fiori_ad?spnego=disabled</t>
  </si>
  <si>
    <t>DT_KEYWORD</t>
  </si>
  <si>
    <t>IP-O-1008-00129</t>
  </si>
  <si>
    <t>DT_SAPPASSWORD</t>
  </si>
  <si>
    <t>Welcome@2025</t>
  </si>
  <si>
    <t>DT_POKDMCJHADVANCEDVIEWINPUT4_OCC1</t>
  </si>
  <si>
    <t>10004178-00024</t>
  </si>
  <si>
    <t>DT_SAPUSER</t>
  </si>
  <si>
    <t>ASRMAB02</t>
  </si>
  <si>
    <t>DT_DESCRIPTION_</t>
  </si>
  <si>
    <t>DT_PRICE__CURRENCY</t>
  </si>
  <si>
    <t>Iovio003</t>
  </si>
  <si>
    <t>2,3</t>
  </si>
  <si>
    <t>DT__OCC1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</si>
</sst>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theme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2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2" fillId="0" borderId="1" xfId="0" applyNumberFormat="1" applyBorder="1" applyProtection="1">
      <protection locked="0"/>
    </xf>
    <xf numFmtId="49" fontId="2" fillId="2" borderId="1" xfId="0" applyNumberFormat="1" applyFill="1" applyBorder="1" applyProtection="1">
      <protection locked="0"/>
    </xf>
    <xf numFmtId="0" fontId="2" fillId="0" borderId="0" xfId="0" applyBorder="1" applyProtection="1">
      <protection locked="0"/>
    </xf>
    <xf numFmtId="0" fontId="2" fillId="0" borderId="2" xfId="0" applyBorder="1" applyProtection="1">
      <protection locked="0"/>
    </xf>
    <xf numFmtId="49" fontId="3" fillId="2" borderId="1" xfId="1" applyNumberFormat="1" applyFill="1" applyBorder="1" applyProtection="1">
      <protection locked="0"/>
    </xf>
    <xf numFmtId="0" fontId="2" fillId="3" borderId="1" xfId="0" applyFill="1" applyBorder="1" applyProtection="1">
      <protection locked="0"/>
    </xf>
    <xf numFmtId="0" fontId="4" fillId="4" borderId="1" xfId="0" applyNumberFormat="1" applyFont="1" applyFill="1" applyBorder="1" applyProtection="1">
      <protection locked="0"/>
    </xf>
    <xf numFmtId="49" fontId="2" fillId="5" borderId="1" xfId="0" applyNumberFormat="1" applyFill="1" applyBorder="1" applyProtection="1">
      <protection locked="0"/>
    </xf>
    <xf numFmtId="0" fontId="2" fillId="5" borderId="1" xfId="0" applyNumberFormat="1" applyFill="1" applyBorder="1" applyProtection="1">
      <protection locked="0"/>
    </xf>
    <xf numFmtId="0" fontId="2" fillId="0" borderId="1" xfId="0" applyBorder="1" applyProtection="1">
      <protection locked="0"/>
    </xf>
    <xf numFmtId="0" fontId="2" fillId="6" borderId="1" xfId="0" applyNumberForma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12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MI\FICO\TASE_DT_122_SRM%20Standard%20SC%20Catalog%20Item%20and%20Generic%20Item%20on%20Cost%20Center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  <sheetName val="user_passwords_srm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5" TargetMode="External" /><Relationship Id="rId2" Type="http://schemas.openxmlformats.org/officeDocument/2006/relationships/hyperlink" Target="https://sapportal-pre.delhaize.com/irj/portal/fiori_ad?spnego=disabled" TargetMode="External" /><Relationship Id="rId3" Type="http://schemas.openxmlformats.org/officeDocument/2006/relationships/hyperlink" Target="https://sapportal-pre.delhaize.com/irj/portal/fiori_ad?spnego=disabled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"/>
  <sheetViews>
    <sheetView workbookViewId="0">
      <selection activeCell="A2" sqref="A2"/>
    </sheetView>
  </sheetViews>
  <sheetFormatPr defaultColWidth="9.125" defaultRowHeight="14.25"/>
  <cols>
    <col min="1" max="1" width="12.375" style="5" bestFit="1" customWidth="1"/>
    <col min="2" max="2" width="64" style="5" bestFit="1" customWidth="1"/>
    <col min="3" max="3" width="53.875" style="5" bestFit="1" customWidth="1"/>
    <col min="4" max="4" width="13.375" style="5" bestFit="1" customWidth="1"/>
    <col min="5" max="5" width="19.25" style="5" bestFit="1" customWidth="1"/>
    <col min="6" max="6" width="16.5" style="5" bestFit="1" customWidth="1"/>
    <col min="7" max="7" width="39.875" style="5" bestFit="1" customWidth="1"/>
    <col min="8" max="8" width="15.625" style="5" bestFit="1" customWidth="1"/>
    <col min="9" max="9" width="14.25" style="5" bestFit="1" customWidth="1"/>
    <col min="10" max="10" width="37.125" style="5" bestFit="1" customWidth="1"/>
    <col min="11" max="11" width="43.625" style="5" bestFit="1" customWidth="1"/>
    <col min="12" max="12" width="26.5" style="5" bestFit="1" customWidth="1"/>
    <col min="13" max="13" width="26.5" style="5" customWidth="1"/>
    <col min="14" max="14" width="23" style="5" bestFit="1" customWidth="1"/>
    <col min="15" max="16" width="23" style="5" customWidth="1"/>
    <col min="17" max="17" width="13.625" style="5" bestFit="1" customWidth="1"/>
    <col min="18" max="18" width="13.625" style="5" customWidth="1"/>
    <col min="19" max="19" width="11.375" style="5" customWidth="1"/>
    <col min="20" max="20" width="108.125" style="5" bestFit="1" customWidth="1"/>
    <col min="21" max="21" width="17.625" style="5" bestFit="1" customWidth="1"/>
    <col min="22" max="16384" width="9.125" style="5" customWidth="1"/>
  </cols>
  <sheetData>
    <row r="1" ht="12.75" customHeight="1" customFormat="1">
      <c r="A1" t="s">
        <v>22</v>
      </c>
      <c r="B1" t="s">
        <v>7</v>
      </c>
      <c r="C1" t="s">
        <v>6</v>
      </c>
      <c r="D1" t="s">
        <v>35</v>
      </c>
      <c r="E1" t="s">
        <v>31</v>
      </c>
      <c r="F1" t="s">
        <v>15</v>
      </c>
      <c r="G1" t="s">
        <v>4</v>
      </c>
      <c r="H1" t="s">
        <v>26</v>
      </c>
      <c r="I1" t="s">
        <v>29</v>
      </c>
      <c r="J1" t="s">
        <v>10</v>
      </c>
      <c r="K1" t="s">
        <v>33</v>
      </c>
      <c r="L1" t="s">
        <v>37</v>
      </c>
      <c r="M1" t="s">
        <v>5</v>
      </c>
      <c r="N1" t="s">
        <v>38</v>
      </c>
      <c r="O1" t="s">
        <v>2</v>
      </c>
      <c r="P1" t="s">
        <v>16</v>
      </c>
      <c r="Q1" t="s">
        <v>17</v>
      </c>
      <c r="R1" t="s">
        <v>20</v>
      </c>
      <c r="S1" t="s">
        <v>9</v>
      </c>
      <c r="T1" t="s">
        <v>41</v>
      </c>
      <c r="U1" t="s">
        <v>11</v>
      </c>
    </row>
    <row r="2">
      <c r="A2" s="8">
        <v>1</v>
      </c>
      <c r="B2" s="8" t="s">
        <v>23</v>
      </c>
      <c r="C2" s="7" t="s">
        <v>28</v>
      </c>
      <c r="D2" s="4" t="s">
        <v>12</v>
      </c>
      <c r="E2" s="7" t="s">
        <v>32</v>
      </c>
      <c r="F2" s="4" t="s">
        <v>0</v>
      </c>
      <c r="G2" s="13" t="str">
        <f>CONCATENATE("IP122_MI_Catalog_and_GenericItems_on_",H2)</f>
        <v>IP122_MI_Catalog_and_GenericItems_on_163</v>
      </c>
      <c r="H2" s="3">
        <v>163</v>
      </c>
      <c r="I2" s="1" t="s">
        <v>8</v>
      </c>
      <c r="J2" s="1" t="s">
        <v>1</v>
      </c>
      <c r="K2" s="12" t="s">
        <v>34</v>
      </c>
      <c r="L2" s="3" t="str">
        <f t="shared" si="0" ref="L2:L3">CONCATENATE("GENERIC CATALOG ITEM ",H2)</f>
        <v>GENERIC CATALOG ITEM 163</v>
      </c>
      <c r="M2" s="3">
        <v>50</v>
      </c>
      <c r="N2" s="1" t="s">
        <v>40</v>
      </c>
      <c r="O2" s="1" t="s">
        <v>3</v>
      </c>
      <c r="P2" s="1" t="s">
        <v>24</v>
      </c>
      <c r="Q2" s="1" t="s">
        <v>18</v>
      </c>
      <c r="R2" s="3" t="e">
        <f>[1]Output!A2</f>
        <v>#REF!</v>
      </c>
      <c r="S2" s="11" t="e">
        <f>MID(R2,30+LEN(G2),10)</f>
        <v>#REF!</v>
      </c>
      <c r="T2" s="9" t="e">
        <f t="shared" si="1" ref="T2:T3">CONCATENATE("Shopping cart %quote%",G2,"%quote% with number ",S2," ordered successfully")</f>
        <v>#REF!</v>
      </c>
      <c r="U2" s="6" t="s">
        <v>25</v>
      </c>
    </row>
    <row r="3">
      <c r="A3" s="8">
        <v>2</v>
      </c>
      <c r="B3" s="8" t="s">
        <v>14</v>
      </c>
      <c r="C3" s="7" t="s">
        <v>28</v>
      </c>
      <c r="D3" s="4" t="s">
        <v>36</v>
      </c>
      <c r="E3" s="4" t="s">
        <v>39</v>
      </c>
      <c r="F3" s="4" t="s">
        <v>0</v>
      </c>
      <c r="G3" s="13" t="str">
        <f>CONCATENATE("04_04_02_80_VIM_",H3)</f>
        <v>04_04_02_80_VIM_39</v>
      </c>
      <c r="H3" s="3">
        <v>39</v>
      </c>
      <c r="I3" s="1" t="s">
        <v>8</v>
      </c>
      <c r="J3" s="1" t="s">
        <v>30</v>
      </c>
      <c r="K3" s="1" t="s">
        <v>19</v>
      </c>
      <c r="L3" s="3" t="str">
        <f t="shared" si="0"/>
        <v>GENERIC CATALOG ITEM 39</v>
      </c>
      <c r="M3" s="3"/>
      <c r="N3" s="1" t="s">
        <v>40</v>
      </c>
      <c r="O3" s="1"/>
      <c r="P3" s="1"/>
      <c r="Q3" s="1" t="s">
        <v>18</v>
      </c>
      <c r="R3" s="1"/>
      <c r="S3" s="10" t="s">
        <v>13</v>
      </c>
      <c r="T3" s="9" t="str">
        <f t="shared" si="1"/>
        <v>Shopping cart %quote%04_04_02_80_VIM_39%quote% with number 1000102707 ordered successfully</v>
      </c>
      <c r="U3" s="6"/>
    </row>
  </sheetData>
  <hyperlinks>
    <hyperlink ref="E2" r:id="rId1" display="Welcome@2025"/>
    <hyperlink ref="C2" r:id="rId2" display="https://sapportal-pre.delhaize.com/irj/portal/fiori_ad?spnego=disabled"/>
    <hyperlink ref="C3" r:id="rId3" display="https://sapportal-pre.delhaize.com/irj/portal/fiori_ad?spnego=disabled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93.125" style="5" bestFit="1" customWidth="1"/>
    <col min="2" max="16384" width="9.125" style="5" customWidth="1"/>
  </cols>
  <sheetData>
    <row r="1" ht="12.75" customHeight="1" customFormat="1">
      <c r="A1" t="s">
        <v>27</v>
      </c>
    </row>
    <row r="2">
      <c r="A2" s="6" t="s">
        <v>21</v>
      </c>
    </row>
  </sheetData>
  <printOptions gridLines="1"/>
  <pageMargins left="0.75" right="0.75" top="1" bottom="1" header="0.5" footer="0.5"/>
  <pageSetup orientation="portrait" horizontalDpi="65532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