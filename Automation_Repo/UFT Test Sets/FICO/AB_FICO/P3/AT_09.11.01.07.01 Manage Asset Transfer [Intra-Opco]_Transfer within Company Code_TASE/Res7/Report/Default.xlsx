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01.04.01.01.0..00" sheetId="4" r:id="rId4"/>
  </sheets>
  <calcPr calcId="40001"/>
</workbook>
</file>

<file path=xl/sharedStrings.xml><?xml version="1.0" encoding="utf-8"?>
<sst xmlns="http://schemas.openxmlformats.org/spreadsheetml/2006/main" uniqueCount="154">
  <si>
    <t/>
  </si>
  <si>
    <t>DT_SAPTRANSACTIONCODE</t>
  </si>
  <si>
    <t>DT_AS03_0100_ASSET</t>
  </si>
  <si>
    <t>DT_AS03_0301_CHECK_GETCELLVALUE_OF_GRIDCELL_11_JENDE</t>
  </si>
  <si>
    <t>DT_AS03_0301_CHECK_GETCELLVALUE_OF_GRIDCELL_9_JENDE_OCC1</t>
  </si>
  <si>
    <t>DT_AS03_0301_CHECK_GETCELLVALUE_OF_GRIDCELL_12_JENDE_OCC1</t>
  </si>
  <si>
    <t>DT_AS03_0301_CHECK_GETCELLVALUE_OF_GRIDCELL_1_BUBTR_OCC1</t>
  </si>
  <si>
    <t>330</t>
  </si>
  <si>
    <t>DT_AS03_0301_GRIDCELL_0_TRANSACTION_TYPE_NAME_OCC3</t>
  </si>
  <si>
    <t>DT_CHECK_22_12</t>
  </si>
  <si>
    <t>DT_CHECK_22_16</t>
  </si>
  <si>
    <t>Logon Information</t>
  </si>
  <si>
    <t>AUTOFAB</t>
  </si>
  <si>
    <t>DT_FISCAL_YEAR</t>
  </si>
  <si>
    <t>DT_AS03_0301_CHECK_GETCELLVALUE_OF_GRIDCELL_2_JENDE</t>
  </si>
  <si>
    <t>DT_AS03_0301_CHECK_GETCELLVALUE_OF_GRIDCELL_4_JENDE_OCC1</t>
  </si>
  <si>
    <t>DT_AS03_0301_CHECK_GETCELLVALUE_OF_GRIDCELL_1_BZDAT_OCC1</t>
  </si>
  <si>
    <t>DT_AS03_0750_CHECK_GETCELLVALUE_OF_GRIDCELL_0_SGTXT</t>
  </si>
  <si>
    <t>DT_AS03_0100_COMPANY_CODE_OCC1</t>
  </si>
  <si>
    <t>DT_AS03_0750_CHECK_GETCELLVALUE_OF_GRIDCELL_0_AZBET_OCC1</t>
  </si>
  <si>
    <t>Fix</t>
  </si>
  <si>
    <t>DT_AS03_0301_CHECK_GETCELLVALUE_OF_GRIDCELL_7_JENDE</t>
  </si>
  <si>
    <t>DT_AS03_0750_CHECK_GETCELLVALUE_OF_GRIDCELL_0_KTONR</t>
  </si>
  <si>
    <t>DT_CHECK_22_2</t>
  </si>
  <si>
    <t>DT_CHECK_20_2</t>
  </si>
  <si>
    <t>DT_CHECK_20_12</t>
  </si>
  <si>
    <t>DT_CHECK_20_16</t>
  </si>
  <si>
    <t>Input Value</t>
  </si>
  <si>
    <t>%blank%</t>
  </si>
  <si>
    <t>DT_AS03_0301_CHECK_GETCELLVALUE_OF_GRIDCELL_1_BZDAT</t>
  </si>
  <si>
    <t>DT_AS03_0301_CHECK_GETCELLVALUE_OF_GRIDCELL_8_JENDE_OCC1</t>
  </si>
  <si>
    <t>DT_AS03_0301_CHECK_GETCELLVALUE_OF_GRIDCELL_0_BUBTR_OCC1</t>
  </si>
  <si>
    <t>DT_AS03_0301_CHECK_GETCELLVALUE_OF_GRIDCELL_0_JENDE_OCC2</t>
  </si>
  <si>
    <t>DT_AS03_0301_CHECK_GETCELLVALUE_OF_GRIDCELL_0_BWASL_OCC2</t>
  </si>
  <si>
    <t>DT_AS03_0750_CHECK_GETCELLVALUE_OF_GRIDCELL_1_KTONR_OCC1</t>
  </si>
  <si>
    <t>DT_CHECK_22_6</t>
  </si>
  <si>
    <t>DT_CHECK_20_6</t>
  </si>
  <si>
    <t>Formulas</t>
  </si>
  <si>
    <t>Data from other test</t>
  </si>
  <si>
    <t>200</t>
  </si>
  <si>
    <t>GR02</t>
  </si>
  <si>
    <t>DT_AS03_0301_CHECK_GETCELLVALUE_OF_GRIDCELL_4_JENDE</t>
  </si>
  <si>
    <t>320</t>
  </si>
  <si>
    <t>DT_AS03_0301_CHECK_GETCELLVALUE_OF_GRIDCELL_11_JENDE_OCC1</t>
  </si>
  <si>
    <t>DT_AS03_0301_CHECK_GETCELLVALUE_OF_GRIDCELL_0_BZDAT_OCC1</t>
  </si>
  <si>
    <t>DT_AS03_0750_CHECK_GETCELLVALUE_OF_GRIDCELL_1_AZBET</t>
  </si>
  <si>
    <t>DT_AS03_0100_SUBNUMBER_OCC1</t>
  </si>
  <si>
    <t>1,000</t>
  </si>
  <si>
    <t>DT_AS03_0301_CHECK_GETCELLVALUE_OF_GRIDCELL_3_VERAENDERUNG_OCC1</t>
  </si>
  <si>
    <t>DT_CHECK_22_13</t>
  </si>
  <si>
    <t>DT_CHECK_22_17</t>
  </si>
  <si>
    <t>DT_SAPSYSTEM</t>
  </si>
  <si>
    <t>0,000</t>
  </si>
  <si>
    <t>DT_AS03_0301_CHECK_GETCELLVALUE_OF_GRIDCELL_9_JENDE</t>
  </si>
  <si>
    <t>DT_AS03_0301_CHECK_GETCELLVALUE_OF_GRIDCELL_3_JENDE_OCC1</t>
  </si>
  <si>
    <t>70</t>
  </si>
  <si>
    <t>DT_AS03_0100_ASSET_OCC1</t>
  </si>
  <si>
    <t>DT_AS03_0301_CHECK_GETCELLVALUE_OF_GRIDCELL_0_VERAENDERUNG</t>
  </si>
  <si>
    <t>609acf8da371c8cdf84f94f81de9b4f156bf37c8e344</t>
  </si>
  <si>
    <t>DT_SAPLANGUAGE</t>
  </si>
  <si>
    <t>DT_SAPOPTIONS</t>
  </si>
  <si>
    <t>0</t>
  </si>
  <si>
    <t>DT_AS03_0750_CHECK_GETCELLVALUE_OF_GRIDCELL_1_BSCHL_OCC1</t>
  </si>
  <si>
    <t>DT_CHECK_22_3</t>
  </si>
  <si>
    <t>DT_CHECK_20_3</t>
  </si>
  <si>
    <t>DT_CHECK_20_13</t>
  </si>
  <si>
    <t>DT_CHECK_20_17</t>
  </si>
  <si>
    <t>SCENARIO</t>
  </si>
  <si>
    <t>AS03</t>
  </si>
  <si>
    <t>DT_AS03_0301_CHECK_GETCELLVALUE_OF_GRIDCELL_1_JENDE</t>
  </si>
  <si>
    <t>DT_AS03_0301_CHECK_GETCELLVALUE_OF_GRIDCELL_10_JENDE</t>
  </si>
  <si>
    <t>DT_AS03_0301_CHECK_GETCELLVALUE_OF_GRIDCELL_1_BUBTR</t>
  </si>
  <si>
    <t>DT_AS03_0301_CHECK_GETCELLVALUE_OF_GRIDCELL_7_JENDE_OCC1</t>
  </si>
  <si>
    <t>DT_AS03_0301_CHECK_GETCELLVALUE_OF_GRIDCELL_10_JENDE_OCC1</t>
  </si>
  <si>
    <t>DT_AS03_0750_CHECK_GETCELLVALUE_OF_GRIDCELL_1_BSCHL</t>
  </si>
  <si>
    <t>DT_AS03_0301_CHECK_GETCELLVALUE_OF_GRIDCELL_0_BUBTR_OCC2</t>
  </si>
  <si>
    <t>DT_AS03_0301_CHECK_GETCELLVALUE_OF_GRIDCELL_0_BWASL_OCC3</t>
  </si>
  <si>
    <t>DT_AS03_0750_CHECK_GETCELLVALUE_OF_GRIDCELL_0_KTONR_OCC1</t>
  </si>
  <si>
    <t>DT_CHECK_22_7</t>
  </si>
  <si>
    <t>DT_CHECK_22_10</t>
  </si>
  <si>
    <t>DT_CHECK_20_7</t>
  </si>
  <si>
    <t>DT_AS03_0301_CHECK_GETCELLVALUE_OF_GRIDCELL_6_JENDE</t>
  </si>
  <si>
    <t>DT_AS03_0301_CHECK_GETCELLVALUE_OF_GRIDCELL_1_BWASL</t>
  </si>
  <si>
    <t>DT_AS03_0301_CHECK_GETCELLVALUE_OF_GRIDCELL_2_JENDE_OCC1</t>
  </si>
  <si>
    <t>DT_AS03_0301_GRIDCELL_0_TRANSACTION_TYPE_NAME_OCC1</t>
  </si>
  <si>
    <t>DT_AS03_0301_CHECK_GETCELLVALUE_OF_GRIDCELL_0_JENDE_OCC3</t>
  </si>
  <si>
    <t>DT_CHECK_22_14</t>
  </si>
  <si>
    <t>DT_AS03_1140_CHECK_TEXT_OF_QUANTITY</t>
  </si>
  <si>
    <t>DT_AS03_0301_CHECK_GETCELLVALUE_OF_GRIDCELL_0_BZDAT</t>
  </si>
  <si>
    <t>75</t>
  </si>
  <si>
    <t>DT_AS03_0301_CHECK_GETCELLVALUE_OF_GRIDCELL_3_JENDE_OCC2</t>
  </si>
  <si>
    <t>DT_AS03_0301_CHECK_GETCELLVALUE_OF_GRIDCELL_0_BZDAT_OCC2</t>
  </si>
  <si>
    <t>EN</t>
  </si>
  <si>
    <t>DT_AS03_0301_CHECK_GETCELLVALUE_OF_GRIDCELL_12_JENDE</t>
  </si>
  <si>
    <t>DT_AS03_0301_CHECK_GETCELLVALUE_OF_GRIDCELL_6_JENDE_OCC1</t>
  </si>
  <si>
    <t>10130031</t>
  </si>
  <si>
    <t>DT_AS03_0750_CHECK_GETCELLVALUE_OF_GRIDCELL_1_SGTXT</t>
  </si>
  <si>
    <t>DT_AS03_0750_CHECK_GETCELLVALUE_OF_GRIDCELL_0_BSCHL_OCC1</t>
  </si>
  <si>
    <t>DT_AS03_0750_CHECK_GETCELLVALUE_OF_GRIDCELL_1_SGTXT_OCC1</t>
  </si>
  <si>
    <t>DT_CHECK_22_4</t>
  </si>
  <si>
    <t>DT_CHECK_20_4</t>
  </si>
  <si>
    <t>DT_CHECK_20_10</t>
  </si>
  <si>
    <t>DT_CHECK_20_14</t>
  </si>
  <si>
    <t>09.11.01.07.01 Manage Asset Transfer [Intra-Opco]_Transfer within Company Code</t>
  </si>
  <si>
    <t>DT_AS03_0301_CHECK_GETCELLVALUE_OF_GRIDCELL_3_JENDE</t>
  </si>
  <si>
    <t>DT_AS03_0301_CHECK_GETCELLVALUE_OF_GRIDCELL_8_JENDE</t>
  </si>
  <si>
    <t>DT_AS03_0750_CHECK_GETCELLVALUE_OF_GRIDCELL_0_AZBET</t>
  </si>
  <si>
    <t>DT_AS03_1140_CHECK_TEXT_OF_QUANTITY_OCC1</t>
  </si>
  <si>
    <t>DT_AS03_0301_CHECK_GETCELLVALUE_OF_GRIDCELL_0_BUBTR_OCC3</t>
  </si>
  <si>
    <t>DT_CHECK_22_8</t>
  </si>
  <si>
    <t>DT_CHECK_20_8</t>
  </si>
  <si>
    <t>DT_CHECK_22_11</t>
  </si>
  <si>
    <t>DT_AS03_0100_SUBNUMBER</t>
  </si>
  <si>
    <t>100</t>
  </si>
  <si>
    <t>DT_AS03_0301_CHECK_GETCELLVALUE_OF_GRIDCELL_1_JENDE_OCC1</t>
  </si>
  <si>
    <t>DT_AS03_0301_CHECK_GETCELLVALUE_OF_GRIDCELL_1_BWASL_OCC1</t>
  </si>
  <si>
    <t>DT_AS03_0301_GRIDCELL_0_TRANSACTION_TYPE_NAME</t>
  </si>
  <si>
    <t>DT_AS03_0750_CHECK_GETCELLVALUE_OF_GRIDCELL_1_KTONR</t>
  </si>
  <si>
    <t>DT_AS03_0301_CHECK_GETCELLVALUE_OF_GRIDCELL_0_VERAENDERUNG_OCC1</t>
  </si>
  <si>
    <t>DT_AS03_0301_GRIDCELL_0_TRANSACTION_TYPE_NAME_OCC2</t>
  </si>
  <si>
    <t>DT_CHECK_22_15</t>
  </si>
  <si>
    <t>R1E - SAP RETAIL Pre-Production EUROPE</t>
  </si>
  <si>
    <t>DT_SAPPASSWORD</t>
  </si>
  <si>
    <t>DT_AS03_0750_CHECK_GETCELLVALUE_OF_GRIDCELL_0_BSCHL</t>
  </si>
  <si>
    <t>DT_AS03_0301_CHECK_GETCELLVALUE_OF_GRIDCELL_3_JENDE_OCC3</t>
  </si>
  <si>
    <t>DT_AS03_0301_CHECK_GETCELLVALUE_OF_GRIDCELL_0_BZDAT_OCC3</t>
  </si>
  <si>
    <t>ROW</t>
  </si>
  <si>
    <t>Checks</t>
  </si>
  <si>
    <t>Output Value</t>
  </si>
  <si>
    <t>DT_SAPUSER</t>
  </si>
  <si>
    <t>DT_AS03_0301_CHECK_GETCELLVALUE_OF_GRIDCELL_0_JENDE</t>
  </si>
  <si>
    <t>DT_AS03_0301_CHECK_GETCELLVALUE_OF_GRIDCELL_5_JENDE</t>
  </si>
  <si>
    <t>DT_AS03_0301_CHECK_GETCELLVALUE_OF_GRIDCELL_0_BUBTR</t>
  </si>
  <si>
    <t>DT_AS03_0301_CHECK_GETCELLVALUE_OF_GRIDCELL_0_BWASL</t>
  </si>
  <si>
    <t>DT_AS03_0301_CHECK_GETCELLVALUE_OF_GRIDCELL_5_JENDE_OCC1</t>
  </si>
  <si>
    <t>Transfer Test_50</t>
  </si>
  <si>
    <t>DT_AS03_0301_CHECK_GETCELLVALUE_OF_GRIDCELL_3_VERAENDERUNG</t>
  </si>
  <si>
    <t>DT_AS03_0750_CHECK_GETCELLVALUE_OF_GRIDCELL_1_AZBET_OCC1</t>
  </si>
  <si>
    <t>DT_AS03_0750_CHECK_GETCELLVALUE_OF_GRIDCELL_0_SGTXT_OCC1</t>
  </si>
  <si>
    <t>CM</t>
  </si>
  <si>
    <t>DT_CHECK_22_1</t>
  </si>
  <si>
    <t>DT_CHECK_20_1</t>
  </si>
  <si>
    <t>DT_CHECK_20_11</t>
  </si>
  <si>
    <t>DT_CHECK_20_15</t>
  </si>
  <si>
    <t>DT_SAPCLIENT</t>
  </si>
  <si>
    <t>DT_AS03_0100_COMPANY_CODE</t>
  </si>
  <si>
    <t>DT_AS03_0301_CHECK_GETCELLVALUE_OF_GRIDCELL_0_JENDE_OCC1</t>
  </si>
  <si>
    <t>DT_AS03_0301_CHECK_GETCELLVALUE_OF_GRIDCELL_0_BWASL_OCC1</t>
  </si>
  <si>
    <t>BWATXT</t>
  </si>
  <si>
    <t>DT_AS03_0100_OKCD</t>
  </si>
  <si>
    <t>DT_CHECK_22_5</t>
  </si>
  <si>
    <t>DT_CHECK_22_9</t>
  </si>
  <si>
    <t>DT_CHECK_20_5</t>
  </si>
  <si>
    <t>DT_CHECK_20_9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</si>
</sst>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4" fontId="2" fillId="2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1" fontId="3" fillId="3" borderId="1" xfId="0" quotePrefix="1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4" fontId="2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V11"/>
  <sheetViews>
    <sheetView topLeftCell="H1" workbookViewId="0">
      <selection activeCell="H2" sqref="H2"/>
    </sheetView>
  </sheetViews>
  <sheetFormatPr defaultColWidth="9.125" defaultRowHeight="14.25"/>
  <cols>
    <col min="1" max="1" width="9.125" style="16" customWidth="1"/>
    <col min="2" max="2" width="75.375" style="16" customWidth="1"/>
    <col min="3" max="3" width="38.125" style="16" customWidth="1"/>
    <col min="4" max="4" width="15" style="16" customWidth="1"/>
    <col min="5" max="5" width="13.625" style="16" customWidth="1"/>
    <col min="6" max="6" width="26.5" style="16" customWidth="1"/>
    <col min="7" max="7" width="18.625" style="16" customWidth="1"/>
    <col min="8" max="8" width="16.75" style="16" customWidth="1"/>
    <col min="9" max="9" width="27.125" style="16" customWidth="1"/>
    <col min="10" max="10" width="23.5" style="16" customWidth="1"/>
    <col min="11" max="12" width="27.125" style="16" customWidth="1"/>
    <col min="13" max="13" width="30.625" style="16" customWidth="1"/>
    <col min="14" max="14" width="41.375" style="16" customWidth="1"/>
    <col min="15" max="24" width="59.75" style="16" customWidth="1"/>
    <col min="25" max="27" width="60.75" style="16" customWidth="1"/>
    <col min="28" max="29" width="59.75" style="16" customWidth="1"/>
    <col min="30" max="33" width="60" style="16" customWidth="1"/>
    <col min="34" max="43" width="65.625" style="16" customWidth="1"/>
    <col min="44" max="46" width="66.625" style="16" customWidth="1"/>
    <col min="47" max="48" width="65.625" style="16" customWidth="1"/>
    <col min="49" max="52" width="65.875" style="16" customWidth="1"/>
    <col min="53" max="53" width="53.125" style="16" customWidth="1"/>
    <col min="54" max="54" width="59" style="16" customWidth="1"/>
    <col min="55" max="56" width="59.625" style="16" customWidth="1"/>
    <col min="57" max="58" width="60" style="16" customWidth="1"/>
    <col min="59" max="60" width="59.625" style="16" customWidth="1"/>
    <col min="61" max="62" width="59.75" style="16" customWidth="1"/>
    <col min="63" max="63" width="20.25" style="16" customWidth="1"/>
    <col min="64" max="64" width="27.25" style="16" customWidth="1"/>
    <col min="65" max="65" width="33" style="16" customWidth="1"/>
    <col min="66" max="66" width="36.5" style="16" customWidth="1"/>
    <col min="67" max="67" width="47.25" style="16" customWidth="1"/>
    <col min="68" max="68" width="69.375" style="16" customWidth="1"/>
    <col min="69" max="69" width="65.625" style="16" customWidth="1"/>
    <col min="70" max="70" width="69.375" style="16" customWidth="1"/>
    <col min="71" max="72" width="65.625" style="16" customWidth="1"/>
    <col min="73" max="74" width="65.875" style="16" customWidth="1"/>
    <col min="75" max="75" width="75.25" style="16" customWidth="1"/>
    <col min="76" max="76" width="65.625" style="16" customWidth="1"/>
    <col min="77" max="77" width="75.25" style="16" customWidth="1"/>
    <col min="78" max="79" width="65.625" style="16" customWidth="1"/>
    <col min="80" max="81" width="65.875" style="16" customWidth="1"/>
    <col min="82" max="83" width="59" style="16" customWidth="1"/>
    <col min="84" max="85" width="65.5" style="16" customWidth="1"/>
    <col min="86" max="87" width="65.875" style="16" customWidth="1"/>
    <col min="88" max="89" width="65.5" style="16" customWidth="1"/>
    <col min="90" max="91" width="65.625" style="16" customWidth="1"/>
    <col min="92" max="92" width="9.125" style="16" customWidth="1"/>
    <col min="93" max="101" width="16.125" style="16" customWidth="1"/>
    <col min="102" max="102" width="17.25" style="16" customWidth="1"/>
    <col min="103" max="103" width="18.125" style="16" customWidth="1"/>
    <col min="104" max="111" width="16.125" style="16" customWidth="1"/>
    <col min="112" max="126" width="17.25" style="16" customWidth="1"/>
    <col min="127" max="16384" width="9.125" style="16" customWidth="1"/>
  </cols>
  <sheetData>
    <row r="1" ht="12.75" customHeight="1" customFormat="1">
      <c r="A1" t="s">
        <v>126</v>
      </c>
      <c r="B1" t="s">
        <v>67</v>
      </c>
      <c r="C1" t="s">
        <v>51</v>
      </c>
      <c r="D1" t="s">
        <v>144</v>
      </c>
      <c r="E1" t="s">
        <v>129</v>
      </c>
      <c r="F1" t="s">
        <v>122</v>
      </c>
      <c r="G1" t="s">
        <v>59</v>
      </c>
      <c r="H1" t="s">
        <v>60</v>
      </c>
      <c r="I1" t="s">
        <v>1</v>
      </c>
      <c r="J1" t="s">
        <v>2</v>
      </c>
      <c r="K1" t="s">
        <v>112</v>
      </c>
      <c r="L1" t="s">
        <v>13</v>
      </c>
      <c r="M1" t="s">
        <v>145</v>
      </c>
      <c r="N1" t="s">
        <v>87</v>
      </c>
      <c r="O1" t="s">
        <v>130</v>
      </c>
      <c r="P1" t="s">
        <v>69</v>
      </c>
      <c r="Q1" t="s">
        <v>14</v>
      </c>
      <c r="R1" t="s">
        <v>104</v>
      </c>
      <c r="S1" t="s">
        <v>41</v>
      </c>
      <c r="T1" t="s">
        <v>131</v>
      </c>
      <c r="U1" t="s">
        <v>81</v>
      </c>
      <c r="V1" t="s">
        <v>21</v>
      </c>
      <c r="W1" t="s">
        <v>105</v>
      </c>
      <c r="X1" t="s">
        <v>53</v>
      </c>
      <c r="Y1" t="s">
        <v>70</v>
      </c>
      <c r="Z1" t="s">
        <v>3</v>
      </c>
      <c r="AA1" t="s">
        <v>93</v>
      </c>
      <c r="AB1" t="s">
        <v>88</v>
      </c>
      <c r="AC1" t="s">
        <v>29</v>
      </c>
      <c r="AD1" t="s">
        <v>132</v>
      </c>
      <c r="AE1" t="s">
        <v>71</v>
      </c>
      <c r="AF1" t="s">
        <v>133</v>
      </c>
      <c r="AG1" t="s">
        <v>82</v>
      </c>
      <c r="AH1" t="s">
        <v>146</v>
      </c>
      <c r="AI1" t="s">
        <v>114</v>
      </c>
      <c r="AJ1" t="s">
        <v>83</v>
      </c>
      <c r="AK1" t="s">
        <v>54</v>
      </c>
      <c r="AL1" t="s">
        <v>15</v>
      </c>
      <c r="AM1" t="s">
        <v>134</v>
      </c>
      <c r="AN1" t="s">
        <v>94</v>
      </c>
      <c r="AO1" t="s">
        <v>30</v>
      </c>
      <c r="AP1" t="s">
        <v>72</v>
      </c>
      <c r="AQ1" t="s">
        <v>4</v>
      </c>
      <c r="AR1" t="s">
        <v>73</v>
      </c>
      <c r="AS1" t="s">
        <v>43</v>
      </c>
      <c r="AT1" t="s">
        <v>5</v>
      </c>
      <c r="AU1" t="s">
        <v>44</v>
      </c>
      <c r="AV1" t="s">
        <v>16</v>
      </c>
      <c r="AW1" t="s">
        <v>31</v>
      </c>
      <c r="AX1" t="s">
        <v>6</v>
      </c>
      <c r="AY1" t="s">
        <v>147</v>
      </c>
      <c r="AZ1" t="s">
        <v>115</v>
      </c>
      <c r="BA1" t="s">
        <v>116</v>
      </c>
      <c r="BB1" t="s">
        <v>84</v>
      </c>
      <c r="BC1" t="s">
        <v>123</v>
      </c>
      <c r="BD1" t="s">
        <v>74</v>
      </c>
      <c r="BE1" t="s">
        <v>22</v>
      </c>
      <c r="BF1" t="s">
        <v>117</v>
      </c>
      <c r="BG1" t="s">
        <v>106</v>
      </c>
      <c r="BH1" t="s">
        <v>45</v>
      </c>
      <c r="BI1" t="s">
        <v>17</v>
      </c>
      <c r="BJ1" t="s">
        <v>96</v>
      </c>
      <c r="BK1" t="s">
        <v>149</v>
      </c>
      <c r="BL1" t="s">
        <v>56</v>
      </c>
      <c r="BM1" t="s">
        <v>46</v>
      </c>
      <c r="BN1" t="s">
        <v>18</v>
      </c>
      <c r="BO1" t="s">
        <v>107</v>
      </c>
      <c r="BP1" t="s">
        <v>57</v>
      </c>
      <c r="BQ1" t="s">
        <v>32</v>
      </c>
      <c r="BR1" t="s">
        <v>136</v>
      </c>
      <c r="BS1" t="s">
        <v>90</v>
      </c>
      <c r="BT1" t="s">
        <v>91</v>
      </c>
      <c r="BU1" t="s">
        <v>75</v>
      </c>
      <c r="BV1" t="s">
        <v>33</v>
      </c>
      <c r="BW1" t="s">
        <v>118</v>
      </c>
      <c r="BX1" t="s">
        <v>85</v>
      </c>
      <c r="BY1" t="s">
        <v>48</v>
      </c>
      <c r="BZ1" t="s">
        <v>124</v>
      </c>
      <c r="CA1" t="s">
        <v>125</v>
      </c>
      <c r="CB1" t="s">
        <v>108</v>
      </c>
      <c r="CC1" t="s">
        <v>76</v>
      </c>
      <c r="CD1" t="s">
        <v>119</v>
      </c>
      <c r="CE1" t="s">
        <v>8</v>
      </c>
      <c r="CF1" t="s">
        <v>97</v>
      </c>
      <c r="CG1" t="s">
        <v>62</v>
      </c>
      <c r="CH1" t="s">
        <v>77</v>
      </c>
      <c r="CI1" t="s">
        <v>34</v>
      </c>
      <c r="CJ1" t="s">
        <v>19</v>
      </c>
      <c r="CK1" t="s">
        <v>137</v>
      </c>
      <c r="CL1" t="s">
        <v>138</v>
      </c>
      <c r="CM1" t="s">
        <v>98</v>
      </c>
      <c r="CN1" t="s">
        <v>139</v>
      </c>
      <c r="CO1" t="s">
        <v>140</v>
      </c>
      <c r="CP1" t="s">
        <v>23</v>
      </c>
      <c r="CQ1" t="s">
        <v>63</v>
      </c>
      <c r="CR1" t="s">
        <v>99</v>
      </c>
      <c r="CS1" t="s">
        <v>150</v>
      </c>
      <c r="CT1" t="s">
        <v>35</v>
      </c>
      <c r="CU1" t="s">
        <v>78</v>
      </c>
      <c r="CV1" t="s">
        <v>109</v>
      </c>
      <c r="CW1" t="s">
        <v>151</v>
      </c>
      <c r="CX1" t="s">
        <v>79</v>
      </c>
      <c r="CY1" t="s">
        <v>141</v>
      </c>
      <c r="CZ1" t="s">
        <v>24</v>
      </c>
      <c r="DA1" t="s">
        <v>64</v>
      </c>
      <c r="DB1" t="s">
        <v>100</v>
      </c>
      <c r="DC1" t="s">
        <v>152</v>
      </c>
      <c r="DD1" t="s">
        <v>36</v>
      </c>
      <c r="DE1" t="s">
        <v>80</v>
      </c>
      <c r="DF1" t="s">
        <v>110</v>
      </c>
      <c r="DG1" t="s">
        <v>153</v>
      </c>
      <c r="DH1" t="s">
        <v>101</v>
      </c>
      <c r="DI1" t="s">
        <v>111</v>
      </c>
      <c r="DJ1" t="s">
        <v>9</v>
      </c>
      <c r="DK1" t="s">
        <v>49</v>
      </c>
      <c r="DL1" t="s">
        <v>86</v>
      </c>
      <c r="DM1" t="s">
        <v>120</v>
      </c>
      <c r="DN1" t="s">
        <v>10</v>
      </c>
      <c r="DO1" t="s">
        <v>50</v>
      </c>
      <c r="DP1" t="s">
        <v>142</v>
      </c>
      <c r="DQ1" t="s">
        <v>25</v>
      </c>
      <c r="DR1" t="s">
        <v>65</v>
      </c>
      <c r="DS1" t="s">
        <v>102</v>
      </c>
      <c r="DT1" t="s">
        <v>143</v>
      </c>
      <c r="DU1" t="s">
        <v>26</v>
      </c>
      <c r="DV1" t="s">
        <v>66</v>
      </c>
    </row>
    <row r="2">
      <c r="A2" s="1">
        <v>1</v>
      </c>
      <c r="B2" s="1" t="s">
        <v>103</v>
      </c>
      <c r="C2" s="5" t="s">
        <v>121</v>
      </c>
      <c r="D2" s="5" t="s">
        <v>39</v>
      </c>
      <c r="E2" s="5" t="s">
        <v>12</v>
      </c>
      <c r="F2" s="5" t="s">
        <v>58</v>
      </c>
      <c r="G2" s="5" t="s">
        <v>92</v>
      </c>
      <c r="H2" s="5" t="s">
        <v>0</v>
      </c>
      <c r="I2" s="4" t="s">
        <v>68</v>
      </c>
      <c r="J2" s="9">
        <v>300000253818</v>
      </c>
      <c r="K2" s="4" t="s">
        <v>61</v>
      </c>
      <c r="L2" s="4">
        <f ca="1">YEAR(TODAY())</f>
        <v>2024</v>
      </c>
      <c r="M2" s="4" t="s">
        <v>40</v>
      </c>
      <c r="N2" s="2" t="s">
        <v>52</v>
      </c>
      <c r="O2" s="2" t="s">
        <v>28</v>
      </c>
      <c r="P2" s="2" t="s">
        <v>28</v>
      </c>
      <c r="Q2" s="2" t="s">
        <v>28</v>
      </c>
      <c r="R2" s="2" t="s">
        <v>28</v>
      </c>
      <c r="S2" s="2" t="s">
        <v>28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28</v>
      </c>
      <c r="Y2" s="2" t="s">
        <v>28</v>
      </c>
      <c r="Z2" s="2" t="s">
        <v>28</v>
      </c>
      <c r="AA2" s="2" t="s">
        <v>28</v>
      </c>
      <c r="AB2" s="17">
        <v>45502</v>
      </c>
      <c r="AC2" s="2">
        <f>AB2</f>
        <v>45502</v>
      </c>
      <c r="AD2" s="2" t="str">
        <f>"2.000,00"</f>
        <v>2.000,00</v>
      </c>
      <c r="AE2" s="2" t="str">
        <f>"2.000,00-"</f>
        <v>2.000,00-</v>
      </c>
      <c r="AF2" s="2" t="s">
        <v>113</v>
      </c>
      <c r="AG2" s="2" t="s">
        <v>42</v>
      </c>
      <c r="AH2" s="2" t="s">
        <v>28</v>
      </c>
      <c r="AI2" s="2" t="s">
        <v>28</v>
      </c>
      <c r="AJ2" s="2" t="s">
        <v>28</v>
      </c>
      <c r="AK2" s="2" t="s">
        <v>28</v>
      </c>
      <c r="AL2" s="2" t="s">
        <v>28</v>
      </c>
      <c r="AM2" s="2" t="s">
        <v>28</v>
      </c>
      <c r="AN2" s="2" t="s">
        <v>28</v>
      </c>
      <c r="AO2" s="2" t="s">
        <v>28</v>
      </c>
      <c r="AP2" s="2" t="s">
        <v>28</v>
      </c>
      <c r="AQ2" s="2" t="s">
        <v>28</v>
      </c>
      <c r="AR2" s="2" t="s">
        <v>28</v>
      </c>
      <c r="AS2" s="2" t="s">
        <v>28</v>
      </c>
      <c r="AT2" s="2" t="s">
        <v>28</v>
      </c>
      <c r="AU2" s="2">
        <f>AB2</f>
        <v>45502</v>
      </c>
      <c r="AV2" s="2">
        <f>AB2</f>
        <v>45502</v>
      </c>
      <c r="AW2" s="2" t="str">
        <f>"2.000,00"</f>
        <v>2.000,00</v>
      </c>
      <c r="AX2" s="2" t="str">
        <f>"2.000,00-"</f>
        <v>2.000,00-</v>
      </c>
      <c r="AY2" s="2" t="s">
        <v>113</v>
      </c>
      <c r="AZ2" s="2" t="s">
        <v>42</v>
      </c>
      <c r="BA2" s="7" t="s">
        <v>148</v>
      </c>
      <c r="BB2" s="7" t="s">
        <v>61</v>
      </c>
      <c r="BC2" s="2" t="s">
        <v>89</v>
      </c>
      <c r="BD2" s="2" t="s">
        <v>55</v>
      </c>
      <c r="BE2" s="2" t="s">
        <v>95</v>
      </c>
      <c r="BF2" s="2" t="s">
        <v>95</v>
      </c>
      <c r="BG2" s="2" t="str">
        <f>"2.000,00-"</f>
        <v>2.000,00-</v>
      </c>
      <c r="BH2" s="2" t="str">
        <f>"2.000,00"</f>
        <v>2.000,00</v>
      </c>
      <c r="BI2" s="2" t="s">
        <v>135</v>
      </c>
      <c r="BJ2" s="2" t="str">
        <f>BI2</f>
        <v>Transfer Test_50</v>
      </c>
      <c r="BK2" s="4" t="s">
        <v>68</v>
      </c>
      <c r="BL2" s="9">
        <v>300000253818</v>
      </c>
      <c r="BM2" s="4" t="s">
        <v>61</v>
      </c>
      <c r="BN2" s="4" t="s">
        <v>40</v>
      </c>
      <c r="BO2" s="2" t="s">
        <v>47</v>
      </c>
      <c r="BP2" s="2" t="str">
        <f t="shared" si="0" ref="BP2:BS2">"2.000,00"</f>
        <v>2.000,00</v>
      </c>
      <c r="BQ2" s="2" t="str">
        <f t="shared" si="0"/>
        <v>2.000,00</v>
      </c>
      <c r="BR2" s="2" t="str">
        <f t="shared" si="0"/>
        <v>2.000,00</v>
      </c>
      <c r="BS2" s="2" t="str">
        <f t="shared" si="0"/>
        <v>2.000,00</v>
      </c>
      <c r="BT2" s="2">
        <f>AB2</f>
        <v>45502</v>
      </c>
      <c r="BU2" s="2" t="str">
        <f>"2.000,00"</f>
        <v>2.000,00</v>
      </c>
      <c r="BV2" s="2" t="s">
        <v>7</v>
      </c>
      <c r="BW2" s="2" t="str">
        <f t="shared" si="1" ref="BW2:BZ2">"2.000,00"</f>
        <v>2.000,00</v>
      </c>
      <c r="BX2" s="2" t="str">
        <f t="shared" si="1"/>
        <v>2.000,00</v>
      </c>
      <c r="BY2" s="2" t="str">
        <f t="shared" si="1"/>
        <v>2.000,00</v>
      </c>
      <c r="BZ2" s="2" t="str">
        <f t="shared" si="1"/>
        <v>2.000,00</v>
      </c>
      <c r="CA2" s="2">
        <f>AB2</f>
        <v>45502</v>
      </c>
      <c r="CB2" s="2" t="str">
        <f>"2.000,00"</f>
        <v>2.000,00</v>
      </c>
      <c r="CC2" s="2" t="s">
        <v>7</v>
      </c>
      <c r="CD2" s="7" t="s">
        <v>148</v>
      </c>
      <c r="CE2" s="7" t="s">
        <v>61</v>
      </c>
      <c r="CF2" s="2" t="s">
        <v>89</v>
      </c>
      <c r="CG2" s="2" t="s">
        <v>55</v>
      </c>
      <c r="CH2" s="2" t="s">
        <v>95</v>
      </c>
      <c r="CI2" s="2" t="s">
        <v>95</v>
      </c>
      <c r="CJ2" s="2" t="str">
        <f>"2.000,00-"</f>
        <v>2.000,00-</v>
      </c>
      <c r="CK2" s="2" t="str">
        <f>"2.000,00"</f>
        <v>2.000,00</v>
      </c>
      <c r="CL2" s="2" t="str">
        <f>BI2</f>
        <v>Transfer Test_50</v>
      </c>
      <c r="CM2" s="2" t="str">
        <f>BI2</f>
        <v>Transfer Test_50</v>
      </c>
      <c r="CN2" s="2"/>
      <c r="CO2" s="2" t="s">
        <v>28</v>
      </c>
      <c r="CP2" s="2" t="s">
        <v>28</v>
      </c>
      <c r="CQ2" s="2" t="s">
        <v>28</v>
      </c>
      <c r="CR2" s="2" t="s">
        <v>28</v>
      </c>
      <c r="CS2" s="6">
        <f ca="1" t="shared" si="2" ref="CS2:CT2">TODAY()</f>
        <v>45502</v>
      </c>
      <c r="CT2" s="6">
        <f ca="1" t="shared" si="2"/>
        <v>45502</v>
      </c>
      <c r="CU2" s="3" t="str">
        <f>"2.000,00"</f>
        <v>2.000,00</v>
      </c>
      <c r="CV2" s="3" t="str">
        <f>"2.000,00-"</f>
        <v>2.000,00-</v>
      </c>
      <c r="CW2" s="2">
        <v>100</v>
      </c>
      <c r="CX2" s="2">
        <v>320</v>
      </c>
      <c r="CY2" s="2" t="s">
        <v>28</v>
      </c>
      <c r="CZ2" s="2" t="s">
        <v>28</v>
      </c>
      <c r="DA2" s="2" t="s">
        <v>28</v>
      </c>
      <c r="DB2" s="2" t="s">
        <v>28</v>
      </c>
      <c r="DC2" s="6">
        <f ca="1" t="shared" si="3" ref="DC2:DD2">TODAY()</f>
        <v>45502</v>
      </c>
      <c r="DD2" s="6">
        <f ca="1" t="shared" si="3"/>
        <v>45502</v>
      </c>
      <c r="DE2" s="3" t="str">
        <f>"2.000,00"</f>
        <v>2.000,00</v>
      </c>
      <c r="DF2" s="3" t="str">
        <f>"2.000,00-"</f>
        <v>2.000,00-</v>
      </c>
      <c r="DG2" s="2">
        <v>100</v>
      </c>
      <c r="DH2" s="2">
        <v>320</v>
      </c>
      <c r="DI2" s="3" t="str">
        <f t="shared" si="4" ref="DI2:DL2">"2.000,00"</f>
        <v>2.000,00</v>
      </c>
      <c r="DJ2" s="3" t="str">
        <f t="shared" si="4"/>
        <v>2.000,00</v>
      </c>
      <c r="DK2" s="3" t="str">
        <f t="shared" si="4"/>
        <v>2.000,00</v>
      </c>
      <c r="DL2" s="3" t="str">
        <f t="shared" si="4"/>
        <v>2.000,00</v>
      </c>
      <c r="DM2" s="6">
        <f ca="1">TODAY()</f>
        <v>45502</v>
      </c>
      <c r="DN2" s="3" t="str">
        <f>"2.000,00"</f>
        <v>2.000,00</v>
      </c>
      <c r="DO2" s="2">
        <v>330</v>
      </c>
      <c r="DP2" s="3" t="str">
        <f t="shared" si="5" ref="DP2:DS2">"2.000,00"</f>
        <v>2.000,00</v>
      </c>
      <c r="DQ2" s="3" t="str">
        <f t="shared" si="5"/>
        <v>2.000,00</v>
      </c>
      <c r="DR2" s="3" t="str">
        <f t="shared" si="5"/>
        <v>2.000,00</v>
      </c>
      <c r="DS2" s="3" t="str">
        <f t="shared" si="5"/>
        <v>2.000,00</v>
      </c>
      <c r="DT2" s="6">
        <f ca="1">TODAY()</f>
        <v>45502</v>
      </c>
      <c r="DU2" s="3" t="str">
        <f>"2.000,00"</f>
        <v>2.000,00</v>
      </c>
      <c r="DV2" s="11">
        <v>330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3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3"/>
    </row>
    <row r="5">
      <c r="A5" s="1"/>
      <c r="B5" s="5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3"/>
    </row>
    <row r="6">
      <c r="A6" s="1"/>
      <c r="B6" s="14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3"/>
    </row>
    <row r="7">
      <c r="A7" s="1"/>
      <c r="B7" s="2" t="s">
        <v>127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3"/>
    </row>
    <row r="8">
      <c r="A8" s="1"/>
      <c r="B8" s="10" t="s">
        <v>20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3"/>
    </row>
    <row r="9">
      <c r="A9" s="1"/>
      <c r="B9" s="15" t="s">
        <v>128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3"/>
    </row>
    <row r="10">
      <c r="A10" s="1"/>
      <c r="B10" s="4" t="s">
        <v>27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3"/>
    </row>
    <row r="11">
      <c r="A11" s="1"/>
      <c r="B11" s="12" t="s">
        <v>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3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