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<sst xmlns="http://schemas.openxmlformats.org/spreadsheetml/2006/main" uniqueCount="322">
  <si>
    <t/>
  </si>
  <si>
    <t>DT_SAPTRANSACTIONCODE</t>
  </si>
  <si>
    <t>DT_AS01_0105_ASSET_CLASS_OLD</t>
  </si>
  <si>
    <t>Sprinkler system</t>
  </si>
  <si>
    <t>P.C.</t>
  </si>
  <si>
    <t>Reach Truck (ανυψωτ.)</t>
  </si>
  <si>
    <t xml:space="preserve">ZG_EAS435A    </t>
  </si>
  <si>
    <t xml:space="preserve">ZG_VYP303A    </t>
  </si>
  <si>
    <t>G416</t>
  </si>
  <si>
    <t>G445</t>
  </si>
  <si>
    <t>G307</t>
  </si>
  <si>
    <t>DT_AS01_0105_CHECK_MESSAGEPARAMETER_OF_STATUSBAR</t>
  </si>
  <si>
    <t>A0110021</t>
  </si>
  <si>
    <t>=R13</t>
  </si>
  <si>
    <t>=R17</t>
  </si>
  <si>
    <t>=R24</t>
  </si>
  <si>
    <t>=R28</t>
  </si>
  <si>
    <t>=R31</t>
  </si>
  <si>
    <t>=R35</t>
  </si>
  <si>
    <t>=R42</t>
  </si>
  <si>
    <t>=S15</t>
  </si>
  <si>
    <t>=S19</t>
  </si>
  <si>
    <t>=S22</t>
  </si>
  <si>
    <t>=S26</t>
  </si>
  <si>
    <t>=S33</t>
  </si>
  <si>
    <t>=S37</t>
  </si>
  <si>
    <t>=S40</t>
  </si>
  <si>
    <t>DT_AS01_1170_CHECK_TEXT_OF_TABLECELL_EQUIPMENT_NUMBER_0</t>
  </si>
  <si>
    <t>=P13</t>
  </si>
  <si>
    <t>=P17</t>
  </si>
  <si>
    <t>=P24</t>
  </si>
  <si>
    <t>=P28</t>
  </si>
  <si>
    <t>=P31</t>
  </si>
  <si>
    <t>=P35</t>
  </si>
  <si>
    <t>=P42</t>
  </si>
  <si>
    <t>100000003802</t>
  </si>
  <si>
    <t>AT_09.11.01.10.01 Retire Assets_Asset Retirement by Scrapping [Unique]</t>
  </si>
  <si>
    <t>Logon Information</t>
  </si>
  <si>
    <t>PBX Switchboard - stores</t>
  </si>
  <si>
    <t xml:space="preserve">ZG_IT230A     </t>
  </si>
  <si>
    <t>DT_AS01_1182_WBS_ELEMENT</t>
  </si>
  <si>
    <t>=R39</t>
  </si>
  <si>
    <t>DT_AS01_1170_CHECK_TEXT_OF_TABLECELL_CATEGORY_0</t>
  </si>
  <si>
    <t>=P39</t>
  </si>
  <si>
    <t>DT_AS01_1190_CHECK_TEXT_OF_TABLECELL_DKEY_0</t>
  </si>
  <si>
    <t>DT_AS01_CHECK_TEXT_OF_AD</t>
  </si>
  <si>
    <t>Fix</t>
  </si>
  <si>
    <t>13003102</t>
  </si>
  <si>
    <t>13003200</t>
  </si>
  <si>
    <t>130031L1</t>
  </si>
  <si>
    <t>130033L1</t>
  </si>
  <si>
    <t>130035L1</t>
  </si>
  <si>
    <t>Scanner</t>
  </si>
  <si>
    <t xml:space="preserve">ZG_CPE308C    </t>
  </si>
  <si>
    <t>DT_AS01_1145_COST_CENTER</t>
  </si>
  <si>
    <t>A0130033</t>
  </si>
  <si>
    <t>=R2</t>
  </si>
  <si>
    <t>=R6</t>
  </si>
  <si>
    <t>=S3</t>
  </si>
  <si>
    <t>=P4</t>
  </si>
  <si>
    <t>=P8</t>
  </si>
  <si>
    <t>DLNA</t>
  </si>
  <si>
    <t>DT_AS01_1190_CHECK_TEXT_OF_TABLECELL_USELIFE_0</t>
  </si>
  <si>
    <t>Scenario</t>
  </si>
  <si>
    <t>Input Value</t>
  </si>
  <si>
    <t>DT_AS01_1140_QUANTITY</t>
  </si>
  <si>
    <t xml:space="preserve">ZG_EBM416A    </t>
  </si>
  <si>
    <t>G202</t>
  </si>
  <si>
    <t>G220</t>
  </si>
  <si>
    <t>G402</t>
  </si>
  <si>
    <t>G304</t>
  </si>
  <si>
    <t>A0120011</t>
  </si>
  <si>
    <t>=R10</t>
  </si>
  <si>
    <t>=S7</t>
  </si>
  <si>
    <t>=S12</t>
  </si>
  <si>
    <t>=P10</t>
  </si>
  <si>
    <t>=P21</t>
  </si>
  <si>
    <t>AX</t>
  </si>
  <si>
    <t>Formulas</t>
  </si>
  <si>
    <t>Data from other test</t>
  </si>
  <si>
    <t>200</t>
  </si>
  <si>
    <t>576d08962b81726aa95bd466834f21c1095f91347ec4</t>
  </si>
  <si>
    <t>GR02</t>
  </si>
  <si>
    <t>Scanners</t>
  </si>
  <si>
    <t>Infrared scanner - counterfeit</t>
  </si>
  <si>
    <t xml:space="preserve">ZG_EPS201A    </t>
  </si>
  <si>
    <t xml:space="preserve">ZG_IT220A     </t>
  </si>
  <si>
    <t xml:space="preserve">ZG_EKT451B    </t>
  </si>
  <si>
    <t>G406</t>
  </si>
  <si>
    <t>G417</t>
  </si>
  <si>
    <t>G464</t>
  </si>
  <si>
    <t>G435</t>
  </si>
  <si>
    <t>G308</t>
  </si>
  <si>
    <t xml:space="preserve">I                 </t>
  </si>
  <si>
    <t xml:space="preserve">V                 </t>
  </si>
  <si>
    <t>DT_AS01_1145_CHECK_TEXT_OF_PROFIT_CENTER</t>
  </si>
  <si>
    <t>=R14</t>
  </si>
  <si>
    <t>=R18</t>
  </si>
  <si>
    <t>=R21</t>
  </si>
  <si>
    <t>=R25</t>
  </si>
  <si>
    <t>=R29</t>
  </si>
  <si>
    <t>=R32</t>
  </si>
  <si>
    <t>=R36</t>
  </si>
  <si>
    <t>DT_AS01_1160_CHECK_TEXT_OF_EVALUATION_GROUP_4</t>
  </si>
  <si>
    <t>=S16</t>
  </si>
  <si>
    <t>=S23</t>
  </si>
  <si>
    <t>=S27</t>
  </si>
  <si>
    <t>=S30</t>
  </si>
  <si>
    <t>=S34</t>
  </si>
  <si>
    <t>=S38</t>
  </si>
  <si>
    <t>=S41</t>
  </si>
  <si>
    <t>=P14</t>
  </si>
  <si>
    <t>=P18</t>
  </si>
  <si>
    <t>=P25</t>
  </si>
  <si>
    <t>=P29</t>
  </si>
  <si>
    <t>=P32</t>
  </si>
  <si>
    <t>=P36</t>
  </si>
  <si>
    <t>/nex</t>
  </si>
  <si>
    <t>DT_SAPSYSTEM</t>
  </si>
  <si>
    <t>DT_AS01_0105_COMPANY_CODE</t>
  </si>
  <si>
    <t>Refrigerating unit</t>
  </si>
  <si>
    <t>Mainframe</t>
  </si>
  <si>
    <t xml:space="preserve">ZG_VAN304A    </t>
  </si>
  <si>
    <t xml:space="preserve">ZG_CPE310A    </t>
  </si>
  <si>
    <t>DT_AS01_1140_CHECK_TEXT_OF_ACCT_DETERMINATION</t>
  </si>
  <si>
    <t>A0170031</t>
  </si>
  <si>
    <t>DT_AS01_1170_CHECK_TEXT_OF_OF_TECHNICAL_OBJECT_0</t>
  </si>
  <si>
    <t>0000</t>
  </si>
  <si>
    <t>Z000</t>
  </si>
  <si>
    <t>300000253808</t>
  </si>
  <si>
    <t>609acf8da371c8cdf84f94f81de9b4f156bf37c8e344</t>
  </si>
  <si>
    <t>DT_SAPLANGUAGE</t>
  </si>
  <si>
    <t>DT_SAPOPTIONS</t>
  </si>
  <si>
    <t>130031L2</t>
  </si>
  <si>
    <t>130034L0</t>
  </si>
  <si>
    <t>DT_AS01_1140_DESCRIPTION</t>
  </si>
  <si>
    <t>Dock leveler platform (Metalic</t>
  </si>
  <si>
    <t>Van, Fiorino (Ημιφορτ.)</t>
  </si>
  <si>
    <t>Refrigerator Trailor</t>
  </si>
  <si>
    <t>AU</t>
  </si>
  <si>
    <t xml:space="preserve">ZG_IT406A     </t>
  </si>
  <si>
    <t>DT_AS01_1160_EVALUATION_GROUP_4</t>
  </si>
  <si>
    <t>DT_AS01_0105_OKCD</t>
  </si>
  <si>
    <t>A0011011</t>
  </si>
  <si>
    <t>A001</t>
  </si>
  <si>
    <t>=R3</t>
  </si>
  <si>
    <t>=R7</t>
  </si>
  <si>
    <t>=S4</t>
  </si>
  <si>
    <t>=P5</t>
  </si>
  <si>
    <t>=P9</t>
  </si>
  <si>
    <t>DT_AS01_1190_CHECK_TEXT_OF_TABLECELL_DKEY_1</t>
  </si>
  <si>
    <t>Z040</t>
  </si>
  <si>
    <t>Z200</t>
  </si>
  <si>
    <t>Z120</t>
  </si>
  <si>
    <t>DT_AS01_1190_CHECK_TEXT_OF_TABLECELL_USELIFE_1</t>
  </si>
  <si>
    <t>Row</t>
  </si>
  <si>
    <t>AT_01.04.01.01.03 Maintain Asset Masterdata_Change asset</t>
  </si>
  <si>
    <t>130033L2</t>
  </si>
  <si>
    <t>130035L2</t>
  </si>
  <si>
    <t>Battery Charger</t>
  </si>
  <si>
    <t>Money box</t>
  </si>
  <si>
    <t xml:space="preserve">ZG_EAS454A    </t>
  </si>
  <si>
    <t xml:space="preserve">ZG_EBM436A    </t>
  </si>
  <si>
    <t>G003</t>
  </si>
  <si>
    <t>G610</t>
  </si>
  <si>
    <t>AS03</t>
  </si>
  <si>
    <t>DT_AS01_1140_CHECK_TEXT_OF_ASSET_MAIN_NO_TEXT</t>
  </si>
  <si>
    <t>=R11</t>
  </si>
  <si>
    <t>=S8</t>
  </si>
  <si>
    <t>=S20</t>
  </si>
  <si>
    <t>=P11</t>
  </si>
  <si>
    <t>1101100</t>
  </si>
  <si>
    <t xml:space="preserve">ZG_CPE307A    </t>
  </si>
  <si>
    <t>G407</t>
  </si>
  <si>
    <t>G454</t>
  </si>
  <si>
    <t>G436</t>
  </si>
  <si>
    <t>DT_ASSET_NO</t>
  </si>
  <si>
    <t>DT_EXP_MSG</t>
  </si>
  <si>
    <t>A0410021</t>
  </si>
  <si>
    <t>DT_AS01_1145_CHECK_TEXT_OF_COST_CENTER</t>
  </si>
  <si>
    <t>=R15</t>
  </si>
  <si>
    <t>=R19</t>
  </si>
  <si>
    <t>=R22</t>
  </si>
  <si>
    <t>=R26</t>
  </si>
  <si>
    <t>=R33</t>
  </si>
  <si>
    <t>=R37</t>
  </si>
  <si>
    <t>=R40</t>
  </si>
  <si>
    <t>=S13</t>
  </si>
  <si>
    <t>=S17</t>
  </si>
  <si>
    <t>=S24</t>
  </si>
  <si>
    <t>=S28</t>
  </si>
  <si>
    <t>=S31</t>
  </si>
  <si>
    <t>=S35</t>
  </si>
  <si>
    <t>=S42</t>
  </si>
  <si>
    <t>DT_Check_TMP</t>
  </si>
  <si>
    <t>=P15</t>
  </si>
  <si>
    <t>=P19</t>
  </si>
  <si>
    <t>=P22</t>
  </si>
  <si>
    <t>=P26</t>
  </si>
  <si>
    <t>=P33</t>
  </si>
  <si>
    <t>=P37</t>
  </si>
  <si>
    <t>=P40</t>
  </si>
  <si>
    <t>DLNR</t>
  </si>
  <si>
    <t>DT_AS01_1000_OKCD</t>
  </si>
  <si>
    <t>AT_09.11.01.09.01 Asset Acquisition with supplier_P1</t>
  </si>
  <si>
    <t>Cash registers - scanners</t>
  </si>
  <si>
    <t>Notes Counter</t>
  </si>
  <si>
    <t>Order Picker</t>
  </si>
  <si>
    <t xml:space="preserve">ZG_EBM464A    </t>
  </si>
  <si>
    <t xml:space="preserve">I            </t>
  </si>
  <si>
    <t xml:space="preserve">E                 </t>
  </si>
  <si>
    <t>EN</t>
  </si>
  <si>
    <t>13003100</t>
  </si>
  <si>
    <t>DT_INCREMENT</t>
  </si>
  <si>
    <t>Electric scales</t>
  </si>
  <si>
    <t xml:space="preserve">ZG_VTR302A    </t>
  </si>
  <si>
    <t>ZG_EPS201A</t>
  </si>
  <si>
    <t>A0130035</t>
  </si>
  <si>
    <t>DT_AS01_1145_CHECK_TEXT_OF_BUSINESS_AREA</t>
  </si>
  <si>
    <t>=R4</t>
  </si>
  <si>
    <t>=S5</t>
  </si>
  <si>
    <t>=P2</t>
  </si>
  <si>
    <t>=P6</t>
  </si>
  <si>
    <t>DT_AS01_1190_CHECK_TEXT_OF_TABLECELL_DKEY_2</t>
  </si>
  <si>
    <t>DT_AS01_1190_CHECK_TEXT_OF_TABLECELL_USELIFE_2</t>
  </si>
  <si>
    <t>DT_AS01_0105_ASSET_CLASS</t>
  </si>
  <si>
    <t>130031L3</t>
  </si>
  <si>
    <t>130033L3</t>
  </si>
  <si>
    <t>130035L3</t>
  </si>
  <si>
    <t>Security System</t>
  </si>
  <si>
    <t xml:space="preserve">ZG_EBM202A    </t>
  </si>
  <si>
    <t>G302</t>
  </si>
  <si>
    <t xml:space="preserve">C                 </t>
  </si>
  <si>
    <t>DT_AS01_1140_CHECK_TEXT_OF_QUANTITY</t>
  </si>
  <si>
    <t>=R8</t>
  </si>
  <si>
    <t>=R12</t>
  </si>
  <si>
    <t>=S9</t>
  </si>
  <si>
    <t>=S10</t>
  </si>
  <si>
    <t>=P12</t>
  </si>
  <si>
    <t>DT_ASSET_NO_OUTPUT</t>
  </si>
  <si>
    <t>11002109</t>
  </si>
  <si>
    <t xml:space="preserve">ZG_EYD003A    </t>
  </si>
  <si>
    <t xml:space="preserve">ZG_IT405A     </t>
  </si>
  <si>
    <t>G219</t>
  </si>
  <si>
    <t>G451</t>
  </si>
  <si>
    <t>A0170011</t>
  </si>
  <si>
    <t>DT_AS01_1160_CHECK_TEXT_OF_EVALUATION_GROUP_2</t>
  </si>
  <si>
    <t>=R16</t>
  </si>
  <si>
    <t>=R23</t>
  </si>
  <si>
    <t>=R27</t>
  </si>
  <si>
    <t>=R30</t>
  </si>
  <si>
    <t>=R34</t>
  </si>
  <si>
    <t>=R38</t>
  </si>
  <si>
    <t>=R41</t>
  </si>
  <si>
    <t>=S14</t>
  </si>
  <si>
    <t>=S18</t>
  </si>
  <si>
    <t>=S21</t>
  </si>
  <si>
    <t>=S25</t>
  </si>
  <si>
    <t>=S29</t>
  </si>
  <si>
    <t>=S32</t>
  </si>
  <si>
    <t>=S36</t>
  </si>
  <si>
    <t>DT_AS01_1182_CHECK_TEXT_OF_WBS_ELEMENT</t>
  </si>
  <si>
    <t>=P16</t>
  </si>
  <si>
    <t>=P23</t>
  </si>
  <si>
    <t>=P27</t>
  </si>
  <si>
    <t>=P30</t>
  </si>
  <si>
    <t>=P34</t>
  </si>
  <si>
    <t>=P38</t>
  </si>
  <si>
    <t>=P41</t>
  </si>
  <si>
    <t>10</t>
  </si>
  <si>
    <t>R1E - SAP RETAIL Pre-Production EUROPE</t>
  </si>
  <si>
    <t xml:space="preserve">AUTOFAB </t>
  </si>
  <si>
    <t>DT_SAPPASSWORD</t>
  </si>
  <si>
    <t>UPS (uninterupted power supply</t>
  </si>
  <si>
    <t>Lit signs</t>
  </si>
  <si>
    <t>Tournique</t>
  </si>
  <si>
    <t>Truck Body</t>
  </si>
  <si>
    <t xml:space="preserve">ZG_IT417A     </t>
  </si>
  <si>
    <t>E</t>
  </si>
  <si>
    <t>I</t>
  </si>
  <si>
    <t>Z100</t>
  </si>
  <si>
    <t>DT_PERIOD</t>
  </si>
  <si>
    <t>AT_09.11.01.07.01 Manage Asset Transfer [Intra-Opco]_Transfer within Company Code</t>
  </si>
  <si>
    <t>Checks</t>
  </si>
  <si>
    <t>Output Value</t>
  </si>
  <si>
    <t>DT_SAPUSER</t>
  </si>
  <si>
    <t>13003101</t>
  </si>
  <si>
    <t>130035L0</t>
  </si>
  <si>
    <t>Automatic doors</t>
  </si>
  <si>
    <t>DT_AS01_1181_TYPE_NAME</t>
  </si>
  <si>
    <t xml:space="preserve">ZG_IT219A     </t>
  </si>
  <si>
    <t>G02999.99.GS000007-9999</t>
  </si>
  <si>
    <t>DT_AS01_1160_EVALUATION_GROUP_2</t>
  </si>
  <si>
    <t>DT_AS01_1140_CHECK_TEXT_OF_DESCRIPTION</t>
  </si>
  <si>
    <t>A0130032</t>
  </si>
  <si>
    <t>=R5</t>
  </si>
  <si>
    <t>=S2</t>
  </si>
  <si>
    <t>=P3</t>
  </si>
  <si>
    <t>=P7</t>
  </si>
  <si>
    <t>DT_AS01_1190_CHECK_TEXT_OF_TABLECELL_DKEY_3</t>
  </si>
  <si>
    <t>DT_AS01_1190_CHECK_TEXT_OF_TABLECELL_USELIFE_3</t>
  </si>
  <si>
    <t>DT_SAPCLIENT</t>
  </si>
  <si>
    <t>AS01</t>
  </si>
  <si>
    <t>12001114</t>
  </si>
  <si>
    <t>130033L4</t>
  </si>
  <si>
    <t>Cutting machines/Sealing maching</t>
  </si>
  <si>
    <t xml:space="preserve">ZG_EKT114A    </t>
  </si>
  <si>
    <t xml:space="preserve">ZG_EHL407A    </t>
  </si>
  <si>
    <t xml:space="preserve">ZG_IT402A     </t>
  </si>
  <si>
    <t xml:space="preserve">ZG_EEL445A    </t>
  </si>
  <si>
    <t>G114</t>
  </si>
  <si>
    <t>G201</t>
  </si>
  <si>
    <t>G405</t>
  </si>
  <si>
    <t>G303</t>
  </si>
  <si>
    <t>G310</t>
  </si>
  <si>
    <t>G230</t>
  </si>
  <si>
    <t>=R9</t>
  </si>
  <si>
    <t>=R20</t>
  </si>
  <si>
    <t>=S6</t>
  </si>
  <si>
    <t>=S11</t>
  </si>
  <si>
    <t>DT_AS01_1181_CHECK_TEXT_OF_TYPE_NAME</t>
  </si>
  <si>
    <t>=P20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</si>
</sst>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rgb="FF44444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" fontId="1" fillId="4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1" fontId="1" fillId="7" borderId="1" xfId="0" applyNumberFormat="1" applyFill="1" applyBorder="1" applyProtection="1">
      <protection locked="0"/>
    </xf>
    <xf numFmtId="0" fontId="2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49" fontId="1" fillId="0" borderId="1" xfId="0" quotePrefix="1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FICO\DT_01.04.01.01.02%20Maintain%20Asset%20Masterdata_Asset%20Creation%20Manua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Y49"/>
  <sheetViews>
    <sheetView zoomScale="85" workbookViewId="0">
      <pane xSplit="1" ySplit="0" topLeftCell="T2" activePane="topRight"/>
      <selection activeCell="T2" sqref="T2"/>
      <selection pane="topRight" activeCell="T2" sqref="T2"/>
    </sheetView>
  </sheetViews>
  <sheetFormatPr defaultColWidth="9.125" defaultRowHeight="14.25"/>
  <cols>
    <col min="1" max="1" width="4.75" style="14" bestFit="1" customWidth="1"/>
    <col min="2" max="2" width="55.875" style="14" bestFit="1" customWidth="1"/>
    <col min="3" max="3" width="38.875" style="14" bestFit="1" customWidth="1"/>
    <col min="4" max="4" width="14.625" style="14" bestFit="1" customWidth="1"/>
    <col min="5" max="5" width="13.375" style="14" bestFit="1" customWidth="1"/>
    <col min="6" max="6" width="46" style="14" bestFit="1" customWidth="1"/>
    <col min="7" max="7" width="18.5" style="14" bestFit="1" customWidth="1"/>
    <col min="8" max="8" width="16.5" style="14" bestFit="1" customWidth="1"/>
    <col min="9" max="9" width="27.125" style="14" customWidth="1"/>
    <col min="10" max="10" width="33.25" style="14" bestFit="1" customWidth="1"/>
    <col min="11" max="11" width="31.25" style="14" bestFit="1" customWidth="1"/>
    <col min="12" max="12" width="15.625" style="14" bestFit="1" customWidth="1"/>
    <col min="13" max="13" width="29.75" style="14" bestFit="1" customWidth="1"/>
    <col min="14" max="14" width="24.25" style="14" bestFit="1" customWidth="1"/>
    <col min="15" max="15" width="26.375" style="14" bestFit="1" customWidth="1"/>
    <col min="16" max="16" width="29.625" style="14" bestFit="1" customWidth="1"/>
    <col min="17" max="17" width="29.25" style="14" bestFit="1" customWidth="1"/>
    <col min="18" max="19" width="36.875" style="14" bestFit="1" customWidth="1"/>
    <col min="20" max="20" width="36.875" style="14" customWidth="1"/>
    <col min="21" max="21" width="60.25" style="14" bestFit="1" customWidth="1"/>
    <col min="22" max="22" width="32.125" style="14" bestFit="1" customWidth="1"/>
    <col min="23" max="23" width="20.5" style="14" bestFit="1" customWidth="1"/>
    <col min="24" max="24" width="45.375" style="14" bestFit="1" customWidth="1"/>
    <col min="25" max="25" width="54.25" style="14" bestFit="1" customWidth="1"/>
    <col min="26" max="26" width="54.375" style="14" bestFit="1" customWidth="1"/>
    <col min="27" max="27" width="41.875" style="14" bestFit="1" customWidth="1"/>
    <col min="28" max="28" width="48.125" style="14" bestFit="1" customWidth="1"/>
    <col min="29" max="29" width="46.875" style="14" bestFit="1" customWidth="1"/>
    <col min="30" max="30" width="48.375" style="14" bestFit="1" customWidth="1"/>
    <col min="31" max="32" width="54.5" style="14" bestFit="1" customWidth="1"/>
    <col min="33" max="33" width="67.25" style="14" bestFit="1" customWidth="1"/>
    <col min="34" max="34" width="14.875" style="14" bestFit="1" customWidth="1"/>
    <col min="35" max="35" width="56.875" style="14" bestFit="1" customWidth="1"/>
    <col min="36" max="36" width="57.625" style="14" bestFit="1" customWidth="1"/>
    <col min="37" max="37" width="43.875" style="14" bestFit="1" customWidth="1"/>
    <col min="38" max="38" width="47.125" style="14" bestFit="1" customWidth="1"/>
    <col min="39" max="42" width="51.375" style="14" bestFit="1" customWidth="1"/>
    <col min="43" max="46" width="54" style="14" bestFit="1" customWidth="1"/>
    <col min="47" max="47" width="11.5" style="14" bestFit="1" customWidth="1"/>
    <col min="48" max="48" width="20.5" style="14" bestFit="1" customWidth="1"/>
    <col min="49" max="49" width="28.25" style="14" bestFit="1" customWidth="1"/>
    <col min="50" max="50" width="9.125" style="14" customWidth="1"/>
    <col min="51" max="51" width="30.5" style="14" customWidth="1"/>
    <col min="52" max="16384" width="9.125" style="14" customWidth="1"/>
  </cols>
  <sheetData>
    <row r="1" ht="12.75" customHeight="1" customFormat="1">
      <c r="A1" t="s">
        <v>155</v>
      </c>
      <c r="B1" t="s">
        <v>63</v>
      </c>
      <c r="C1" t="s">
        <v>118</v>
      </c>
      <c r="D1" t="s">
        <v>301</v>
      </c>
      <c r="E1" t="s">
        <v>285</v>
      </c>
      <c r="F1" t="s">
        <v>272</v>
      </c>
      <c r="G1" t="s">
        <v>131</v>
      </c>
      <c r="H1" t="s">
        <v>132</v>
      </c>
      <c r="I1" t="s">
        <v>1</v>
      </c>
      <c r="J1" t="s">
        <v>2</v>
      </c>
      <c r="K1" t="s">
        <v>119</v>
      </c>
      <c r="L1" t="s">
        <v>213</v>
      </c>
      <c r="M1" t="s">
        <v>135</v>
      </c>
      <c r="N1" t="s">
        <v>65</v>
      </c>
      <c r="O1" t="s">
        <v>289</v>
      </c>
      <c r="P1" t="s">
        <v>40</v>
      </c>
      <c r="Q1" t="s">
        <v>54</v>
      </c>
      <c r="R1" t="s">
        <v>292</v>
      </c>
      <c r="S1" t="s">
        <v>141</v>
      </c>
      <c r="T1" t="s">
        <v>176</v>
      </c>
      <c r="U1" t="s">
        <v>11</v>
      </c>
      <c r="V1" t="s">
        <v>177</v>
      </c>
      <c r="W1" t="s">
        <v>142</v>
      </c>
      <c r="X1" t="s">
        <v>293</v>
      </c>
      <c r="Y1" t="s">
        <v>166</v>
      </c>
      <c r="Z1" t="s">
        <v>124</v>
      </c>
      <c r="AA1" t="s">
        <v>233</v>
      </c>
      <c r="AB1" t="s">
        <v>218</v>
      </c>
      <c r="AC1" t="s">
        <v>179</v>
      </c>
      <c r="AD1" t="s">
        <v>95</v>
      </c>
      <c r="AE1" t="s">
        <v>246</v>
      </c>
      <c r="AF1" t="s">
        <v>103</v>
      </c>
      <c r="AG1" t="s">
        <v>27</v>
      </c>
      <c r="AH1" t="s">
        <v>194</v>
      </c>
      <c r="AI1" t="s">
        <v>42</v>
      </c>
      <c r="AJ1" t="s">
        <v>126</v>
      </c>
      <c r="AK1" t="s">
        <v>320</v>
      </c>
      <c r="AL1" t="s">
        <v>261</v>
      </c>
      <c r="AM1" t="s">
        <v>44</v>
      </c>
      <c r="AN1" t="s">
        <v>150</v>
      </c>
      <c r="AO1" t="s">
        <v>223</v>
      </c>
      <c r="AP1" t="s">
        <v>299</v>
      </c>
      <c r="AQ1" t="s">
        <v>62</v>
      </c>
      <c r="AR1" t="s">
        <v>154</v>
      </c>
      <c r="AS1" t="s">
        <v>224</v>
      </c>
      <c r="AT1" t="s">
        <v>300</v>
      </c>
      <c r="AU1" t="s">
        <v>281</v>
      </c>
      <c r="AV1" t="s">
        <v>203</v>
      </c>
      <c r="AW1" t="s">
        <v>225</v>
      </c>
      <c r="AX1" t="s">
        <v>77</v>
      </c>
      <c r="AY1" t="s">
        <v>45</v>
      </c>
    </row>
    <row r="2">
      <c r="A2" s="1">
        <v>1</v>
      </c>
      <c r="B2" s="1"/>
      <c r="C2" s="6" t="s">
        <v>270</v>
      </c>
      <c r="D2" s="6" t="s">
        <v>80</v>
      </c>
      <c r="E2" s="6" t="s">
        <v>271</v>
      </c>
      <c r="F2" s="6" t="s">
        <v>81</v>
      </c>
      <c r="G2" s="6" t="s">
        <v>211</v>
      </c>
      <c r="H2" s="11" t="s">
        <v>0</v>
      </c>
      <c r="I2" s="11" t="s">
        <v>302</v>
      </c>
      <c r="J2" s="3" t="s">
        <v>240</v>
      </c>
      <c r="K2" s="3" t="s">
        <v>82</v>
      </c>
      <c r="L2" s="13">
        <v>1</v>
      </c>
      <c r="M2" s="5" t="s">
        <v>3</v>
      </c>
      <c r="N2" s="3" t="s">
        <v>139</v>
      </c>
      <c r="O2" s="3" t="s">
        <v>241</v>
      </c>
      <c r="P2" s="3" t="s">
        <v>291</v>
      </c>
      <c r="Q2" s="21" t="str">
        <f t="shared" si="0" ref="Q2:Q42">MID(P2,11,8)</f>
        <v>GS000007</v>
      </c>
      <c r="R2" s="3" t="s">
        <v>163</v>
      </c>
      <c r="S2" s="3" t="s">
        <v>278</v>
      </c>
      <c r="T2" s="3"/>
      <c r="U2" s="4" t="str">
        <f>"300000103189"</f>
        <v>300000103189</v>
      </c>
      <c r="V2" s="2" t="str">
        <f t="shared" si="1" ref="V2:V42">CONCATENATE("The asset ",U2," 0 is created")</f>
        <v>The asset 300000103189 0 is created</v>
      </c>
      <c r="W2" s="3" t="s">
        <v>165</v>
      </c>
      <c r="X2" s="2" t="str">
        <f t="shared" si="2" ref="X2:X42">M2</f>
        <v>Sprinkler system</v>
      </c>
      <c r="Y2" s="2" t="str">
        <f t="shared" si="3" ref="Y2:Y42">M2</f>
        <v>Sprinkler system</v>
      </c>
      <c r="Z2" s="17" t="s">
        <v>12</v>
      </c>
      <c r="AA2" s="2" t="s">
        <v>139</v>
      </c>
      <c r="AB2" s="2" t="s">
        <v>144</v>
      </c>
      <c r="AC2" s="2" t="str">
        <f t="shared" si="4" ref="AC2:AC42">Q2</f>
        <v>GS000007</v>
      </c>
      <c r="AD2" s="2" t="str">
        <f t="shared" si="5" ref="AD2:AD42">Q2</f>
        <v>GS000007</v>
      </c>
      <c r="AE2" s="7" t="s">
        <v>56</v>
      </c>
      <c r="AF2" s="7" t="s">
        <v>296</v>
      </c>
      <c r="AG2" s="5">
        <v>3000</v>
      </c>
      <c r="AH2" s="2">
        <v>300096256</v>
      </c>
      <c r="AI2" s="7" t="s">
        <v>296</v>
      </c>
      <c r="AJ2" s="2" t="str">
        <f t="shared" si="6" ref="AJ2:AJ38">M2</f>
        <v>Sprinkler system</v>
      </c>
      <c r="AK2" s="2" t="str">
        <f t="shared" si="7" ref="AK2:AK42">TRIM(O2)</f>
        <v>ZG_EYD003A</v>
      </c>
      <c r="AL2" s="7" t="s">
        <v>221</v>
      </c>
      <c r="AM2" s="2" t="s">
        <v>202</v>
      </c>
      <c r="AN2" s="2" t="str">
        <f t="shared" si="8" ref="AN2:AN3">AM2</f>
        <v>DLNR</v>
      </c>
      <c r="AO2" s="2" t="s">
        <v>151</v>
      </c>
      <c r="AP2" s="2" t="str">
        <f t="shared" si="9" ref="AP2:AP3">AM2</f>
        <v>DLNR</v>
      </c>
      <c r="AQ2" s="2">
        <v>15</v>
      </c>
      <c r="AR2" s="2">
        <f t="shared" si="10" ref="AR2:AR38">AQ2</f>
        <v>15</v>
      </c>
      <c r="AS2" s="2">
        <v>25</v>
      </c>
      <c r="AT2" s="2">
        <f t="shared" si="11" ref="AT2:AT38">AQ2</f>
        <v>15</v>
      </c>
      <c r="AU2" s="2">
        <v>0</v>
      </c>
      <c r="AV2" s="3" t="s">
        <v>117</v>
      </c>
      <c r="AW2" s="1" t="str">
        <f>"11002109"</f>
        <v>11002109</v>
      </c>
      <c r="AX2" s="1"/>
      <c r="AY2" s="8" t="str">
        <f>"A0110021"</f>
        <v>A0110021</v>
      </c>
    </row>
    <row r="3">
      <c r="A3" s="1">
        <v>2</v>
      </c>
      <c r="B3" s="1"/>
      <c r="C3" s="6" t="s">
        <v>270</v>
      </c>
      <c r="D3" s="6" t="s">
        <v>80</v>
      </c>
      <c r="E3" s="6" t="s">
        <v>271</v>
      </c>
      <c r="F3" s="6" t="s">
        <v>81</v>
      </c>
      <c r="G3" s="6" t="s">
        <v>211</v>
      </c>
      <c r="H3" s="11" t="s">
        <v>0</v>
      </c>
      <c r="I3" s="11" t="s">
        <v>302</v>
      </c>
      <c r="J3" s="3" t="s">
        <v>303</v>
      </c>
      <c r="K3" s="3" t="s">
        <v>82</v>
      </c>
      <c r="L3" s="13">
        <v>26</v>
      </c>
      <c r="M3" s="5" t="s">
        <v>288</v>
      </c>
      <c r="N3" s="3" t="s">
        <v>139</v>
      </c>
      <c r="O3" s="3" t="s">
        <v>306</v>
      </c>
      <c r="P3" s="3" t="s">
        <v>291</v>
      </c>
      <c r="Q3" s="21" t="str">
        <f t="shared" si="0"/>
        <v>GS000007</v>
      </c>
      <c r="R3" s="3" t="s">
        <v>310</v>
      </c>
      <c r="S3" s="3" t="s">
        <v>278</v>
      </c>
      <c r="T3" s="3"/>
      <c r="U3" s="4" t="str">
        <f>"300000103182"</f>
        <v>300000103182</v>
      </c>
      <c r="V3" s="2" t="str">
        <f t="shared" si="1"/>
        <v>The asset 300000103182 0 is created</v>
      </c>
      <c r="W3" s="3" t="s">
        <v>165</v>
      </c>
      <c r="X3" s="2" t="str">
        <f t="shared" si="2"/>
        <v>Automatic doors</v>
      </c>
      <c r="Y3" s="2" t="str">
        <f t="shared" si="3"/>
        <v>Automatic doors</v>
      </c>
      <c r="Z3" s="17" t="s">
        <v>71</v>
      </c>
      <c r="AA3" s="2" t="s">
        <v>139</v>
      </c>
      <c r="AB3" s="2" t="s">
        <v>144</v>
      </c>
      <c r="AC3" s="2" t="str">
        <f t="shared" si="4"/>
        <v>GS000007</v>
      </c>
      <c r="AD3" s="2" t="str">
        <f t="shared" si="5"/>
        <v>GS000007</v>
      </c>
      <c r="AE3" s="7" t="s">
        <v>145</v>
      </c>
      <c r="AF3" s="7" t="s">
        <v>58</v>
      </c>
      <c r="AG3" s="5">
        <v>3000</v>
      </c>
      <c r="AH3" s="2">
        <v>300096256</v>
      </c>
      <c r="AI3" s="7" t="s">
        <v>58</v>
      </c>
      <c r="AJ3" s="2" t="str">
        <f t="shared" si="6"/>
        <v>Automatic doors</v>
      </c>
      <c r="AK3" s="2" t="str">
        <f t="shared" si="7"/>
        <v>ZG_EKT114A</v>
      </c>
      <c r="AL3" s="7" t="s">
        <v>297</v>
      </c>
      <c r="AM3" s="2" t="s">
        <v>202</v>
      </c>
      <c r="AN3" s="2" t="str">
        <f t="shared" si="8"/>
        <v>DLNR</v>
      </c>
      <c r="AO3" s="2" t="s">
        <v>151</v>
      </c>
      <c r="AP3" s="2" t="str">
        <f t="shared" si="9"/>
        <v>DLNR</v>
      </c>
      <c r="AQ3" s="2">
        <v>10</v>
      </c>
      <c r="AR3" s="2">
        <f t="shared" si="10"/>
        <v>10</v>
      </c>
      <c r="AS3" s="2">
        <v>25</v>
      </c>
      <c r="AT3" s="2">
        <f t="shared" si="11"/>
        <v>10</v>
      </c>
      <c r="AU3" s="2">
        <v>0</v>
      </c>
      <c r="AV3" s="3" t="s">
        <v>117</v>
      </c>
      <c r="AW3" s="1" t="str">
        <f>"12001114"</f>
        <v>12001114</v>
      </c>
      <c r="AX3" s="1"/>
      <c r="AY3" s="8" t="str">
        <f>"A0120011"</f>
        <v>A0120011</v>
      </c>
    </row>
    <row r="4">
      <c r="A4" s="1">
        <v>3</v>
      </c>
      <c r="B4" s="1" t="s">
        <v>204</v>
      </c>
      <c r="C4" s="6" t="s">
        <v>270</v>
      </c>
      <c r="D4" s="6" t="s">
        <v>80</v>
      </c>
      <c r="E4" s="6" t="s">
        <v>271</v>
      </c>
      <c r="F4" s="6" t="s">
        <v>130</v>
      </c>
      <c r="G4" s="6" t="s">
        <v>211</v>
      </c>
      <c r="H4" s="11" t="s">
        <v>0</v>
      </c>
      <c r="I4" s="11" t="s">
        <v>302</v>
      </c>
      <c r="J4" s="3" t="s">
        <v>212</v>
      </c>
      <c r="K4" s="3" t="s">
        <v>82</v>
      </c>
      <c r="L4" s="13">
        <v>138</v>
      </c>
      <c r="M4" s="5" t="s">
        <v>120</v>
      </c>
      <c r="N4" s="3" t="s">
        <v>139</v>
      </c>
      <c r="O4" s="3" t="s">
        <v>85</v>
      </c>
      <c r="P4" s="3" t="s">
        <v>291</v>
      </c>
      <c r="Q4" s="21" t="str">
        <f t="shared" si="0"/>
        <v>GS000007</v>
      </c>
      <c r="R4" s="3" t="s">
        <v>311</v>
      </c>
      <c r="S4" s="3" t="s">
        <v>278</v>
      </c>
      <c r="T4" s="3"/>
      <c r="U4" s="9" t="e">
        <f>[1]Output!A4</f>
        <v>#REF!</v>
      </c>
      <c r="V4" s="2" t="e">
        <f t="shared" si="1"/>
        <v>#REF!</v>
      </c>
      <c r="W4" s="3" t="s">
        <v>165</v>
      </c>
      <c r="X4" s="2" t="str">
        <f t="shared" si="2"/>
        <v>Refrigerating unit</v>
      </c>
      <c r="Y4" s="2" t="str">
        <f t="shared" si="3"/>
        <v>Refrigerating unit</v>
      </c>
      <c r="Z4" s="17">
        <v>10130031</v>
      </c>
      <c r="AA4" s="2" t="s">
        <v>139</v>
      </c>
      <c r="AB4" s="2" t="s">
        <v>144</v>
      </c>
      <c r="AC4" s="2" t="str">
        <f t="shared" si="4"/>
        <v>GS000007</v>
      </c>
      <c r="AD4" s="2" t="str">
        <f t="shared" si="5"/>
        <v>GS000007</v>
      </c>
      <c r="AE4" s="7" t="s">
        <v>219</v>
      </c>
      <c r="AF4" s="7" t="s">
        <v>147</v>
      </c>
      <c r="AG4" s="5">
        <v>3000</v>
      </c>
      <c r="AH4" s="2">
        <v>300096256</v>
      </c>
      <c r="AI4" s="7" t="s">
        <v>147</v>
      </c>
      <c r="AJ4" s="2" t="str">
        <f t="shared" si="6"/>
        <v>Refrigerating unit</v>
      </c>
      <c r="AK4" s="2" t="str">
        <f t="shared" si="7"/>
        <v>ZG_EPS201A</v>
      </c>
      <c r="AL4" s="7" t="s">
        <v>59</v>
      </c>
      <c r="AM4" s="2" t="s">
        <v>61</v>
      </c>
      <c r="AN4" s="2" t="s">
        <v>61</v>
      </c>
      <c r="AO4" s="2" t="s">
        <v>280</v>
      </c>
      <c r="AP4" s="2" t="s">
        <v>61</v>
      </c>
      <c r="AQ4" s="2">
        <v>10</v>
      </c>
      <c r="AR4" s="2">
        <f t="shared" si="10"/>
        <v>10</v>
      </c>
      <c r="AS4" s="2">
        <v>10</v>
      </c>
      <c r="AT4" s="2">
        <f t="shared" si="11"/>
        <v>10</v>
      </c>
      <c r="AU4" s="2">
        <v>0</v>
      </c>
      <c r="AV4" s="3" t="s">
        <v>117</v>
      </c>
      <c r="AW4" s="1" t="str">
        <f>"13003100"</f>
        <v>13003100</v>
      </c>
      <c r="AX4" s="1"/>
      <c r="AY4" s="8" t="str">
        <f t="shared" si="12" ref="AY4:AY6">"10130031"</f>
        <v>10130031</v>
      </c>
    </row>
    <row r="5">
      <c r="A5" s="1">
        <v>4</v>
      </c>
      <c r="B5" s="1"/>
      <c r="C5" s="6" t="s">
        <v>270</v>
      </c>
      <c r="D5" s="6" t="s">
        <v>80</v>
      </c>
      <c r="E5" s="6" t="s">
        <v>271</v>
      </c>
      <c r="F5" s="6" t="s">
        <v>81</v>
      </c>
      <c r="G5" s="6" t="s">
        <v>211</v>
      </c>
      <c r="H5" s="11" t="s">
        <v>0</v>
      </c>
      <c r="I5" s="11" t="s">
        <v>302</v>
      </c>
      <c r="J5" s="3" t="s">
        <v>286</v>
      </c>
      <c r="K5" s="3" t="s">
        <v>82</v>
      </c>
      <c r="L5" s="13">
        <v>26</v>
      </c>
      <c r="M5" s="5" t="s">
        <v>305</v>
      </c>
      <c r="N5" s="3" t="s">
        <v>139</v>
      </c>
      <c r="O5" s="3" t="s">
        <v>230</v>
      </c>
      <c r="P5" s="3" t="s">
        <v>291</v>
      </c>
      <c r="Q5" s="21" t="str">
        <f t="shared" si="0"/>
        <v>GS000007</v>
      </c>
      <c r="R5" s="3" t="s">
        <v>67</v>
      </c>
      <c r="S5" s="3" t="s">
        <v>278</v>
      </c>
      <c r="T5" s="3"/>
      <c r="U5" s="4" t="str">
        <f>"300000103182"</f>
        <v>300000103182</v>
      </c>
      <c r="V5" s="2" t="str">
        <f t="shared" si="1"/>
        <v>The asset 300000103182 0 is created</v>
      </c>
      <c r="W5" s="3" t="s">
        <v>165</v>
      </c>
      <c r="X5" s="2" t="str">
        <f t="shared" si="2"/>
        <v>Cutting machines/Sealing maching</v>
      </c>
      <c r="Y5" s="2" t="str">
        <f t="shared" si="3"/>
        <v>Cutting machines/Sealing maching</v>
      </c>
      <c r="Z5" s="17">
        <v>10130031</v>
      </c>
      <c r="AA5" s="2" t="s">
        <v>139</v>
      </c>
      <c r="AB5" s="2" t="s">
        <v>144</v>
      </c>
      <c r="AC5" s="2" t="str">
        <f t="shared" si="4"/>
        <v>GS000007</v>
      </c>
      <c r="AD5" s="2" t="str">
        <f t="shared" si="5"/>
        <v>GS000007</v>
      </c>
      <c r="AE5" s="7" t="s">
        <v>295</v>
      </c>
      <c r="AF5" s="7" t="s">
        <v>220</v>
      </c>
      <c r="AG5" s="5">
        <v>3000</v>
      </c>
      <c r="AH5" s="2">
        <v>300096256</v>
      </c>
      <c r="AI5" s="7" t="s">
        <v>220</v>
      </c>
      <c r="AJ5" s="2" t="str">
        <f t="shared" si="6"/>
        <v>Cutting machines/Sealing maching</v>
      </c>
      <c r="AK5" s="2" t="str">
        <f t="shared" si="7"/>
        <v>ZG_EBM202A</v>
      </c>
      <c r="AL5" s="7" t="s">
        <v>148</v>
      </c>
      <c r="AM5" s="2" t="s">
        <v>202</v>
      </c>
      <c r="AN5" s="2" t="str">
        <f t="shared" si="13" ref="AN5:AN26">AM5</f>
        <v>DLNR</v>
      </c>
      <c r="AO5" s="2" t="s">
        <v>280</v>
      </c>
      <c r="AP5" s="2" t="str">
        <f t="shared" si="14" ref="AP5:AP26">AM5</f>
        <v>DLNR</v>
      </c>
      <c r="AQ5" s="2">
        <v>7</v>
      </c>
      <c r="AR5" s="2">
        <f t="shared" si="10"/>
        <v>7</v>
      </c>
      <c r="AS5" s="2">
        <v>10</v>
      </c>
      <c r="AT5" s="2">
        <f t="shared" si="11"/>
        <v>7</v>
      </c>
      <c r="AU5" s="2">
        <v>0</v>
      </c>
      <c r="AV5" s="3" t="s">
        <v>117</v>
      </c>
      <c r="AW5" s="1" t="str">
        <f>"13003101"</f>
        <v>13003101</v>
      </c>
      <c r="AX5" s="1"/>
      <c r="AY5" s="8" t="str">
        <f t="shared" si="12"/>
        <v>10130031</v>
      </c>
    </row>
    <row r="6">
      <c r="A6" s="1">
        <v>5</v>
      </c>
      <c r="B6" s="1" t="s">
        <v>36</v>
      </c>
      <c r="C6" s="6" t="s">
        <v>270</v>
      </c>
      <c r="D6" s="6" t="s">
        <v>80</v>
      </c>
      <c r="E6" s="6" t="s">
        <v>271</v>
      </c>
      <c r="F6" s="6" t="s">
        <v>130</v>
      </c>
      <c r="G6" s="6" t="s">
        <v>211</v>
      </c>
      <c r="H6" s="11" t="s">
        <v>0</v>
      </c>
      <c r="I6" s="11" t="s">
        <v>302</v>
      </c>
      <c r="J6" s="3" t="s">
        <v>47</v>
      </c>
      <c r="K6" s="3" t="s">
        <v>82</v>
      </c>
      <c r="L6" s="13">
        <v>98</v>
      </c>
      <c r="M6" s="5" t="s">
        <v>214</v>
      </c>
      <c r="N6" s="3" t="s">
        <v>139</v>
      </c>
      <c r="O6" s="3" t="s">
        <v>86</v>
      </c>
      <c r="P6" s="3" t="s">
        <v>291</v>
      </c>
      <c r="Q6" s="21" t="str">
        <f t="shared" si="0"/>
        <v>GS000007</v>
      </c>
      <c r="R6" s="3" t="s">
        <v>68</v>
      </c>
      <c r="S6" s="3" t="s">
        <v>279</v>
      </c>
      <c r="T6" s="3"/>
      <c r="U6" s="9" t="e">
        <f>[1]Output!A6</f>
        <v>#REF!</v>
      </c>
      <c r="V6" s="2" t="e">
        <f t="shared" si="1"/>
        <v>#REF!</v>
      </c>
      <c r="W6" s="3" t="s">
        <v>165</v>
      </c>
      <c r="X6" s="2" t="str">
        <f t="shared" si="2"/>
        <v>Electric scales</v>
      </c>
      <c r="Y6" s="2" t="str">
        <f t="shared" si="3"/>
        <v>Electric scales</v>
      </c>
      <c r="Z6" s="17">
        <v>10130031</v>
      </c>
      <c r="AA6" s="2" t="s">
        <v>139</v>
      </c>
      <c r="AB6" s="2" t="s">
        <v>144</v>
      </c>
      <c r="AC6" s="2" t="str">
        <f t="shared" si="4"/>
        <v>GS000007</v>
      </c>
      <c r="AD6" s="2" t="str">
        <f t="shared" si="5"/>
        <v>GS000007</v>
      </c>
      <c r="AE6" s="7" t="s">
        <v>57</v>
      </c>
      <c r="AF6" s="7" t="s">
        <v>318</v>
      </c>
      <c r="AG6" s="5">
        <v>3000</v>
      </c>
      <c r="AH6" s="2">
        <v>300096256</v>
      </c>
      <c r="AI6" s="7" t="s">
        <v>318</v>
      </c>
      <c r="AJ6" s="2" t="str">
        <f t="shared" si="6"/>
        <v>Electric scales</v>
      </c>
      <c r="AK6" s="2" t="str">
        <f t="shared" si="7"/>
        <v>ZG_IT220A</v>
      </c>
      <c r="AL6" s="7" t="s">
        <v>222</v>
      </c>
      <c r="AM6" s="2" t="s">
        <v>61</v>
      </c>
      <c r="AN6" s="2" t="str">
        <f t="shared" si="13"/>
        <v>DLNA</v>
      </c>
      <c r="AO6" s="2" t="s">
        <v>280</v>
      </c>
      <c r="AP6" s="2" t="str">
        <f t="shared" si="14"/>
        <v>DLNA</v>
      </c>
      <c r="AQ6" s="2">
        <v>5</v>
      </c>
      <c r="AR6" s="2">
        <f t="shared" si="10"/>
        <v>5</v>
      </c>
      <c r="AS6" s="2">
        <v>10</v>
      </c>
      <c r="AT6" s="2">
        <f t="shared" si="11"/>
        <v>5</v>
      </c>
      <c r="AU6" s="2">
        <v>0</v>
      </c>
      <c r="AV6" s="3" t="s">
        <v>117</v>
      </c>
      <c r="AW6" s="1" t="str">
        <f>"13003102"</f>
        <v>13003102</v>
      </c>
      <c r="AX6" s="1">
        <v>13003102</v>
      </c>
      <c r="AY6" s="8" t="str">
        <f t="shared" si="12"/>
        <v>10130031</v>
      </c>
    </row>
    <row r="7">
      <c r="A7" s="1">
        <v>6</v>
      </c>
      <c r="B7" s="1"/>
      <c r="C7" s="6" t="s">
        <v>270</v>
      </c>
      <c r="D7" s="6" t="s">
        <v>80</v>
      </c>
      <c r="E7" s="6" t="s">
        <v>271</v>
      </c>
      <c r="F7" s="6" t="s">
        <v>130</v>
      </c>
      <c r="G7" s="6" t="s">
        <v>211</v>
      </c>
      <c r="H7" s="11" t="s">
        <v>0</v>
      </c>
      <c r="I7" s="11" t="s">
        <v>302</v>
      </c>
      <c r="J7" s="3" t="s">
        <v>48</v>
      </c>
      <c r="K7" s="3" t="s">
        <v>82</v>
      </c>
      <c r="L7" s="13">
        <v>29</v>
      </c>
      <c r="M7" s="5" t="s">
        <v>136</v>
      </c>
      <c r="N7" s="3" t="s">
        <v>139</v>
      </c>
      <c r="O7" s="3" t="s">
        <v>66</v>
      </c>
      <c r="P7" s="3" t="s">
        <v>291</v>
      </c>
      <c r="Q7" s="21" t="str">
        <f t="shared" si="0"/>
        <v>GS000007</v>
      </c>
      <c r="R7" s="3" t="s">
        <v>8</v>
      </c>
      <c r="S7" s="3" t="s">
        <v>278</v>
      </c>
      <c r="T7" s="3"/>
      <c r="U7" s="9" t="e">
        <f>[1]Output!A7</f>
        <v>#REF!</v>
      </c>
      <c r="V7" s="2" t="e">
        <f t="shared" si="1"/>
        <v>#REF!</v>
      </c>
      <c r="W7" s="3" t="s">
        <v>165</v>
      </c>
      <c r="X7" s="2" t="str">
        <f t="shared" si="2"/>
        <v>Dock leveler platform (Metalic</v>
      </c>
      <c r="Y7" s="2" t="str">
        <f t="shared" si="3"/>
        <v>Dock leveler platform (Metalic</v>
      </c>
      <c r="Z7" s="17" t="s">
        <v>294</v>
      </c>
      <c r="AA7" s="2" t="s">
        <v>139</v>
      </c>
      <c r="AB7" s="2" t="s">
        <v>144</v>
      </c>
      <c r="AC7" s="2" t="str">
        <f t="shared" si="4"/>
        <v>GS000007</v>
      </c>
      <c r="AD7" s="2" t="str">
        <f t="shared" si="5"/>
        <v>GS000007</v>
      </c>
      <c r="AE7" s="7" t="s">
        <v>146</v>
      </c>
      <c r="AF7" s="7" t="s">
        <v>73</v>
      </c>
      <c r="AG7" s="5">
        <v>3000</v>
      </c>
      <c r="AH7" s="2">
        <v>300096256</v>
      </c>
      <c r="AI7" s="7" t="s">
        <v>73</v>
      </c>
      <c r="AJ7" s="2" t="str">
        <f t="shared" si="6"/>
        <v>Dock leveler platform (Metalic</v>
      </c>
      <c r="AK7" s="2" t="str">
        <f t="shared" si="7"/>
        <v>ZG_EBM416A</v>
      </c>
      <c r="AL7" s="7" t="s">
        <v>298</v>
      </c>
      <c r="AM7" s="2" t="s">
        <v>202</v>
      </c>
      <c r="AN7" s="2" t="str">
        <f t="shared" si="13"/>
        <v>DLNR</v>
      </c>
      <c r="AO7" s="2" t="s">
        <v>280</v>
      </c>
      <c r="AP7" s="2" t="str">
        <f t="shared" si="14"/>
        <v>DLNR</v>
      </c>
      <c r="AQ7" s="2">
        <v>10</v>
      </c>
      <c r="AR7" s="2">
        <f t="shared" si="10"/>
        <v>10</v>
      </c>
      <c r="AS7" s="2">
        <v>10</v>
      </c>
      <c r="AT7" s="2">
        <f t="shared" si="11"/>
        <v>10</v>
      </c>
      <c r="AU7" s="2">
        <v>0</v>
      </c>
      <c r="AV7" s="3" t="s">
        <v>117</v>
      </c>
      <c r="AW7" s="1" t="str">
        <f t="shared" si="15" ref="AW7:AX7">"13003200"</f>
        <v>13003200</v>
      </c>
      <c r="AX7" s="1" t="str">
        <f t="shared" si="15"/>
        <v>13003200</v>
      </c>
      <c r="AY7" s="8" t="str">
        <f>"A0130032"</f>
        <v>A0130032</v>
      </c>
    </row>
    <row r="8">
      <c r="A8" s="1">
        <v>7</v>
      </c>
      <c r="B8" s="1"/>
      <c r="C8" s="6" t="s">
        <v>270</v>
      </c>
      <c r="D8" s="6" t="s">
        <v>80</v>
      </c>
      <c r="E8" s="6" t="s">
        <v>271</v>
      </c>
      <c r="F8" s="6" t="s">
        <v>81</v>
      </c>
      <c r="G8" s="6" t="s">
        <v>211</v>
      </c>
      <c r="H8" s="11" t="s">
        <v>0</v>
      </c>
      <c r="I8" s="11" t="s">
        <v>302</v>
      </c>
      <c r="J8" s="3">
        <v>13003300</v>
      </c>
      <c r="K8" s="3" t="s">
        <v>82</v>
      </c>
      <c r="L8" s="13">
        <v>26</v>
      </c>
      <c r="M8" s="5" t="s">
        <v>205</v>
      </c>
      <c r="N8" s="3" t="s">
        <v>139</v>
      </c>
      <c r="O8" s="3" t="s">
        <v>290</v>
      </c>
      <c r="P8" s="3" t="s">
        <v>291</v>
      </c>
      <c r="Q8" s="21" t="str">
        <f t="shared" si="0"/>
        <v>GS000007</v>
      </c>
      <c r="R8" s="3" t="s">
        <v>243</v>
      </c>
      <c r="S8" s="3" t="s">
        <v>279</v>
      </c>
      <c r="T8" s="3"/>
      <c r="U8" s="4" t="str">
        <f t="shared" si="16" ref="U8:U26">"300000103182"</f>
        <v>300000103182</v>
      </c>
      <c r="V8" s="2" t="str">
        <f t="shared" si="1"/>
        <v>The asset 300000103182 0 is created</v>
      </c>
      <c r="W8" s="3" t="s">
        <v>165</v>
      </c>
      <c r="X8" s="2" t="str">
        <f t="shared" si="2"/>
        <v>Cash registers - scanners</v>
      </c>
      <c r="Y8" s="2" t="str">
        <f t="shared" si="3"/>
        <v>Cash registers - scanners</v>
      </c>
      <c r="Z8" s="17" t="s">
        <v>55</v>
      </c>
      <c r="AA8" s="2" t="s">
        <v>139</v>
      </c>
      <c r="AB8" s="2" t="s">
        <v>144</v>
      </c>
      <c r="AC8" s="2" t="str">
        <f t="shared" si="4"/>
        <v>GS000007</v>
      </c>
      <c r="AD8" s="2" t="str">
        <f t="shared" si="5"/>
        <v>GS000007</v>
      </c>
      <c r="AE8" s="7" t="s">
        <v>234</v>
      </c>
      <c r="AF8" s="7" t="s">
        <v>168</v>
      </c>
      <c r="AG8" s="5">
        <v>3000</v>
      </c>
      <c r="AH8" s="2">
        <v>300096256</v>
      </c>
      <c r="AI8" s="7" t="s">
        <v>168</v>
      </c>
      <c r="AJ8" s="2" t="str">
        <f t="shared" si="6"/>
        <v>Cash registers - scanners</v>
      </c>
      <c r="AK8" s="2" t="str">
        <f t="shared" si="7"/>
        <v>ZG_IT219A</v>
      </c>
      <c r="AL8" s="7" t="s">
        <v>60</v>
      </c>
      <c r="AM8" s="2" t="s">
        <v>202</v>
      </c>
      <c r="AN8" s="2" t="str">
        <f t="shared" si="13"/>
        <v>DLNR</v>
      </c>
      <c r="AO8" s="2" t="s">
        <v>152</v>
      </c>
      <c r="AP8" s="2" t="str">
        <f t="shared" si="14"/>
        <v>DLNR</v>
      </c>
      <c r="AQ8" s="2">
        <v>10</v>
      </c>
      <c r="AR8" s="2">
        <f t="shared" si="10"/>
        <v>10</v>
      </c>
      <c r="AS8" s="2">
        <v>5</v>
      </c>
      <c r="AT8" s="2">
        <f t="shared" si="11"/>
        <v>10</v>
      </c>
      <c r="AU8" s="2">
        <v>0</v>
      </c>
      <c r="AV8" s="3" t="s">
        <v>117</v>
      </c>
      <c r="AW8" s="1"/>
      <c r="AX8" s="1"/>
      <c r="AY8" s="8" t="str">
        <f t="shared" si="17" ref="AY8:AY12">"A0130033"</f>
        <v>A0130033</v>
      </c>
    </row>
    <row r="9">
      <c r="A9" s="1">
        <v>8</v>
      </c>
      <c r="B9" s="1"/>
      <c r="C9" s="6" t="s">
        <v>270</v>
      </c>
      <c r="D9" s="6" t="s">
        <v>80</v>
      </c>
      <c r="E9" s="6" t="s">
        <v>271</v>
      </c>
      <c r="F9" s="6" t="s">
        <v>81</v>
      </c>
      <c r="G9" s="6" t="s">
        <v>211</v>
      </c>
      <c r="H9" s="11" t="s">
        <v>0</v>
      </c>
      <c r="I9" s="11" t="s">
        <v>302</v>
      </c>
      <c r="J9" s="3">
        <v>13003301</v>
      </c>
      <c r="K9" s="3" t="s">
        <v>82</v>
      </c>
      <c r="L9" s="13">
        <v>26</v>
      </c>
      <c r="M9" s="5" t="s">
        <v>83</v>
      </c>
      <c r="N9" s="3" t="s">
        <v>139</v>
      </c>
      <c r="O9" s="3" t="s">
        <v>140</v>
      </c>
      <c r="P9" s="3" t="s">
        <v>291</v>
      </c>
      <c r="Q9" s="21" t="str">
        <f t="shared" si="0"/>
        <v>GS000007</v>
      </c>
      <c r="R9" s="3" t="s">
        <v>88</v>
      </c>
      <c r="S9" s="3" t="s">
        <v>209</v>
      </c>
      <c r="T9" s="3"/>
      <c r="U9" s="4" t="str">
        <f t="shared" si="16"/>
        <v>300000103182</v>
      </c>
      <c r="V9" s="2" t="str">
        <f t="shared" si="1"/>
        <v>The asset 300000103182 0 is created</v>
      </c>
      <c r="W9" s="3" t="s">
        <v>165</v>
      </c>
      <c r="X9" s="2" t="str">
        <f t="shared" si="2"/>
        <v>Scanners</v>
      </c>
      <c r="Y9" s="2" t="str">
        <f t="shared" si="3"/>
        <v>Scanners</v>
      </c>
      <c r="Z9" s="17" t="s">
        <v>55</v>
      </c>
      <c r="AA9" s="2" t="s">
        <v>139</v>
      </c>
      <c r="AB9" s="2" t="s">
        <v>144</v>
      </c>
      <c r="AC9" s="2" t="str">
        <f t="shared" si="4"/>
        <v>GS000007</v>
      </c>
      <c r="AD9" s="2" t="str">
        <f t="shared" si="5"/>
        <v>GS000007</v>
      </c>
      <c r="AE9" s="7" t="s">
        <v>316</v>
      </c>
      <c r="AF9" s="7" t="s">
        <v>236</v>
      </c>
      <c r="AG9" s="5">
        <v>3000</v>
      </c>
      <c r="AH9" s="2">
        <v>300096256</v>
      </c>
      <c r="AI9" s="7" t="s">
        <v>236</v>
      </c>
      <c r="AJ9" s="2" t="str">
        <f t="shared" si="6"/>
        <v>Scanners</v>
      </c>
      <c r="AK9" s="2" t="str">
        <f t="shared" si="7"/>
        <v>ZG_IT406A</v>
      </c>
      <c r="AL9" s="7" t="s">
        <v>149</v>
      </c>
      <c r="AM9" s="2" t="s">
        <v>202</v>
      </c>
      <c r="AN9" s="2" t="str">
        <f t="shared" si="13"/>
        <v>DLNR</v>
      </c>
      <c r="AO9" s="2" t="s">
        <v>152</v>
      </c>
      <c r="AP9" s="2" t="str">
        <f t="shared" si="14"/>
        <v>DLNR</v>
      </c>
      <c r="AQ9" s="2">
        <v>7</v>
      </c>
      <c r="AR9" s="2">
        <f t="shared" si="10"/>
        <v>7</v>
      </c>
      <c r="AS9" s="2">
        <v>5</v>
      </c>
      <c r="AT9" s="2">
        <f t="shared" si="11"/>
        <v>7</v>
      </c>
      <c r="AU9" s="2">
        <v>0</v>
      </c>
      <c r="AV9" s="3" t="s">
        <v>117</v>
      </c>
      <c r="AW9" s="1"/>
      <c r="AX9" s="1"/>
      <c r="AY9" s="8" t="str">
        <f t="shared" si="17"/>
        <v>A0130033</v>
      </c>
    </row>
    <row r="10">
      <c r="A10" s="1">
        <v>9</v>
      </c>
      <c r="B10" s="1"/>
      <c r="C10" s="6" t="s">
        <v>270</v>
      </c>
      <c r="D10" s="6" t="s">
        <v>80</v>
      </c>
      <c r="E10" s="6" t="s">
        <v>271</v>
      </c>
      <c r="F10" s="6" t="s">
        <v>81</v>
      </c>
      <c r="G10" s="6" t="s">
        <v>211</v>
      </c>
      <c r="H10" s="11" t="s">
        <v>0</v>
      </c>
      <c r="I10" s="11" t="s">
        <v>302</v>
      </c>
      <c r="J10" s="3">
        <v>13003302</v>
      </c>
      <c r="K10" s="3" t="s">
        <v>82</v>
      </c>
      <c r="L10" s="13">
        <v>26</v>
      </c>
      <c r="M10" s="5" t="s">
        <v>273</v>
      </c>
      <c r="N10" s="3" t="s">
        <v>139</v>
      </c>
      <c r="O10" s="3" t="s">
        <v>307</v>
      </c>
      <c r="P10" s="3" t="s">
        <v>291</v>
      </c>
      <c r="Q10" s="21" t="str">
        <f t="shared" si="0"/>
        <v>GS000007</v>
      </c>
      <c r="R10" s="3" t="s">
        <v>173</v>
      </c>
      <c r="S10" s="3" t="s">
        <v>210</v>
      </c>
      <c r="T10" s="3"/>
      <c r="U10" s="4" t="str">
        <f t="shared" si="16"/>
        <v>300000103182</v>
      </c>
      <c r="V10" s="2" t="str">
        <f t="shared" si="1"/>
        <v>The asset 300000103182 0 is created</v>
      </c>
      <c r="W10" s="3" t="s">
        <v>165</v>
      </c>
      <c r="X10" s="2" t="str">
        <f t="shared" si="2"/>
        <v>UPS (uninterupted power supply</v>
      </c>
      <c r="Y10" s="2" t="str">
        <f t="shared" si="3"/>
        <v>UPS (uninterupted power supply</v>
      </c>
      <c r="Z10" s="17" t="s">
        <v>55</v>
      </c>
      <c r="AA10" s="2" t="s">
        <v>139</v>
      </c>
      <c r="AB10" s="2" t="s">
        <v>144</v>
      </c>
      <c r="AC10" s="2" t="str">
        <f t="shared" si="4"/>
        <v>GS000007</v>
      </c>
      <c r="AD10" s="2" t="str">
        <f t="shared" si="5"/>
        <v>GS000007</v>
      </c>
      <c r="AE10" s="7" t="s">
        <v>72</v>
      </c>
      <c r="AF10" s="7" t="s">
        <v>237</v>
      </c>
      <c r="AG10" s="5">
        <v>3000</v>
      </c>
      <c r="AH10" s="2">
        <v>300096256</v>
      </c>
      <c r="AI10" s="7" t="s">
        <v>237</v>
      </c>
      <c r="AJ10" s="2" t="str">
        <f t="shared" si="6"/>
        <v>UPS (uninterupted power supply</v>
      </c>
      <c r="AK10" s="2" t="str">
        <f t="shared" si="7"/>
        <v>ZG_EHL407A</v>
      </c>
      <c r="AL10" s="7" t="s">
        <v>75</v>
      </c>
      <c r="AM10" s="2" t="s">
        <v>202</v>
      </c>
      <c r="AN10" s="2" t="str">
        <f t="shared" si="13"/>
        <v>DLNR</v>
      </c>
      <c r="AO10" s="2" t="s">
        <v>152</v>
      </c>
      <c r="AP10" s="2" t="str">
        <f t="shared" si="14"/>
        <v>DLNR</v>
      </c>
      <c r="AQ10" s="2">
        <v>5</v>
      </c>
      <c r="AR10" s="2">
        <f t="shared" si="10"/>
        <v>5</v>
      </c>
      <c r="AS10" s="2">
        <v>5</v>
      </c>
      <c r="AT10" s="2">
        <f t="shared" si="11"/>
        <v>5</v>
      </c>
      <c r="AU10" s="2">
        <v>0</v>
      </c>
      <c r="AV10" s="3" t="s">
        <v>117</v>
      </c>
      <c r="AW10" s="1"/>
      <c r="AX10" s="1"/>
      <c r="AY10" s="8" t="str">
        <f t="shared" si="17"/>
        <v>A0130033</v>
      </c>
    </row>
    <row r="11">
      <c r="A11" s="1">
        <v>10</v>
      </c>
      <c r="B11" s="1"/>
      <c r="C11" s="6" t="s">
        <v>270</v>
      </c>
      <c r="D11" s="6" t="s">
        <v>80</v>
      </c>
      <c r="E11" s="6" t="s">
        <v>271</v>
      </c>
      <c r="F11" s="6" t="s">
        <v>81</v>
      </c>
      <c r="G11" s="6" t="s">
        <v>211</v>
      </c>
      <c r="H11" s="11" t="s">
        <v>0</v>
      </c>
      <c r="I11" s="11" t="s">
        <v>302</v>
      </c>
      <c r="J11" s="3">
        <v>13003303</v>
      </c>
      <c r="K11" s="3" t="s">
        <v>82</v>
      </c>
      <c r="L11" s="13">
        <v>26</v>
      </c>
      <c r="M11" s="5" t="s">
        <v>4</v>
      </c>
      <c r="N11" s="3" t="s">
        <v>139</v>
      </c>
      <c r="O11" s="3" t="s">
        <v>242</v>
      </c>
      <c r="P11" s="3" t="s">
        <v>291</v>
      </c>
      <c r="Q11" s="21" t="str">
        <f t="shared" si="0"/>
        <v>GS000007</v>
      </c>
      <c r="R11" s="3" t="s">
        <v>312</v>
      </c>
      <c r="S11" s="3" t="s">
        <v>93</v>
      </c>
      <c r="T11" s="3"/>
      <c r="U11" s="4" t="str">
        <f t="shared" si="16"/>
        <v>300000103182</v>
      </c>
      <c r="V11" s="2" t="str">
        <f t="shared" si="1"/>
        <v>The asset 300000103182 0 is created</v>
      </c>
      <c r="W11" s="3" t="s">
        <v>165</v>
      </c>
      <c r="X11" s="2" t="str">
        <f t="shared" si="2"/>
        <v>P.C.</v>
      </c>
      <c r="Y11" s="2" t="str">
        <f t="shared" si="3"/>
        <v>P.C.</v>
      </c>
      <c r="Z11" s="17" t="s">
        <v>55</v>
      </c>
      <c r="AA11" s="2" t="s">
        <v>139</v>
      </c>
      <c r="AB11" s="2" t="s">
        <v>144</v>
      </c>
      <c r="AC11" s="2" t="str">
        <f t="shared" si="4"/>
        <v>GS000007</v>
      </c>
      <c r="AD11" s="2" t="str">
        <f t="shared" si="5"/>
        <v>GS000007</v>
      </c>
      <c r="AE11" s="7" t="s">
        <v>167</v>
      </c>
      <c r="AF11" s="7" t="s">
        <v>319</v>
      </c>
      <c r="AG11" s="5">
        <v>3000</v>
      </c>
      <c r="AH11" s="2">
        <v>300096256</v>
      </c>
      <c r="AI11" s="7" t="s">
        <v>319</v>
      </c>
      <c r="AJ11" s="2" t="str">
        <f t="shared" si="6"/>
        <v>P.C.</v>
      </c>
      <c r="AK11" s="2" t="str">
        <f t="shared" si="7"/>
        <v>ZG_IT405A</v>
      </c>
      <c r="AL11" s="7" t="s">
        <v>170</v>
      </c>
      <c r="AM11" s="2" t="s">
        <v>202</v>
      </c>
      <c r="AN11" s="2" t="str">
        <f t="shared" si="13"/>
        <v>DLNR</v>
      </c>
      <c r="AO11" s="2" t="s">
        <v>152</v>
      </c>
      <c r="AP11" s="2" t="str">
        <f t="shared" si="14"/>
        <v>DLNR</v>
      </c>
      <c r="AQ11" s="2">
        <v>3</v>
      </c>
      <c r="AR11" s="2">
        <f t="shared" si="10"/>
        <v>3</v>
      </c>
      <c r="AS11" s="2">
        <v>5</v>
      </c>
      <c r="AT11" s="2">
        <f t="shared" si="11"/>
        <v>3</v>
      </c>
      <c r="AU11" s="2">
        <v>0</v>
      </c>
      <c r="AV11" s="3" t="s">
        <v>117</v>
      </c>
      <c r="AW11" s="1"/>
      <c r="AX11" s="1"/>
      <c r="AY11" s="8" t="str">
        <f t="shared" si="17"/>
        <v>A0130033</v>
      </c>
    </row>
    <row r="12">
      <c r="A12" s="1">
        <v>11</v>
      </c>
      <c r="B12" s="1"/>
      <c r="C12" s="6" t="s">
        <v>270</v>
      </c>
      <c r="D12" s="6" t="s">
        <v>80</v>
      </c>
      <c r="E12" s="6" t="s">
        <v>271</v>
      </c>
      <c r="F12" s="6" t="s">
        <v>81</v>
      </c>
      <c r="G12" s="6" t="s">
        <v>211</v>
      </c>
      <c r="H12" s="11" t="s">
        <v>0</v>
      </c>
      <c r="I12" s="11" t="s">
        <v>302</v>
      </c>
      <c r="J12" s="3">
        <v>13003304</v>
      </c>
      <c r="K12" s="3" t="s">
        <v>82</v>
      </c>
      <c r="L12" s="13">
        <v>26</v>
      </c>
      <c r="M12" s="5" t="s">
        <v>121</v>
      </c>
      <c r="N12" s="3" t="s">
        <v>139</v>
      </c>
      <c r="O12" s="3" t="s">
        <v>308</v>
      </c>
      <c r="P12" s="3" t="s">
        <v>291</v>
      </c>
      <c r="Q12" s="21" t="str">
        <f t="shared" si="0"/>
        <v>GS000007</v>
      </c>
      <c r="R12" s="3" t="s">
        <v>69</v>
      </c>
      <c r="S12" s="3" t="s">
        <v>93</v>
      </c>
      <c r="T12" s="3"/>
      <c r="U12" s="4" t="str">
        <f t="shared" si="16"/>
        <v>300000103182</v>
      </c>
      <c r="V12" s="2" t="str">
        <f t="shared" si="1"/>
        <v>The asset 300000103182 0 is created</v>
      </c>
      <c r="W12" s="3" t="s">
        <v>165</v>
      </c>
      <c r="X12" s="2" t="str">
        <f t="shared" si="2"/>
        <v>Mainframe</v>
      </c>
      <c r="Y12" s="2" t="str">
        <f t="shared" si="3"/>
        <v>Mainframe</v>
      </c>
      <c r="Z12" s="17" t="s">
        <v>55</v>
      </c>
      <c r="AA12" s="2" t="s">
        <v>139</v>
      </c>
      <c r="AB12" s="2" t="s">
        <v>144</v>
      </c>
      <c r="AC12" s="2" t="str">
        <f t="shared" si="4"/>
        <v>GS000007</v>
      </c>
      <c r="AD12" s="2" t="str">
        <f t="shared" si="5"/>
        <v>GS000007</v>
      </c>
      <c r="AE12" s="7" t="s">
        <v>235</v>
      </c>
      <c r="AF12" s="7" t="s">
        <v>74</v>
      </c>
      <c r="AG12" s="5">
        <v>3000</v>
      </c>
      <c r="AH12" s="2">
        <v>300096256</v>
      </c>
      <c r="AI12" s="7" t="s">
        <v>74</v>
      </c>
      <c r="AJ12" s="2" t="str">
        <f t="shared" si="6"/>
        <v>Mainframe</v>
      </c>
      <c r="AK12" s="2" t="str">
        <f t="shared" si="7"/>
        <v>ZG_IT402A</v>
      </c>
      <c r="AL12" s="7" t="s">
        <v>238</v>
      </c>
      <c r="AM12" s="2" t="s">
        <v>202</v>
      </c>
      <c r="AN12" s="2" t="str">
        <f t="shared" si="13"/>
        <v>DLNR</v>
      </c>
      <c r="AO12" s="2" t="s">
        <v>152</v>
      </c>
      <c r="AP12" s="2" t="str">
        <f t="shared" si="14"/>
        <v>DLNR</v>
      </c>
      <c r="AQ12" s="2">
        <v>2</v>
      </c>
      <c r="AR12" s="2">
        <f t="shared" si="10"/>
        <v>2</v>
      </c>
      <c r="AS12" s="2">
        <v>5</v>
      </c>
      <c r="AT12" s="2">
        <f t="shared" si="11"/>
        <v>2</v>
      </c>
      <c r="AU12" s="2">
        <v>0</v>
      </c>
      <c r="AV12" s="3" t="s">
        <v>117</v>
      </c>
      <c r="AW12" s="1"/>
      <c r="AX12" s="1"/>
      <c r="AY12" s="8" t="str">
        <f t="shared" si="17"/>
        <v>A0130033</v>
      </c>
    </row>
    <row r="13">
      <c r="A13" s="1">
        <v>12</v>
      </c>
      <c r="B13" s="1"/>
      <c r="C13" s="6" t="s">
        <v>270</v>
      </c>
      <c r="D13" s="6" t="s">
        <v>80</v>
      </c>
      <c r="E13" s="6" t="s">
        <v>271</v>
      </c>
      <c r="F13" s="6" t="s">
        <v>81</v>
      </c>
      <c r="G13" s="6" t="s">
        <v>211</v>
      </c>
      <c r="H13" s="11" t="s">
        <v>0</v>
      </c>
      <c r="I13" s="11" t="s">
        <v>302</v>
      </c>
      <c r="J13" s="3">
        <v>13003400</v>
      </c>
      <c r="K13" s="3" t="s">
        <v>82</v>
      </c>
      <c r="L13" s="13">
        <v>26</v>
      </c>
      <c r="M13" s="5" t="s">
        <v>38</v>
      </c>
      <c r="N13" s="3" t="s">
        <v>139</v>
      </c>
      <c r="O13" s="3" t="s">
        <v>277</v>
      </c>
      <c r="P13" s="3" t="s">
        <v>291</v>
      </c>
      <c r="Q13" s="21" t="str">
        <f t="shared" si="0"/>
        <v>GS000007</v>
      </c>
      <c r="R13" s="3" t="s">
        <v>89</v>
      </c>
      <c r="S13" s="3" t="s">
        <v>93</v>
      </c>
      <c r="T13" s="3"/>
      <c r="U13" s="4" t="str">
        <f t="shared" si="16"/>
        <v>300000103182</v>
      </c>
      <c r="V13" s="2" t="str">
        <f t="shared" si="1"/>
        <v>The asset 300000103182 0 is created</v>
      </c>
      <c r="W13" s="3" t="s">
        <v>165</v>
      </c>
      <c r="X13" s="2" t="str">
        <f t="shared" si="2"/>
        <v>PBX Switchboard - stores</v>
      </c>
      <c r="Y13" s="2" t="str">
        <f t="shared" si="3"/>
        <v>PBX Switchboard - stores</v>
      </c>
      <c r="Z13" s="17">
        <v>10130034</v>
      </c>
      <c r="AA13" s="2" t="s">
        <v>139</v>
      </c>
      <c r="AB13" s="2" t="s">
        <v>144</v>
      </c>
      <c r="AC13" s="2" t="str">
        <f t="shared" si="4"/>
        <v>GS000007</v>
      </c>
      <c r="AD13" s="2" t="str">
        <f t="shared" si="5"/>
        <v>GS000007</v>
      </c>
      <c r="AE13" s="7" t="s">
        <v>13</v>
      </c>
      <c r="AF13" s="7" t="s">
        <v>187</v>
      </c>
      <c r="AG13" s="5">
        <v>3000</v>
      </c>
      <c r="AH13" s="2">
        <v>300096256</v>
      </c>
      <c r="AI13" s="7" t="s">
        <v>187</v>
      </c>
      <c r="AJ13" s="2" t="str">
        <f t="shared" si="6"/>
        <v>PBX Switchboard - stores</v>
      </c>
      <c r="AK13" s="2" t="str">
        <f t="shared" si="7"/>
        <v>ZG_IT417A</v>
      </c>
      <c r="AL13" s="7" t="s">
        <v>28</v>
      </c>
      <c r="AM13" s="2" t="s">
        <v>202</v>
      </c>
      <c r="AN13" s="2" t="str">
        <f t="shared" si="13"/>
        <v>DLNR</v>
      </c>
      <c r="AO13" s="2" t="s">
        <v>280</v>
      </c>
      <c r="AP13" s="2" t="str">
        <f t="shared" si="14"/>
        <v>DLNR</v>
      </c>
      <c r="AQ13" s="2">
        <v>5</v>
      </c>
      <c r="AR13" s="2">
        <f t="shared" si="10"/>
        <v>5</v>
      </c>
      <c r="AS13" s="2">
        <v>10</v>
      </c>
      <c r="AT13" s="2">
        <f t="shared" si="11"/>
        <v>5</v>
      </c>
      <c r="AU13" s="2">
        <v>0</v>
      </c>
      <c r="AV13" s="3" t="s">
        <v>117</v>
      </c>
      <c r="AW13" s="1"/>
      <c r="AX13" s="1"/>
      <c r="AY13" s="8" t="str">
        <f>"10130034"</f>
        <v>10130034</v>
      </c>
    </row>
    <row r="14">
      <c r="A14" s="1">
        <v>13</v>
      </c>
      <c r="B14" s="1"/>
      <c r="C14" s="6" t="s">
        <v>270</v>
      </c>
      <c r="D14" s="6" t="s">
        <v>80</v>
      </c>
      <c r="E14" s="6" t="s">
        <v>271</v>
      </c>
      <c r="F14" s="6" t="s">
        <v>81</v>
      </c>
      <c r="G14" s="6" t="s">
        <v>211</v>
      </c>
      <c r="H14" s="11" t="s">
        <v>0</v>
      </c>
      <c r="I14" s="11" t="s">
        <v>302</v>
      </c>
      <c r="J14" s="3">
        <v>13003500</v>
      </c>
      <c r="K14" s="3" t="s">
        <v>82</v>
      </c>
      <c r="L14" s="13">
        <v>26</v>
      </c>
      <c r="M14" s="5" t="s">
        <v>274</v>
      </c>
      <c r="N14" s="3" t="s">
        <v>139</v>
      </c>
      <c r="O14" s="3" t="s">
        <v>87</v>
      </c>
      <c r="P14" s="3" t="s">
        <v>291</v>
      </c>
      <c r="Q14" s="21" t="str">
        <f t="shared" si="0"/>
        <v>GS000007</v>
      </c>
      <c r="R14" s="3" t="s">
        <v>244</v>
      </c>
      <c r="S14" s="3" t="s">
        <v>210</v>
      </c>
      <c r="T14" s="3"/>
      <c r="U14" s="4" t="str">
        <f t="shared" si="16"/>
        <v>300000103182</v>
      </c>
      <c r="V14" s="2" t="str">
        <f t="shared" si="1"/>
        <v>The asset 300000103182 0 is created</v>
      </c>
      <c r="W14" s="3" t="s">
        <v>165</v>
      </c>
      <c r="X14" s="2" t="str">
        <f t="shared" si="2"/>
        <v>Lit signs</v>
      </c>
      <c r="Y14" s="2" t="str">
        <f t="shared" si="3"/>
        <v>Lit signs</v>
      </c>
      <c r="Z14" s="17" t="s">
        <v>217</v>
      </c>
      <c r="AA14" s="2" t="s">
        <v>139</v>
      </c>
      <c r="AB14" s="2" t="s">
        <v>144</v>
      </c>
      <c r="AC14" s="2" t="str">
        <f t="shared" si="4"/>
        <v>GS000007</v>
      </c>
      <c r="AD14" s="2" t="str">
        <f t="shared" si="5"/>
        <v>GS000007</v>
      </c>
      <c r="AE14" s="7" t="s">
        <v>96</v>
      </c>
      <c r="AF14" s="7" t="s">
        <v>254</v>
      </c>
      <c r="AG14" s="5">
        <v>3000</v>
      </c>
      <c r="AH14" s="2">
        <v>300096256</v>
      </c>
      <c r="AI14" s="7" t="s">
        <v>254</v>
      </c>
      <c r="AJ14" s="2" t="str">
        <f t="shared" si="6"/>
        <v>Lit signs</v>
      </c>
      <c r="AK14" s="2" t="str">
        <f t="shared" si="7"/>
        <v>ZG_EKT451B</v>
      </c>
      <c r="AL14" s="7" t="s">
        <v>111</v>
      </c>
      <c r="AM14" s="2" t="s">
        <v>202</v>
      </c>
      <c r="AN14" s="2" t="str">
        <f t="shared" si="13"/>
        <v>DLNR</v>
      </c>
      <c r="AO14" s="2" t="s">
        <v>280</v>
      </c>
      <c r="AP14" s="2" t="str">
        <f t="shared" si="14"/>
        <v>DLNR</v>
      </c>
      <c r="AQ14" s="2">
        <v>10</v>
      </c>
      <c r="AR14" s="2">
        <f t="shared" si="10"/>
        <v>10</v>
      </c>
      <c r="AS14" s="2">
        <v>10</v>
      </c>
      <c r="AT14" s="2">
        <f t="shared" si="11"/>
        <v>10</v>
      </c>
      <c r="AU14" s="2">
        <v>0</v>
      </c>
      <c r="AV14" s="3" t="s">
        <v>117</v>
      </c>
      <c r="AW14" s="1"/>
      <c r="AX14" s="1"/>
      <c r="AY14" s="8" t="str">
        <f t="shared" si="18" ref="AY14:AY17">"A0130035"</f>
        <v>A0130035</v>
      </c>
    </row>
    <row r="15">
      <c r="A15" s="1">
        <v>14</v>
      </c>
      <c r="B15" s="1"/>
      <c r="C15" s="6" t="s">
        <v>270</v>
      </c>
      <c r="D15" s="6" t="s">
        <v>80</v>
      </c>
      <c r="E15" s="6" t="s">
        <v>271</v>
      </c>
      <c r="F15" s="6" t="s">
        <v>81</v>
      </c>
      <c r="G15" s="6" t="s">
        <v>211</v>
      </c>
      <c r="H15" s="11" t="s">
        <v>0</v>
      </c>
      <c r="I15" s="11" t="s">
        <v>302</v>
      </c>
      <c r="J15" s="3">
        <v>13003501</v>
      </c>
      <c r="K15" s="3" t="s">
        <v>82</v>
      </c>
      <c r="L15" s="13">
        <v>26</v>
      </c>
      <c r="M15" s="5" t="s">
        <v>229</v>
      </c>
      <c r="N15" s="3" t="s">
        <v>139</v>
      </c>
      <c r="O15" s="3" t="s">
        <v>309</v>
      </c>
      <c r="P15" s="3" t="s">
        <v>291</v>
      </c>
      <c r="Q15" s="21" t="str">
        <f t="shared" si="0"/>
        <v>GS000007</v>
      </c>
      <c r="R15" s="3" t="s">
        <v>9</v>
      </c>
      <c r="S15" s="3" t="s">
        <v>210</v>
      </c>
      <c r="T15" s="3"/>
      <c r="U15" s="4" t="str">
        <f t="shared" si="16"/>
        <v>300000103182</v>
      </c>
      <c r="V15" s="2" t="str">
        <f t="shared" si="1"/>
        <v>The asset 300000103182 0 is created</v>
      </c>
      <c r="W15" s="3" t="s">
        <v>165</v>
      </c>
      <c r="X15" s="2" t="str">
        <f t="shared" si="2"/>
        <v>Security System</v>
      </c>
      <c r="Y15" s="2" t="str">
        <f t="shared" si="3"/>
        <v>Security System</v>
      </c>
      <c r="Z15" s="17" t="s">
        <v>217</v>
      </c>
      <c r="AA15" s="2" t="s">
        <v>139</v>
      </c>
      <c r="AB15" s="2" t="s">
        <v>144</v>
      </c>
      <c r="AC15" s="2" t="str">
        <f t="shared" si="4"/>
        <v>GS000007</v>
      </c>
      <c r="AD15" s="2" t="str">
        <f t="shared" si="5"/>
        <v>GS000007</v>
      </c>
      <c r="AE15" s="7" t="s">
        <v>180</v>
      </c>
      <c r="AF15" s="7" t="s">
        <v>20</v>
      </c>
      <c r="AG15" s="5">
        <v>3000</v>
      </c>
      <c r="AH15" s="2">
        <v>300096256</v>
      </c>
      <c r="AI15" s="7" t="s">
        <v>20</v>
      </c>
      <c r="AJ15" s="2" t="str">
        <f t="shared" si="6"/>
        <v>Security System</v>
      </c>
      <c r="AK15" s="2" t="str">
        <f t="shared" si="7"/>
        <v>ZG_EEL445A</v>
      </c>
      <c r="AL15" s="7" t="s">
        <v>195</v>
      </c>
      <c r="AM15" s="2" t="s">
        <v>202</v>
      </c>
      <c r="AN15" s="2" t="str">
        <f t="shared" si="13"/>
        <v>DLNR</v>
      </c>
      <c r="AO15" s="2" t="s">
        <v>280</v>
      </c>
      <c r="AP15" s="2" t="str">
        <f t="shared" si="14"/>
        <v>DLNR</v>
      </c>
      <c r="AQ15" s="2">
        <v>7</v>
      </c>
      <c r="AR15" s="2">
        <f t="shared" si="10"/>
        <v>7</v>
      </c>
      <c r="AS15" s="2">
        <v>10</v>
      </c>
      <c r="AT15" s="2">
        <f t="shared" si="11"/>
        <v>7</v>
      </c>
      <c r="AU15" s="2">
        <v>0</v>
      </c>
      <c r="AV15" s="3" t="s">
        <v>117</v>
      </c>
      <c r="AW15" s="1"/>
      <c r="AX15" s="1"/>
      <c r="AY15" s="8" t="str">
        <f t="shared" si="18"/>
        <v>A0130035</v>
      </c>
    </row>
    <row r="16">
      <c r="A16" s="1">
        <v>15</v>
      </c>
      <c r="B16" s="1"/>
      <c r="C16" s="6" t="s">
        <v>270</v>
      </c>
      <c r="D16" s="6" t="s">
        <v>80</v>
      </c>
      <c r="E16" s="6" t="s">
        <v>271</v>
      </c>
      <c r="F16" s="6" t="s">
        <v>81</v>
      </c>
      <c r="G16" s="6" t="s">
        <v>211</v>
      </c>
      <c r="H16" s="11" t="s">
        <v>0</v>
      </c>
      <c r="I16" s="11" t="s">
        <v>302</v>
      </c>
      <c r="J16" s="3">
        <v>13003502</v>
      </c>
      <c r="K16" s="3" t="s">
        <v>82</v>
      </c>
      <c r="L16" s="13">
        <v>26</v>
      </c>
      <c r="M16" s="5" t="s">
        <v>275</v>
      </c>
      <c r="N16" s="3" t="s">
        <v>139</v>
      </c>
      <c r="O16" s="3" t="s">
        <v>208</v>
      </c>
      <c r="P16" s="3" t="s">
        <v>291</v>
      </c>
      <c r="Q16" s="21" t="str">
        <f t="shared" si="0"/>
        <v>GS000007</v>
      </c>
      <c r="R16" s="3" t="s">
        <v>90</v>
      </c>
      <c r="S16" s="3" t="s">
        <v>210</v>
      </c>
      <c r="T16" s="3"/>
      <c r="U16" s="4" t="str">
        <f t="shared" si="16"/>
        <v>300000103182</v>
      </c>
      <c r="V16" s="2" t="str">
        <f t="shared" si="1"/>
        <v>The asset 300000103182 0 is created</v>
      </c>
      <c r="W16" s="3" t="s">
        <v>165</v>
      </c>
      <c r="X16" s="2" t="str">
        <f t="shared" si="2"/>
        <v>Tournique</v>
      </c>
      <c r="Y16" s="2" t="str">
        <f t="shared" si="3"/>
        <v>Tournique</v>
      </c>
      <c r="Z16" s="17" t="s">
        <v>217</v>
      </c>
      <c r="AA16" s="2" t="s">
        <v>139</v>
      </c>
      <c r="AB16" s="2" t="s">
        <v>144</v>
      </c>
      <c r="AC16" s="2" t="str">
        <f t="shared" si="4"/>
        <v>GS000007</v>
      </c>
      <c r="AD16" s="2" t="str">
        <f t="shared" si="5"/>
        <v>GS000007</v>
      </c>
      <c r="AE16" s="7" t="s">
        <v>247</v>
      </c>
      <c r="AF16" s="7" t="s">
        <v>104</v>
      </c>
      <c r="AG16" s="5">
        <v>3000</v>
      </c>
      <c r="AH16" s="2">
        <v>300096256</v>
      </c>
      <c r="AI16" s="7" t="s">
        <v>104</v>
      </c>
      <c r="AJ16" s="2" t="str">
        <f t="shared" si="6"/>
        <v>Tournique</v>
      </c>
      <c r="AK16" s="2" t="str">
        <f t="shared" si="7"/>
        <v>ZG_EBM464A</v>
      </c>
      <c r="AL16" s="7" t="s">
        <v>262</v>
      </c>
      <c r="AM16" s="2" t="s">
        <v>202</v>
      </c>
      <c r="AN16" s="2" t="str">
        <f t="shared" si="13"/>
        <v>DLNR</v>
      </c>
      <c r="AO16" s="2" t="s">
        <v>280</v>
      </c>
      <c r="AP16" s="2" t="str">
        <f t="shared" si="14"/>
        <v>DLNR</v>
      </c>
      <c r="AQ16" s="2">
        <v>5</v>
      </c>
      <c r="AR16" s="2">
        <f t="shared" si="10"/>
        <v>5</v>
      </c>
      <c r="AS16" s="2">
        <v>10</v>
      </c>
      <c r="AT16" s="2">
        <f t="shared" si="11"/>
        <v>5</v>
      </c>
      <c r="AU16" s="2">
        <v>0</v>
      </c>
      <c r="AV16" s="3" t="s">
        <v>117</v>
      </c>
      <c r="AW16" s="1"/>
      <c r="AX16" s="1"/>
      <c r="AY16" s="8" t="str">
        <f t="shared" si="18"/>
        <v>A0130035</v>
      </c>
    </row>
    <row r="17">
      <c r="A17" s="1">
        <v>16</v>
      </c>
      <c r="B17" s="1"/>
      <c r="C17" s="6" t="s">
        <v>270</v>
      </c>
      <c r="D17" s="6" t="s">
        <v>80</v>
      </c>
      <c r="E17" s="6" t="s">
        <v>271</v>
      </c>
      <c r="F17" s="6" t="s">
        <v>81</v>
      </c>
      <c r="G17" s="6" t="s">
        <v>211</v>
      </c>
      <c r="H17" s="11" t="s">
        <v>0</v>
      </c>
      <c r="I17" s="11" t="s">
        <v>302</v>
      </c>
      <c r="J17" s="3">
        <v>13003503</v>
      </c>
      <c r="K17" s="3" t="s">
        <v>82</v>
      </c>
      <c r="L17" s="13">
        <v>26</v>
      </c>
      <c r="M17" s="5" t="s">
        <v>206</v>
      </c>
      <c r="N17" s="3" t="s">
        <v>139</v>
      </c>
      <c r="O17" s="3" t="s">
        <v>6</v>
      </c>
      <c r="P17" s="3" t="s">
        <v>291</v>
      </c>
      <c r="Q17" s="21" t="str">
        <f t="shared" si="0"/>
        <v>GS000007</v>
      </c>
      <c r="R17" s="3" t="s">
        <v>91</v>
      </c>
      <c r="S17" s="3" t="s">
        <v>210</v>
      </c>
      <c r="T17" s="3"/>
      <c r="U17" s="4" t="str">
        <f t="shared" si="16"/>
        <v>300000103182</v>
      </c>
      <c r="V17" s="2" t="str">
        <f t="shared" si="1"/>
        <v>The asset 300000103182 0 is created</v>
      </c>
      <c r="W17" s="3" t="s">
        <v>165</v>
      </c>
      <c r="X17" s="2" t="str">
        <f t="shared" si="2"/>
        <v>Notes Counter</v>
      </c>
      <c r="Y17" s="2" t="str">
        <f t="shared" si="3"/>
        <v>Notes Counter</v>
      </c>
      <c r="Z17" s="17" t="s">
        <v>217</v>
      </c>
      <c r="AA17" s="2" t="s">
        <v>139</v>
      </c>
      <c r="AB17" s="2" t="s">
        <v>144</v>
      </c>
      <c r="AC17" s="2" t="str">
        <f t="shared" si="4"/>
        <v>GS000007</v>
      </c>
      <c r="AD17" s="2" t="str">
        <f t="shared" si="5"/>
        <v>GS000007</v>
      </c>
      <c r="AE17" s="7" t="s">
        <v>14</v>
      </c>
      <c r="AF17" s="7" t="s">
        <v>188</v>
      </c>
      <c r="AG17" s="5">
        <v>3000</v>
      </c>
      <c r="AH17" s="2">
        <v>300096256</v>
      </c>
      <c r="AI17" s="7" t="s">
        <v>188</v>
      </c>
      <c r="AJ17" s="2" t="str">
        <f t="shared" si="6"/>
        <v>Notes Counter</v>
      </c>
      <c r="AK17" s="2" t="str">
        <f t="shared" si="7"/>
        <v>ZG_EAS435A</v>
      </c>
      <c r="AL17" s="7" t="s">
        <v>29</v>
      </c>
      <c r="AM17" s="2" t="s">
        <v>202</v>
      </c>
      <c r="AN17" s="2" t="str">
        <f t="shared" si="13"/>
        <v>DLNR</v>
      </c>
      <c r="AO17" s="2" t="s">
        <v>280</v>
      </c>
      <c r="AP17" s="2" t="str">
        <f t="shared" si="14"/>
        <v>DLNR</v>
      </c>
      <c r="AQ17" s="2">
        <v>3</v>
      </c>
      <c r="AR17" s="2">
        <f t="shared" si="10"/>
        <v>3</v>
      </c>
      <c r="AS17" s="2">
        <v>10</v>
      </c>
      <c r="AT17" s="2">
        <f t="shared" si="11"/>
        <v>3</v>
      </c>
      <c r="AU17" s="2">
        <v>0</v>
      </c>
      <c r="AV17" s="3" t="s">
        <v>117</v>
      </c>
      <c r="AW17" s="1"/>
      <c r="AX17" s="1"/>
      <c r="AY17" s="8" t="str">
        <f t="shared" si="18"/>
        <v>A0130035</v>
      </c>
    </row>
    <row r="18">
      <c r="A18" s="1">
        <v>17</v>
      </c>
      <c r="B18" s="1"/>
      <c r="C18" s="6" t="s">
        <v>270</v>
      </c>
      <c r="D18" s="6" t="s">
        <v>80</v>
      </c>
      <c r="E18" s="6" t="s">
        <v>271</v>
      </c>
      <c r="F18" s="6" t="s">
        <v>81</v>
      </c>
      <c r="G18" s="6" t="s">
        <v>211</v>
      </c>
      <c r="H18" s="11" t="s">
        <v>0</v>
      </c>
      <c r="I18" s="11" t="s">
        <v>302</v>
      </c>
      <c r="J18" s="3">
        <v>13005100</v>
      </c>
      <c r="K18" s="3" t="s">
        <v>82</v>
      </c>
      <c r="L18" s="13">
        <v>26</v>
      </c>
      <c r="M18" s="5" t="s">
        <v>276</v>
      </c>
      <c r="N18" s="3" t="s">
        <v>139</v>
      </c>
      <c r="O18" s="3" t="s">
        <v>215</v>
      </c>
      <c r="P18" s="3" t="s">
        <v>291</v>
      </c>
      <c r="Q18" s="21" t="str">
        <f t="shared" si="0"/>
        <v>GS000007</v>
      </c>
      <c r="R18" s="3" t="s">
        <v>231</v>
      </c>
      <c r="S18" s="3" t="s">
        <v>94</v>
      </c>
      <c r="T18" s="3"/>
      <c r="U18" s="4" t="str">
        <f t="shared" si="16"/>
        <v>300000103182</v>
      </c>
      <c r="V18" s="2" t="str">
        <f t="shared" si="1"/>
        <v>The asset 300000103182 0 is created</v>
      </c>
      <c r="W18" s="3" t="s">
        <v>165</v>
      </c>
      <c r="X18" s="2" t="str">
        <f t="shared" si="2"/>
        <v>Truck Body</v>
      </c>
      <c r="Y18" s="2" t="str">
        <f t="shared" si="3"/>
        <v>Truck Body</v>
      </c>
      <c r="Z18" s="17">
        <v>10130051</v>
      </c>
      <c r="AA18" s="2" t="s">
        <v>139</v>
      </c>
      <c r="AB18" s="2" t="s">
        <v>144</v>
      </c>
      <c r="AC18" s="2" t="str">
        <f t="shared" si="4"/>
        <v>GS000007</v>
      </c>
      <c r="AD18" s="2" t="str">
        <f t="shared" si="5"/>
        <v>GS000007</v>
      </c>
      <c r="AE18" s="7" t="s">
        <v>97</v>
      </c>
      <c r="AF18" s="7" t="s">
        <v>255</v>
      </c>
      <c r="AG18" s="5">
        <v>3000</v>
      </c>
      <c r="AH18" s="2">
        <v>300096256</v>
      </c>
      <c r="AI18" s="7" t="s">
        <v>255</v>
      </c>
      <c r="AJ18" s="2" t="str">
        <f t="shared" si="6"/>
        <v>Truck Body</v>
      </c>
      <c r="AK18" s="2" t="str">
        <f t="shared" si="7"/>
        <v>ZG_VTR302A</v>
      </c>
      <c r="AL18" s="7" t="s">
        <v>112</v>
      </c>
      <c r="AM18" s="2" t="s">
        <v>202</v>
      </c>
      <c r="AN18" s="2" t="str">
        <f t="shared" si="13"/>
        <v>DLNR</v>
      </c>
      <c r="AO18" s="2" t="s">
        <v>153</v>
      </c>
      <c r="AP18" s="2" t="str">
        <f t="shared" si="14"/>
        <v>DLNR</v>
      </c>
      <c r="AQ18" s="2">
        <v>9</v>
      </c>
      <c r="AR18" s="2">
        <f t="shared" si="10"/>
        <v>9</v>
      </c>
      <c r="AS18" s="2">
        <v>8</v>
      </c>
      <c r="AT18" s="2">
        <f t="shared" si="11"/>
        <v>9</v>
      </c>
      <c r="AU18" s="2">
        <v>0</v>
      </c>
      <c r="AV18" s="3" t="s">
        <v>117</v>
      </c>
      <c r="AW18" s="1"/>
      <c r="AX18" s="1"/>
      <c r="AY18" s="8" t="str">
        <f t="shared" si="19" ref="AY18:AY20">"10130051"</f>
        <v>10130051</v>
      </c>
    </row>
    <row r="19">
      <c r="A19" s="1">
        <v>18</v>
      </c>
      <c r="B19" s="1"/>
      <c r="C19" s="6" t="s">
        <v>270</v>
      </c>
      <c r="D19" s="6" t="s">
        <v>80</v>
      </c>
      <c r="E19" s="6" t="s">
        <v>271</v>
      </c>
      <c r="F19" s="6" t="s">
        <v>81</v>
      </c>
      <c r="G19" s="6" t="s">
        <v>211</v>
      </c>
      <c r="H19" s="11" t="s">
        <v>0</v>
      </c>
      <c r="I19" s="11" t="s">
        <v>302</v>
      </c>
      <c r="J19" s="3">
        <v>13005101</v>
      </c>
      <c r="K19" s="3" t="s">
        <v>82</v>
      </c>
      <c r="L19" s="13">
        <v>26</v>
      </c>
      <c r="M19" s="5" t="s">
        <v>137</v>
      </c>
      <c r="N19" s="3" t="s">
        <v>139</v>
      </c>
      <c r="O19" s="3" t="s">
        <v>122</v>
      </c>
      <c r="P19" s="3" t="s">
        <v>291</v>
      </c>
      <c r="Q19" s="21" t="str">
        <f t="shared" si="0"/>
        <v>GS000007</v>
      </c>
      <c r="R19" s="3" t="s">
        <v>70</v>
      </c>
      <c r="S19" s="3" t="s">
        <v>94</v>
      </c>
      <c r="T19" s="3"/>
      <c r="U19" s="4" t="str">
        <f t="shared" si="16"/>
        <v>300000103182</v>
      </c>
      <c r="V19" s="2" t="str">
        <f t="shared" si="1"/>
        <v>The asset 300000103182 0 is created</v>
      </c>
      <c r="W19" s="3" t="s">
        <v>165</v>
      </c>
      <c r="X19" s="2" t="str">
        <f t="shared" si="2"/>
        <v>Van, Fiorino (Ημιφορτ.)</v>
      </c>
      <c r="Y19" s="2" t="str">
        <f t="shared" si="3"/>
        <v>Van, Fiorino (Ημιφορτ.)</v>
      </c>
      <c r="Z19" s="17">
        <v>10130051</v>
      </c>
      <c r="AA19" s="2" t="s">
        <v>139</v>
      </c>
      <c r="AB19" s="2" t="s">
        <v>144</v>
      </c>
      <c r="AC19" s="2" t="str">
        <f t="shared" si="4"/>
        <v>GS000007</v>
      </c>
      <c r="AD19" s="2" t="str">
        <f t="shared" si="5"/>
        <v>GS000007</v>
      </c>
      <c r="AE19" s="7" t="s">
        <v>181</v>
      </c>
      <c r="AF19" s="7" t="s">
        <v>21</v>
      </c>
      <c r="AG19" s="5">
        <v>3000</v>
      </c>
      <c r="AH19" s="2">
        <v>300096256</v>
      </c>
      <c r="AI19" s="7" t="s">
        <v>21</v>
      </c>
      <c r="AJ19" s="2" t="str">
        <f t="shared" si="6"/>
        <v>Van, Fiorino (Ημιφορτ.)</v>
      </c>
      <c r="AK19" s="2" t="str">
        <f t="shared" si="7"/>
        <v>ZG_VAN304A</v>
      </c>
      <c r="AL19" s="7" t="s">
        <v>196</v>
      </c>
      <c r="AM19" s="2" t="s">
        <v>202</v>
      </c>
      <c r="AN19" s="2" t="str">
        <f t="shared" si="13"/>
        <v>DLNR</v>
      </c>
      <c r="AO19" s="2" t="s">
        <v>153</v>
      </c>
      <c r="AP19" s="2" t="str">
        <f t="shared" si="14"/>
        <v>DLNR</v>
      </c>
      <c r="AQ19" s="2">
        <v>7</v>
      </c>
      <c r="AR19" s="2">
        <f t="shared" si="10"/>
        <v>7</v>
      </c>
      <c r="AS19" s="2">
        <v>8</v>
      </c>
      <c r="AT19" s="2">
        <f t="shared" si="11"/>
        <v>7</v>
      </c>
      <c r="AU19" s="2">
        <v>0</v>
      </c>
      <c r="AV19" s="3" t="s">
        <v>117</v>
      </c>
      <c r="AW19" s="1"/>
      <c r="AX19" s="1"/>
      <c r="AY19" s="8" t="str">
        <f t="shared" si="19"/>
        <v>10130051</v>
      </c>
    </row>
    <row r="20">
      <c r="A20" s="1">
        <v>19</v>
      </c>
      <c r="B20" s="1"/>
      <c r="C20" s="6" t="s">
        <v>270</v>
      </c>
      <c r="D20" s="6" t="s">
        <v>80</v>
      </c>
      <c r="E20" s="6" t="s">
        <v>271</v>
      </c>
      <c r="F20" s="6" t="s">
        <v>81</v>
      </c>
      <c r="G20" s="6" t="s">
        <v>211</v>
      </c>
      <c r="H20" s="11" t="s">
        <v>0</v>
      </c>
      <c r="I20" s="11" t="s">
        <v>302</v>
      </c>
      <c r="J20" s="3">
        <v>13005102</v>
      </c>
      <c r="K20" s="3" t="s">
        <v>82</v>
      </c>
      <c r="L20" s="13">
        <v>26</v>
      </c>
      <c r="M20" s="5" t="s">
        <v>138</v>
      </c>
      <c r="N20" s="3" t="s">
        <v>139</v>
      </c>
      <c r="O20" s="3" t="s">
        <v>7</v>
      </c>
      <c r="P20" s="3" t="s">
        <v>291</v>
      </c>
      <c r="Q20" s="21" t="str">
        <f t="shared" si="0"/>
        <v>GS000007</v>
      </c>
      <c r="R20" s="3" t="s">
        <v>313</v>
      </c>
      <c r="S20" s="3" t="s">
        <v>94</v>
      </c>
      <c r="T20" s="3"/>
      <c r="U20" s="4" t="str">
        <f t="shared" si="16"/>
        <v>300000103182</v>
      </c>
      <c r="V20" s="2" t="str">
        <f t="shared" si="1"/>
        <v>The asset 300000103182 0 is created</v>
      </c>
      <c r="W20" s="3" t="s">
        <v>165</v>
      </c>
      <c r="X20" s="2" t="str">
        <f t="shared" si="2"/>
        <v>Refrigerator Trailor</v>
      </c>
      <c r="Y20" s="2" t="str">
        <f t="shared" si="3"/>
        <v>Refrigerator Trailor</v>
      </c>
      <c r="Z20" s="17">
        <v>10130051</v>
      </c>
      <c r="AA20" s="2" t="s">
        <v>139</v>
      </c>
      <c r="AB20" s="2" t="s">
        <v>144</v>
      </c>
      <c r="AC20" s="2" t="str">
        <f t="shared" si="4"/>
        <v>GS000007</v>
      </c>
      <c r="AD20" s="2" t="str">
        <f t="shared" si="5"/>
        <v>GS000007</v>
      </c>
      <c r="AE20" s="7" t="s">
        <v>317</v>
      </c>
      <c r="AF20" s="7" t="s">
        <v>169</v>
      </c>
      <c r="AG20" s="5">
        <v>3000</v>
      </c>
      <c r="AH20" s="2">
        <v>300096256</v>
      </c>
      <c r="AI20" s="7" t="s">
        <v>169</v>
      </c>
      <c r="AJ20" s="2" t="str">
        <f t="shared" si="6"/>
        <v>Refrigerator Trailor</v>
      </c>
      <c r="AK20" s="2" t="str">
        <f t="shared" si="7"/>
        <v>ZG_VYP303A</v>
      </c>
      <c r="AL20" s="7" t="s">
        <v>321</v>
      </c>
      <c r="AM20" s="2" t="s">
        <v>202</v>
      </c>
      <c r="AN20" s="2" t="str">
        <f t="shared" si="13"/>
        <v>DLNR</v>
      </c>
      <c r="AO20" s="2" t="s">
        <v>153</v>
      </c>
      <c r="AP20" s="2" t="str">
        <f t="shared" si="14"/>
        <v>DLNR</v>
      </c>
      <c r="AQ20" s="2">
        <v>5</v>
      </c>
      <c r="AR20" s="2">
        <f t="shared" si="10"/>
        <v>5</v>
      </c>
      <c r="AS20" s="2">
        <v>8</v>
      </c>
      <c r="AT20" s="2">
        <f t="shared" si="11"/>
        <v>5</v>
      </c>
      <c r="AU20" s="2">
        <v>0</v>
      </c>
      <c r="AV20" s="3" t="s">
        <v>117</v>
      </c>
      <c r="AW20" s="1"/>
      <c r="AX20" s="1"/>
      <c r="AY20" s="8" t="str">
        <f t="shared" si="19"/>
        <v>10130051</v>
      </c>
    </row>
    <row r="21">
      <c r="A21" s="1">
        <v>20</v>
      </c>
      <c r="B21" s="1"/>
      <c r="C21" s="6" t="s">
        <v>270</v>
      </c>
      <c r="D21" s="6" t="s">
        <v>80</v>
      </c>
      <c r="E21" s="6" t="s">
        <v>271</v>
      </c>
      <c r="F21" s="6" t="s">
        <v>81</v>
      </c>
      <c r="G21" s="6" t="s">
        <v>211</v>
      </c>
      <c r="H21" s="11" t="s">
        <v>0</v>
      </c>
      <c r="I21" s="11" t="s">
        <v>302</v>
      </c>
      <c r="J21" s="3">
        <v>13005200</v>
      </c>
      <c r="K21" s="3" t="s">
        <v>82</v>
      </c>
      <c r="L21" s="13">
        <v>26</v>
      </c>
      <c r="M21" s="5" t="s">
        <v>5</v>
      </c>
      <c r="N21" s="3" t="s">
        <v>139</v>
      </c>
      <c r="O21" s="3" t="s">
        <v>172</v>
      </c>
      <c r="P21" s="3" t="s">
        <v>291</v>
      </c>
      <c r="Q21" s="21" t="str">
        <f t="shared" si="0"/>
        <v>GS000007</v>
      </c>
      <c r="R21" s="3" t="s">
        <v>10</v>
      </c>
      <c r="S21" s="3" t="s">
        <v>232</v>
      </c>
      <c r="T21" s="3"/>
      <c r="U21" s="4" t="str">
        <f t="shared" si="16"/>
        <v>300000103182</v>
      </c>
      <c r="V21" s="2" t="str">
        <f t="shared" si="1"/>
        <v>The asset 300000103182 0 is created</v>
      </c>
      <c r="W21" s="3" t="s">
        <v>165</v>
      </c>
      <c r="X21" s="2" t="str">
        <f t="shared" si="2"/>
        <v>Reach Truck (ανυψωτ.)</v>
      </c>
      <c r="Y21" s="2" t="str">
        <f t="shared" si="3"/>
        <v>Reach Truck (ανυψωτ.)</v>
      </c>
      <c r="Z21" s="17">
        <v>10130052</v>
      </c>
      <c r="AA21" s="2" t="s">
        <v>139</v>
      </c>
      <c r="AB21" s="2" t="s">
        <v>144</v>
      </c>
      <c r="AC21" s="2" t="str">
        <f t="shared" si="4"/>
        <v>GS000007</v>
      </c>
      <c r="AD21" s="2" t="str">
        <f t="shared" si="5"/>
        <v>GS000007</v>
      </c>
      <c r="AE21" s="7" t="s">
        <v>98</v>
      </c>
      <c r="AF21" s="7" t="s">
        <v>256</v>
      </c>
      <c r="AG21" s="5">
        <v>3000</v>
      </c>
      <c r="AH21" s="2">
        <v>300096256</v>
      </c>
      <c r="AI21" s="7" t="s">
        <v>256</v>
      </c>
      <c r="AJ21" s="2" t="str">
        <f t="shared" si="6"/>
        <v>Reach Truck (ανυψωτ.)</v>
      </c>
      <c r="AK21" s="2" t="str">
        <f t="shared" si="7"/>
        <v>ZG_CPE307A</v>
      </c>
      <c r="AL21" s="7" t="s">
        <v>76</v>
      </c>
      <c r="AM21" s="2" t="s">
        <v>202</v>
      </c>
      <c r="AN21" s="2" t="str">
        <f t="shared" si="13"/>
        <v>DLNR</v>
      </c>
      <c r="AO21" s="2" t="s">
        <v>280</v>
      </c>
      <c r="AP21" s="2" t="str">
        <f t="shared" si="14"/>
        <v>DLNR</v>
      </c>
      <c r="AQ21" s="2">
        <v>8</v>
      </c>
      <c r="AR21" s="2">
        <f t="shared" si="10"/>
        <v>8</v>
      </c>
      <c r="AS21" s="2">
        <v>10</v>
      </c>
      <c r="AT21" s="2">
        <f t="shared" si="11"/>
        <v>8</v>
      </c>
      <c r="AU21" s="2">
        <v>0</v>
      </c>
      <c r="AV21" s="3" t="s">
        <v>117</v>
      </c>
      <c r="AW21" s="1"/>
      <c r="AX21" s="1"/>
      <c r="AY21" s="8" t="str">
        <f t="shared" si="20" ref="AY21:AY23">"10130052"</f>
        <v>10130052</v>
      </c>
    </row>
    <row r="22">
      <c r="A22" s="1">
        <v>21</v>
      </c>
      <c r="B22" s="1"/>
      <c r="C22" s="6" t="s">
        <v>270</v>
      </c>
      <c r="D22" s="6" t="s">
        <v>80</v>
      </c>
      <c r="E22" s="6" t="s">
        <v>271</v>
      </c>
      <c r="F22" s="6" t="s">
        <v>81</v>
      </c>
      <c r="G22" s="6" t="s">
        <v>211</v>
      </c>
      <c r="H22" s="11" t="s">
        <v>0</v>
      </c>
      <c r="I22" s="11" t="s">
        <v>302</v>
      </c>
      <c r="J22" s="3">
        <v>13005201</v>
      </c>
      <c r="K22" s="3" t="s">
        <v>82</v>
      </c>
      <c r="L22" s="13">
        <v>26</v>
      </c>
      <c r="M22" s="5" t="s">
        <v>207</v>
      </c>
      <c r="N22" s="3" t="s">
        <v>139</v>
      </c>
      <c r="O22" s="3" t="s">
        <v>53</v>
      </c>
      <c r="P22" s="3" t="s">
        <v>291</v>
      </c>
      <c r="Q22" s="21" t="str">
        <f t="shared" si="0"/>
        <v>GS000007</v>
      </c>
      <c r="R22" s="3" t="s">
        <v>92</v>
      </c>
      <c r="S22" s="3" t="s">
        <v>232</v>
      </c>
      <c r="T22" s="3"/>
      <c r="U22" s="4" t="str">
        <f t="shared" si="16"/>
        <v>300000103182</v>
      </c>
      <c r="V22" s="2" t="str">
        <f t="shared" si="1"/>
        <v>The asset 300000103182 0 is created</v>
      </c>
      <c r="W22" s="3" t="s">
        <v>165</v>
      </c>
      <c r="X22" s="2" t="str">
        <f t="shared" si="2"/>
        <v>Order Picker</v>
      </c>
      <c r="Y22" s="2" t="str">
        <f t="shared" si="3"/>
        <v>Order Picker</v>
      </c>
      <c r="Z22" s="17">
        <v>10130052</v>
      </c>
      <c r="AA22" s="2" t="s">
        <v>139</v>
      </c>
      <c r="AB22" s="2" t="s">
        <v>144</v>
      </c>
      <c r="AC22" s="2" t="str">
        <f t="shared" si="4"/>
        <v>GS000007</v>
      </c>
      <c r="AD22" s="2" t="str">
        <f t="shared" si="5"/>
        <v>GS000007</v>
      </c>
      <c r="AE22" s="7" t="s">
        <v>182</v>
      </c>
      <c r="AF22" s="7" t="s">
        <v>22</v>
      </c>
      <c r="AG22" s="5">
        <v>3000</v>
      </c>
      <c r="AH22" s="2">
        <v>300096256</v>
      </c>
      <c r="AI22" s="7" t="s">
        <v>22</v>
      </c>
      <c r="AJ22" s="2" t="str">
        <f t="shared" si="6"/>
        <v>Order Picker</v>
      </c>
      <c r="AK22" s="2" t="str">
        <f t="shared" si="7"/>
        <v>ZG_CPE308C</v>
      </c>
      <c r="AL22" s="7" t="s">
        <v>197</v>
      </c>
      <c r="AM22" s="2" t="s">
        <v>202</v>
      </c>
      <c r="AN22" s="2" t="str">
        <f t="shared" si="13"/>
        <v>DLNR</v>
      </c>
      <c r="AO22" s="2" t="s">
        <v>280</v>
      </c>
      <c r="AP22" s="2" t="str">
        <f t="shared" si="14"/>
        <v>DLNR</v>
      </c>
      <c r="AQ22" s="2">
        <v>6</v>
      </c>
      <c r="AR22" s="2">
        <f t="shared" si="10"/>
        <v>6</v>
      </c>
      <c r="AS22" s="2">
        <v>10</v>
      </c>
      <c r="AT22" s="2">
        <f t="shared" si="11"/>
        <v>6</v>
      </c>
      <c r="AU22" s="2">
        <v>0</v>
      </c>
      <c r="AV22" s="3" t="s">
        <v>117</v>
      </c>
      <c r="AW22" s="1"/>
      <c r="AX22" s="1"/>
      <c r="AY22" s="8" t="str">
        <f t="shared" si="20"/>
        <v>10130052</v>
      </c>
    </row>
    <row r="23">
      <c r="A23" s="1">
        <v>22</v>
      </c>
      <c r="B23" s="1"/>
      <c r="C23" s="6" t="s">
        <v>270</v>
      </c>
      <c r="D23" s="6" t="s">
        <v>80</v>
      </c>
      <c r="E23" s="6" t="s">
        <v>271</v>
      </c>
      <c r="F23" s="6" t="s">
        <v>81</v>
      </c>
      <c r="G23" s="6" t="s">
        <v>211</v>
      </c>
      <c r="H23" s="11" t="s">
        <v>0</v>
      </c>
      <c r="I23" s="11" t="s">
        <v>302</v>
      </c>
      <c r="J23" s="3">
        <v>13005202</v>
      </c>
      <c r="K23" s="3" t="s">
        <v>82</v>
      </c>
      <c r="L23" s="13">
        <v>26</v>
      </c>
      <c r="M23" s="5" t="s">
        <v>159</v>
      </c>
      <c r="N23" s="3" t="s">
        <v>139</v>
      </c>
      <c r="O23" s="3" t="s">
        <v>123</v>
      </c>
      <c r="P23" s="3" t="s">
        <v>291</v>
      </c>
      <c r="Q23" s="21" t="str">
        <f t="shared" si="0"/>
        <v>GS000007</v>
      </c>
      <c r="R23" s="3" t="s">
        <v>314</v>
      </c>
      <c r="S23" s="3" t="s">
        <v>232</v>
      </c>
      <c r="T23" s="3"/>
      <c r="U23" s="4" t="str">
        <f t="shared" si="16"/>
        <v>300000103182</v>
      </c>
      <c r="V23" s="2" t="str">
        <f t="shared" si="1"/>
        <v>The asset 300000103182 0 is created</v>
      </c>
      <c r="W23" s="3" t="s">
        <v>165</v>
      </c>
      <c r="X23" s="2" t="str">
        <f t="shared" si="2"/>
        <v>Battery Charger</v>
      </c>
      <c r="Y23" s="2" t="str">
        <f t="shared" si="3"/>
        <v>Battery Charger</v>
      </c>
      <c r="Z23" s="17">
        <v>10130052</v>
      </c>
      <c r="AA23" s="2" t="s">
        <v>139</v>
      </c>
      <c r="AB23" s="2" t="s">
        <v>144</v>
      </c>
      <c r="AC23" s="2" t="str">
        <f t="shared" si="4"/>
        <v>GS000007</v>
      </c>
      <c r="AD23" s="2" t="str">
        <f t="shared" si="5"/>
        <v>GS000007</v>
      </c>
      <c r="AE23" s="7" t="s">
        <v>248</v>
      </c>
      <c r="AF23" s="7" t="s">
        <v>105</v>
      </c>
      <c r="AG23" s="5">
        <v>3000</v>
      </c>
      <c r="AH23" s="2">
        <v>300096256</v>
      </c>
      <c r="AI23" s="7" t="s">
        <v>105</v>
      </c>
      <c r="AJ23" s="2" t="str">
        <f t="shared" si="6"/>
        <v>Battery Charger</v>
      </c>
      <c r="AK23" s="2" t="str">
        <f t="shared" si="7"/>
        <v>ZG_CPE310A</v>
      </c>
      <c r="AL23" s="7" t="s">
        <v>263</v>
      </c>
      <c r="AM23" s="2" t="s">
        <v>202</v>
      </c>
      <c r="AN23" s="2" t="str">
        <f t="shared" si="13"/>
        <v>DLNR</v>
      </c>
      <c r="AO23" s="2" t="s">
        <v>280</v>
      </c>
      <c r="AP23" s="2" t="str">
        <f t="shared" si="14"/>
        <v>DLNR</v>
      </c>
      <c r="AQ23" s="2">
        <v>4</v>
      </c>
      <c r="AR23" s="2">
        <f t="shared" si="10"/>
        <v>4</v>
      </c>
      <c r="AS23" s="2">
        <v>10</v>
      </c>
      <c r="AT23" s="2">
        <f t="shared" si="11"/>
        <v>4</v>
      </c>
      <c r="AU23" s="2">
        <v>0</v>
      </c>
      <c r="AV23" s="3" t="s">
        <v>117</v>
      </c>
      <c r="AW23" s="1"/>
      <c r="AX23" s="1"/>
      <c r="AY23" s="8" t="str">
        <f t="shared" si="20"/>
        <v>10130052</v>
      </c>
    </row>
    <row r="24">
      <c r="A24" s="1">
        <v>23</v>
      </c>
      <c r="B24" s="1"/>
      <c r="C24" s="6" t="s">
        <v>270</v>
      </c>
      <c r="D24" s="6" t="s">
        <v>80</v>
      </c>
      <c r="E24" s="6" t="s">
        <v>271</v>
      </c>
      <c r="F24" s="6" t="s">
        <v>81</v>
      </c>
      <c r="G24" s="6" t="s">
        <v>211</v>
      </c>
      <c r="H24" s="11" t="s">
        <v>0</v>
      </c>
      <c r="I24" s="11" t="s">
        <v>302</v>
      </c>
      <c r="J24" s="3">
        <v>17001109</v>
      </c>
      <c r="K24" s="3" t="s">
        <v>82</v>
      </c>
      <c r="L24" s="13">
        <v>26</v>
      </c>
      <c r="M24" s="5" t="s">
        <v>3</v>
      </c>
      <c r="N24" s="3" t="s">
        <v>139</v>
      </c>
      <c r="O24" s="3" t="s">
        <v>241</v>
      </c>
      <c r="P24" s="3" t="s">
        <v>291</v>
      </c>
      <c r="Q24" s="21" t="str">
        <f t="shared" si="0"/>
        <v>GS000007</v>
      </c>
      <c r="R24" s="3" t="s">
        <v>163</v>
      </c>
      <c r="S24" s="3" t="s">
        <v>210</v>
      </c>
      <c r="T24" s="3"/>
      <c r="U24" s="4" t="str">
        <f t="shared" si="16"/>
        <v>300000103182</v>
      </c>
      <c r="V24" s="2" t="str">
        <f t="shared" si="1"/>
        <v>The asset 300000103182 0 is created</v>
      </c>
      <c r="W24" s="3" t="s">
        <v>165</v>
      </c>
      <c r="X24" s="2" t="str">
        <f t="shared" si="2"/>
        <v>Sprinkler system</v>
      </c>
      <c r="Y24" s="2" t="str">
        <f t="shared" si="3"/>
        <v>Sprinkler system</v>
      </c>
      <c r="Z24" s="17" t="s">
        <v>245</v>
      </c>
      <c r="AA24" s="2" t="s">
        <v>139</v>
      </c>
      <c r="AB24" s="2" t="s">
        <v>144</v>
      </c>
      <c r="AC24" s="2" t="str">
        <f t="shared" si="4"/>
        <v>GS000007</v>
      </c>
      <c r="AD24" s="2" t="str">
        <f t="shared" si="5"/>
        <v>GS000007</v>
      </c>
      <c r="AE24" s="7" t="s">
        <v>15</v>
      </c>
      <c r="AF24" s="7" t="s">
        <v>189</v>
      </c>
      <c r="AG24" s="5">
        <v>3000</v>
      </c>
      <c r="AH24" s="2">
        <v>300096256</v>
      </c>
      <c r="AI24" s="7" t="s">
        <v>189</v>
      </c>
      <c r="AJ24" s="2" t="str">
        <f t="shared" si="6"/>
        <v>Sprinkler system</v>
      </c>
      <c r="AK24" s="2" t="str">
        <f t="shared" si="7"/>
        <v>ZG_EYD003A</v>
      </c>
      <c r="AL24" s="7" t="s">
        <v>30</v>
      </c>
      <c r="AM24" s="2" t="s">
        <v>202</v>
      </c>
      <c r="AN24" s="2" t="str">
        <f t="shared" si="13"/>
        <v>DLNR</v>
      </c>
      <c r="AO24" s="2" t="s">
        <v>202</v>
      </c>
      <c r="AP24" s="2" t="str">
        <f t="shared" si="14"/>
        <v>DLNR</v>
      </c>
      <c r="AQ24" s="2">
        <v>15</v>
      </c>
      <c r="AR24" s="2">
        <f t="shared" si="10"/>
        <v>15</v>
      </c>
      <c r="AS24" s="2">
        <v>15</v>
      </c>
      <c r="AT24" s="2">
        <f t="shared" si="11"/>
        <v>15</v>
      </c>
      <c r="AU24" s="2">
        <v>0</v>
      </c>
      <c r="AV24" s="3" t="s">
        <v>117</v>
      </c>
      <c r="AW24" s="1"/>
      <c r="AX24" s="1"/>
      <c r="AY24" s="8" t="str">
        <f>"A0170011"</f>
        <v>A0170011</v>
      </c>
    </row>
    <row r="25">
      <c r="A25" s="1">
        <v>24</v>
      </c>
      <c r="B25" s="1"/>
      <c r="C25" s="6" t="s">
        <v>270</v>
      </c>
      <c r="D25" s="6" t="s">
        <v>80</v>
      </c>
      <c r="E25" s="6" t="s">
        <v>271</v>
      </c>
      <c r="F25" s="6" t="s">
        <v>81</v>
      </c>
      <c r="G25" s="6" t="s">
        <v>211</v>
      </c>
      <c r="H25" s="11" t="s">
        <v>0</v>
      </c>
      <c r="I25" s="11" t="s">
        <v>302</v>
      </c>
      <c r="J25" s="3">
        <v>17003108</v>
      </c>
      <c r="K25" s="3" t="s">
        <v>82</v>
      </c>
      <c r="L25" s="13">
        <v>26</v>
      </c>
      <c r="M25" s="5" t="s">
        <v>288</v>
      </c>
      <c r="N25" s="3" t="s">
        <v>139</v>
      </c>
      <c r="O25" s="3" t="s">
        <v>306</v>
      </c>
      <c r="P25" s="3" t="s">
        <v>291</v>
      </c>
      <c r="Q25" s="21" t="str">
        <f t="shared" si="0"/>
        <v>GS000007</v>
      </c>
      <c r="R25" s="3" t="s">
        <v>310</v>
      </c>
      <c r="S25" s="3" t="s">
        <v>210</v>
      </c>
      <c r="T25" s="3"/>
      <c r="U25" s="4" t="str">
        <f t="shared" si="16"/>
        <v>300000103182</v>
      </c>
      <c r="V25" s="2" t="str">
        <f t="shared" si="1"/>
        <v>The asset 300000103182 0 is created</v>
      </c>
      <c r="W25" s="3" t="s">
        <v>165</v>
      </c>
      <c r="X25" s="2" t="str">
        <f t="shared" si="2"/>
        <v>Automatic doors</v>
      </c>
      <c r="Y25" s="2" t="str">
        <f t="shared" si="3"/>
        <v>Automatic doors</v>
      </c>
      <c r="Z25" s="17" t="s">
        <v>125</v>
      </c>
      <c r="AA25" s="2" t="s">
        <v>139</v>
      </c>
      <c r="AB25" s="2" t="s">
        <v>144</v>
      </c>
      <c r="AC25" s="2" t="str">
        <f t="shared" si="4"/>
        <v>GS000007</v>
      </c>
      <c r="AD25" s="2" t="str">
        <f t="shared" si="5"/>
        <v>GS000007</v>
      </c>
      <c r="AE25" s="7" t="s">
        <v>99</v>
      </c>
      <c r="AF25" s="7" t="s">
        <v>257</v>
      </c>
      <c r="AG25" s="5">
        <v>3000</v>
      </c>
      <c r="AH25" s="2">
        <v>300096256</v>
      </c>
      <c r="AI25" s="7" t="s">
        <v>257</v>
      </c>
      <c r="AJ25" s="2" t="str">
        <f t="shared" si="6"/>
        <v>Automatic doors</v>
      </c>
      <c r="AK25" s="2" t="str">
        <f t="shared" si="7"/>
        <v>ZG_EKT114A</v>
      </c>
      <c r="AL25" s="7" t="s">
        <v>113</v>
      </c>
      <c r="AM25" s="2" t="s">
        <v>202</v>
      </c>
      <c r="AN25" s="2" t="str">
        <f t="shared" si="13"/>
        <v>DLNR</v>
      </c>
      <c r="AO25" s="2" t="s">
        <v>202</v>
      </c>
      <c r="AP25" s="2" t="str">
        <f t="shared" si="14"/>
        <v>DLNR</v>
      </c>
      <c r="AQ25" s="2">
        <v>15</v>
      </c>
      <c r="AR25" s="2">
        <f t="shared" si="10"/>
        <v>15</v>
      </c>
      <c r="AS25" s="2">
        <v>15</v>
      </c>
      <c r="AT25" s="2">
        <f t="shared" si="11"/>
        <v>15</v>
      </c>
      <c r="AU25" s="2">
        <v>0</v>
      </c>
      <c r="AV25" s="3" t="s">
        <v>117</v>
      </c>
      <c r="AW25" s="1"/>
      <c r="AX25" s="1"/>
      <c r="AY25" s="8" t="str">
        <f>"A0170031"</f>
        <v>A0170031</v>
      </c>
    </row>
    <row r="26">
      <c r="A26" s="1">
        <v>25</v>
      </c>
      <c r="B26" s="1"/>
      <c r="C26" s="6" t="s">
        <v>270</v>
      </c>
      <c r="D26" s="6" t="s">
        <v>80</v>
      </c>
      <c r="E26" s="6" t="s">
        <v>271</v>
      </c>
      <c r="F26" s="6" t="s">
        <v>81</v>
      </c>
      <c r="G26" s="6" t="s">
        <v>211</v>
      </c>
      <c r="H26" s="11" t="s">
        <v>0</v>
      </c>
      <c r="I26" s="11" t="s">
        <v>302</v>
      </c>
      <c r="J26" s="3">
        <v>41002102</v>
      </c>
      <c r="K26" s="3" t="s">
        <v>82</v>
      </c>
      <c r="L26" s="13">
        <v>26</v>
      </c>
      <c r="M26" s="5" t="s">
        <v>288</v>
      </c>
      <c r="N26" s="3" t="s">
        <v>139</v>
      </c>
      <c r="O26" s="3" t="s">
        <v>306</v>
      </c>
      <c r="P26" s="3" t="s">
        <v>291</v>
      </c>
      <c r="Q26" s="21" t="str">
        <f t="shared" si="0"/>
        <v>GS000007</v>
      </c>
      <c r="R26" s="3" t="s">
        <v>310</v>
      </c>
      <c r="S26" s="3" t="s">
        <v>278</v>
      </c>
      <c r="T26" s="3"/>
      <c r="U26" s="4" t="str">
        <f t="shared" si="16"/>
        <v>300000103182</v>
      </c>
      <c r="V26" s="2" t="str">
        <f t="shared" si="1"/>
        <v>The asset 300000103182 0 is created</v>
      </c>
      <c r="W26" s="3" t="s">
        <v>165</v>
      </c>
      <c r="X26" s="2" t="str">
        <f t="shared" si="2"/>
        <v>Automatic doors</v>
      </c>
      <c r="Y26" s="2" t="str">
        <f t="shared" si="3"/>
        <v>Automatic doors</v>
      </c>
      <c r="Z26" s="17" t="s">
        <v>178</v>
      </c>
      <c r="AA26" s="2" t="s">
        <v>139</v>
      </c>
      <c r="AB26" s="2" t="s">
        <v>144</v>
      </c>
      <c r="AC26" s="2" t="str">
        <f t="shared" si="4"/>
        <v>GS000007</v>
      </c>
      <c r="AD26" s="2" t="str">
        <f t="shared" si="5"/>
        <v>GS000007</v>
      </c>
      <c r="AE26" s="7" t="s">
        <v>183</v>
      </c>
      <c r="AF26" s="7" t="s">
        <v>23</v>
      </c>
      <c r="AG26" s="5">
        <v>3000</v>
      </c>
      <c r="AH26" s="2">
        <v>300096256</v>
      </c>
      <c r="AI26" s="7" t="s">
        <v>23</v>
      </c>
      <c r="AJ26" s="2" t="str">
        <f t="shared" si="6"/>
        <v>Automatic doors</v>
      </c>
      <c r="AK26" s="2" t="str">
        <f t="shared" si="7"/>
        <v>ZG_EKT114A</v>
      </c>
      <c r="AL26" s="7" t="s">
        <v>198</v>
      </c>
      <c r="AM26" s="2" t="s">
        <v>202</v>
      </c>
      <c r="AN26" s="2" t="str">
        <f t="shared" si="13"/>
        <v>DLNR</v>
      </c>
      <c r="AO26" s="2" t="s">
        <v>127</v>
      </c>
      <c r="AP26" s="2" t="str">
        <f t="shared" si="14"/>
        <v>DLNR</v>
      </c>
      <c r="AQ26" s="2">
        <v>10</v>
      </c>
      <c r="AR26" s="2">
        <f t="shared" si="10"/>
        <v>10</v>
      </c>
      <c r="AS26" s="2">
        <v>10</v>
      </c>
      <c r="AT26" s="2">
        <f t="shared" si="11"/>
        <v>10</v>
      </c>
      <c r="AU26" s="2">
        <v>0</v>
      </c>
      <c r="AV26" s="3" t="s">
        <v>117</v>
      </c>
      <c r="AW26" s="1"/>
      <c r="AX26" s="1"/>
      <c r="AY26" s="8" t="str">
        <f>"A0170021"</f>
        <v>A0170021</v>
      </c>
    </row>
    <row r="27" ht="15">
      <c r="A27" s="1">
        <v>26</v>
      </c>
      <c r="B27" s="18" t="s">
        <v>156</v>
      </c>
      <c r="C27" s="6" t="s">
        <v>270</v>
      </c>
      <c r="D27" s="6" t="s">
        <v>80</v>
      </c>
      <c r="E27" s="6" t="s">
        <v>271</v>
      </c>
      <c r="F27" s="6" t="s">
        <v>130</v>
      </c>
      <c r="G27" s="6" t="s">
        <v>211</v>
      </c>
      <c r="H27" s="11" t="s">
        <v>0</v>
      </c>
      <c r="I27" s="11" t="s">
        <v>302</v>
      </c>
      <c r="J27" s="3" t="s">
        <v>49</v>
      </c>
      <c r="K27" s="3" t="s">
        <v>82</v>
      </c>
      <c r="L27" s="13">
        <v>309</v>
      </c>
      <c r="M27" s="10" t="s">
        <v>120</v>
      </c>
      <c r="N27" s="3" t="s">
        <v>139</v>
      </c>
      <c r="O27" s="3" t="s">
        <v>216</v>
      </c>
      <c r="P27" s="3" t="s">
        <v>291</v>
      </c>
      <c r="Q27" s="21" t="str">
        <f t="shared" si="0"/>
        <v>GS000007</v>
      </c>
      <c r="R27" s="3" t="s">
        <v>311</v>
      </c>
      <c r="S27" s="3" t="s">
        <v>278</v>
      </c>
      <c r="T27" s="1" t="e">
        <f>[1]Output!A27</f>
        <v>#REF!</v>
      </c>
      <c r="U27" s="16" t="e">
        <f>[1]Output!A27</f>
        <v>#REF!</v>
      </c>
      <c r="V27" s="2" t="e">
        <f t="shared" si="1"/>
        <v>#REF!</v>
      </c>
      <c r="W27" s="3" t="s">
        <v>165</v>
      </c>
      <c r="X27" s="2" t="str">
        <f t="shared" si="2"/>
        <v>Refrigerating unit</v>
      </c>
      <c r="Y27" s="2" t="str">
        <f t="shared" si="3"/>
        <v>Refrigerating unit</v>
      </c>
      <c r="Z27" s="17">
        <v>10130031</v>
      </c>
      <c r="AA27" s="2" t="s">
        <v>139</v>
      </c>
      <c r="AB27" s="2" t="s">
        <v>144</v>
      </c>
      <c r="AC27" s="2" t="str">
        <f t="shared" si="4"/>
        <v>GS000007</v>
      </c>
      <c r="AD27" s="2" t="str">
        <f t="shared" si="5"/>
        <v>GS000007</v>
      </c>
      <c r="AE27" s="7" t="s">
        <v>249</v>
      </c>
      <c r="AF27" s="7" t="s">
        <v>106</v>
      </c>
      <c r="AG27" s="10">
        <v>300096570</v>
      </c>
      <c r="AH27" s="2">
        <v>300096256</v>
      </c>
      <c r="AI27" s="7" t="s">
        <v>106</v>
      </c>
      <c r="AJ27" s="2" t="str">
        <f t="shared" si="6"/>
        <v>Refrigerating unit</v>
      </c>
      <c r="AK27" s="2" t="str">
        <f t="shared" si="7"/>
        <v>ZG_EPS201A</v>
      </c>
      <c r="AL27" s="7" t="s">
        <v>264</v>
      </c>
      <c r="AM27" s="2" t="s">
        <v>61</v>
      </c>
      <c r="AN27" s="2" t="s">
        <v>61</v>
      </c>
      <c r="AO27" s="2" t="s">
        <v>128</v>
      </c>
      <c r="AP27" s="2" t="s">
        <v>61</v>
      </c>
      <c r="AQ27" s="2">
        <v>10</v>
      </c>
      <c r="AR27" s="2">
        <f t="shared" si="10"/>
        <v>10</v>
      </c>
      <c r="AS27" s="2">
        <v>1</v>
      </c>
      <c r="AT27" s="2">
        <f t="shared" si="11"/>
        <v>10</v>
      </c>
      <c r="AU27" s="2">
        <v>0</v>
      </c>
      <c r="AV27" s="3" t="s">
        <v>117</v>
      </c>
      <c r="AW27" s="1" t="s">
        <v>49</v>
      </c>
      <c r="AX27" s="1"/>
      <c r="AY27" s="8" t="str">
        <f t="shared" si="21" ref="AY27:AY29">"10130031"</f>
        <v>10130031</v>
      </c>
    </row>
    <row r="28">
      <c r="A28" s="1">
        <v>27</v>
      </c>
      <c r="B28" s="1"/>
      <c r="C28" s="6" t="s">
        <v>270</v>
      </c>
      <c r="D28" s="6" t="s">
        <v>80</v>
      </c>
      <c r="E28" s="6" t="s">
        <v>271</v>
      </c>
      <c r="F28" s="6" t="s">
        <v>130</v>
      </c>
      <c r="G28" s="6" t="s">
        <v>211</v>
      </c>
      <c r="H28" s="11" t="s">
        <v>0</v>
      </c>
      <c r="I28" s="11" t="s">
        <v>302</v>
      </c>
      <c r="J28" s="3" t="s">
        <v>133</v>
      </c>
      <c r="K28" s="3" t="s">
        <v>82</v>
      </c>
      <c r="L28" s="13">
        <v>26</v>
      </c>
      <c r="M28" s="5" t="s">
        <v>305</v>
      </c>
      <c r="N28" s="3" t="s">
        <v>139</v>
      </c>
      <c r="O28" s="3" t="s">
        <v>230</v>
      </c>
      <c r="P28" s="3" t="s">
        <v>291</v>
      </c>
      <c r="Q28" s="21" t="str">
        <f t="shared" si="0"/>
        <v>GS000007</v>
      </c>
      <c r="R28" s="3" t="s">
        <v>67</v>
      </c>
      <c r="S28" s="3" t="s">
        <v>210</v>
      </c>
      <c r="T28" s="3"/>
      <c r="U28" s="4" t="str">
        <f t="shared" si="22" ref="U28:U38">"300000103182"</f>
        <v>300000103182</v>
      </c>
      <c r="V28" s="2" t="str">
        <f t="shared" si="1"/>
        <v>The asset 300000103182 0 is created</v>
      </c>
      <c r="W28" s="3" t="s">
        <v>165</v>
      </c>
      <c r="X28" s="2" t="str">
        <f t="shared" si="2"/>
        <v>Cutting machines/Sealing maching</v>
      </c>
      <c r="Y28" s="2" t="str">
        <f t="shared" si="3"/>
        <v>Cutting machines/Sealing maching</v>
      </c>
      <c r="Z28" s="17">
        <v>10130031</v>
      </c>
      <c r="AA28" s="2" t="s">
        <v>139</v>
      </c>
      <c r="AB28" s="2" t="s">
        <v>144</v>
      </c>
      <c r="AC28" s="2" t="str">
        <f t="shared" si="4"/>
        <v>GS000007</v>
      </c>
      <c r="AD28" s="2" t="str">
        <f t="shared" si="5"/>
        <v>GS000007</v>
      </c>
      <c r="AE28" s="7" t="s">
        <v>16</v>
      </c>
      <c r="AF28" s="7" t="s">
        <v>190</v>
      </c>
      <c r="AG28" s="5">
        <v>3000</v>
      </c>
      <c r="AH28" s="2">
        <v>300096256</v>
      </c>
      <c r="AI28" s="7" t="s">
        <v>190</v>
      </c>
      <c r="AJ28" s="2" t="str">
        <f t="shared" si="6"/>
        <v>Cutting machines/Sealing maching</v>
      </c>
      <c r="AK28" s="2" t="str">
        <f t="shared" si="7"/>
        <v>ZG_EBM202A</v>
      </c>
      <c r="AL28" s="7" t="s">
        <v>31</v>
      </c>
      <c r="AM28" s="2" t="s">
        <v>202</v>
      </c>
      <c r="AN28" s="2" t="str">
        <f t="shared" si="23" ref="AN28:AN42">AM28</f>
        <v>DLNR</v>
      </c>
      <c r="AO28" s="2" t="s">
        <v>128</v>
      </c>
      <c r="AP28" s="2" t="str">
        <f t="shared" si="24" ref="AP28:AP42">AM28</f>
        <v>DLNR</v>
      </c>
      <c r="AQ28" s="2">
        <v>7</v>
      </c>
      <c r="AR28" s="2">
        <f t="shared" si="10"/>
        <v>7</v>
      </c>
      <c r="AS28" s="2">
        <v>1</v>
      </c>
      <c r="AT28" s="2">
        <f t="shared" si="11"/>
        <v>7</v>
      </c>
      <c r="AU28" s="2">
        <v>0</v>
      </c>
      <c r="AV28" s="3" t="s">
        <v>117</v>
      </c>
      <c r="AW28" s="1" t="s">
        <v>133</v>
      </c>
      <c r="AX28" s="1"/>
      <c r="AY28" s="8" t="str">
        <f t="shared" si="21"/>
        <v>10130031</v>
      </c>
    </row>
    <row r="29">
      <c r="A29" s="1">
        <v>28</v>
      </c>
      <c r="B29" s="1"/>
      <c r="C29" s="6" t="s">
        <v>270</v>
      </c>
      <c r="D29" s="6" t="s">
        <v>80</v>
      </c>
      <c r="E29" s="6" t="s">
        <v>271</v>
      </c>
      <c r="F29" s="6" t="s">
        <v>130</v>
      </c>
      <c r="G29" s="6" t="s">
        <v>211</v>
      </c>
      <c r="H29" s="11" t="s">
        <v>0</v>
      </c>
      <c r="I29" s="11" t="s">
        <v>302</v>
      </c>
      <c r="J29" s="3" t="s">
        <v>226</v>
      </c>
      <c r="K29" s="3" t="s">
        <v>82</v>
      </c>
      <c r="L29" s="13">
        <v>26</v>
      </c>
      <c r="M29" s="5" t="s">
        <v>214</v>
      </c>
      <c r="N29" s="3" t="s">
        <v>139</v>
      </c>
      <c r="O29" s="3" t="s">
        <v>86</v>
      </c>
      <c r="P29" s="3" t="s">
        <v>291</v>
      </c>
      <c r="Q29" s="21" t="str">
        <f t="shared" si="0"/>
        <v>GS000007</v>
      </c>
      <c r="R29" s="3" t="s">
        <v>68</v>
      </c>
      <c r="S29" s="3" t="s">
        <v>93</v>
      </c>
      <c r="T29" s="3"/>
      <c r="U29" s="4" t="str">
        <f t="shared" si="22"/>
        <v>300000103182</v>
      </c>
      <c r="V29" s="2" t="str">
        <f t="shared" si="1"/>
        <v>The asset 300000103182 0 is created</v>
      </c>
      <c r="W29" s="3" t="s">
        <v>165</v>
      </c>
      <c r="X29" s="2" t="str">
        <f t="shared" si="2"/>
        <v>Electric scales</v>
      </c>
      <c r="Y29" s="2" t="str">
        <f t="shared" si="3"/>
        <v>Electric scales</v>
      </c>
      <c r="Z29" s="17">
        <v>10130031</v>
      </c>
      <c r="AA29" s="2" t="s">
        <v>139</v>
      </c>
      <c r="AB29" s="2" t="s">
        <v>144</v>
      </c>
      <c r="AC29" s="2" t="str">
        <f t="shared" si="4"/>
        <v>GS000007</v>
      </c>
      <c r="AD29" s="2" t="str">
        <f t="shared" si="5"/>
        <v>GS000007</v>
      </c>
      <c r="AE29" s="7" t="s">
        <v>100</v>
      </c>
      <c r="AF29" s="7" t="s">
        <v>258</v>
      </c>
      <c r="AG29" s="5">
        <v>3000</v>
      </c>
      <c r="AH29" s="2">
        <v>300096256</v>
      </c>
      <c r="AI29" s="7" t="s">
        <v>258</v>
      </c>
      <c r="AJ29" s="2" t="str">
        <f t="shared" si="6"/>
        <v>Electric scales</v>
      </c>
      <c r="AK29" s="2" t="str">
        <f t="shared" si="7"/>
        <v>ZG_IT220A</v>
      </c>
      <c r="AL29" s="7" t="s">
        <v>114</v>
      </c>
      <c r="AM29" s="2" t="s">
        <v>202</v>
      </c>
      <c r="AN29" s="2" t="str">
        <f t="shared" si="23"/>
        <v>DLNR</v>
      </c>
      <c r="AO29" s="2" t="s">
        <v>128</v>
      </c>
      <c r="AP29" s="2" t="str">
        <f t="shared" si="24"/>
        <v>DLNR</v>
      </c>
      <c r="AQ29" s="2">
        <v>5</v>
      </c>
      <c r="AR29" s="2">
        <f t="shared" si="10"/>
        <v>5</v>
      </c>
      <c r="AS29" s="2">
        <v>1</v>
      </c>
      <c r="AT29" s="2">
        <f t="shared" si="11"/>
        <v>5</v>
      </c>
      <c r="AU29" s="2">
        <v>0</v>
      </c>
      <c r="AV29" s="3" t="s">
        <v>117</v>
      </c>
      <c r="AW29" s="1" t="s">
        <v>226</v>
      </c>
      <c r="AX29" s="1"/>
      <c r="AY29" s="8" t="str">
        <f t="shared" si="21"/>
        <v>10130031</v>
      </c>
    </row>
    <row r="30">
      <c r="A30" s="1">
        <v>29</v>
      </c>
      <c r="B30" s="1"/>
      <c r="C30" s="6" t="s">
        <v>270</v>
      </c>
      <c r="D30" s="6" t="s">
        <v>80</v>
      </c>
      <c r="E30" s="6" t="s">
        <v>271</v>
      </c>
      <c r="F30" s="6" t="s">
        <v>81</v>
      </c>
      <c r="G30" s="6" t="s">
        <v>211</v>
      </c>
      <c r="H30" s="11" t="s">
        <v>0</v>
      </c>
      <c r="I30" s="11" t="s">
        <v>302</v>
      </c>
      <c r="J30" s="3" t="s">
        <v>50</v>
      </c>
      <c r="K30" s="3" t="s">
        <v>82</v>
      </c>
      <c r="L30" s="13">
        <v>26</v>
      </c>
      <c r="M30" s="5" t="s">
        <v>83</v>
      </c>
      <c r="N30" s="3" t="s">
        <v>139</v>
      </c>
      <c r="O30" s="3" t="s">
        <v>140</v>
      </c>
      <c r="P30" s="3" t="s">
        <v>291</v>
      </c>
      <c r="Q30" s="21" t="str">
        <f t="shared" si="0"/>
        <v>GS000007</v>
      </c>
      <c r="R30" s="3" t="s">
        <v>88</v>
      </c>
      <c r="S30" s="3" t="s">
        <v>93</v>
      </c>
      <c r="T30" s="3"/>
      <c r="U30" s="4" t="str">
        <f t="shared" si="22"/>
        <v>300000103182</v>
      </c>
      <c r="V30" s="2" t="str">
        <f t="shared" si="1"/>
        <v>The asset 300000103182 0 is created</v>
      </c>
      <c r="W30" s="3" t="s">
        <v>165</v>
      </c>
      <c r="X30" s="2" t="str">
        <f t="shared" si="2"/>
        <v>Scanners</v>
      </c>
      <c r="Y30" s="2" t="str">
        <f t="shared" si="3"/>
        <v>Scanners</v>
      </c>
      <c r="Z30" s="17" t="s">
        <v>55</v>
      </c>
      <c r="AA30" s="2" t="s">
        <v>139</v>
      </c>
      <c r="AB30" s="2" t="s">
        <v>144</v>
      </c>
      <c r="AC30" s="2" t="str">
        <f t="shared" si="4"/>
        <v>GS000007</v>
      </c>
      <c r="AD30" s="2" t="str">
        <f t="shared" si="5"/>
        <v>GS000007</v>
      </c>
      <c r="AE30" s="7" t="s">
        <v>250</v>
      </c>
      <c r="AF30" s="7" t="s">
        <v>107</v>
      </c>
      <c r="AG30" s="5">
        <v>3000</v>
      </c>
      <c r="AH30" s="2">
        <v>300096256</v>
      </c>
      <c r="AI30" s="7" t="s">
        <v>107</v>
      </c>
      <c r="AJ30" s="2" t="str">
        <f t="shared" si="6"/>
        <v>Scanners</v>
      </c>
      <c r="AK30" s="2" t="str">
        <f t="shared" si="7"/>
        <v>ZG_IT406A</v>
      </c>
      <c r="AL30" s="7" t="s">
        <v>265</v>
      </c>
      <c r="AM30" s="2" t="s">
        <v>202</v>
      </c>
      <c r="AN30" s="2" t="str">
        <f t="shared" si="23"/>
        <v>DLNR</v>
      </c>
      <c r="AO30" s="2" t="s">
        <v>128</v>
      </c>
      <c r="AP30" s="2" t="str">
        <f t="shared" si="24"/>
        <v>DLNR</v>
      </c>
      <c r="AQ30" s="2">
        <v>7</v>
      </c>
      <c r="AR30" s="2">
        <f t="shared" si="10"/>
        <v>7</v>
      </c>
      <c r="AS30" s="2">
        <v>1</v>
      </c>
      <c r="AT30" s="2">
        <f t="shared" si="11"/>
        <v>7</v>
      </c>
      <c r="AU30" s="2">
        <v>0</v>
      </c>
      <c r="AV30" s="3" t="s">
        <v>117</v>
      </c>
      <c r="AW30" s="1"/>
      <c r="AX30" s="1"/>
      <c r="AY30" s="8" t="str">
        <f t="shared" si="25" ref="AY30:AY33">"A0130033"</f>
        <v>A0130033</v>
      </c>
    </row>
    <row r="31">
      <c r="A31" s="1">
        <v>30</v>
      </c>
      <c r="B31" s="1"/>
      <c r="C31" s="6" t="s">
        <v>270</v>
      </c>
      <c r="D31" s="6" t="s">
        <v>80</v>
      </c>
      <c r="E31" s="6" t="s">
        <v>271</v>
      </c>
      <c r="F31" s="6" t="s">
        <v>81</v>
      </c>
      <c r="G31" s="6" t="s">
        <v>211</v>
      </c>
      <c r="H31" s="11" t="s">
        <v>0</v>
      </c>
      <c r="I31" s="11" t="s">
        <v>302</v>
      </c>
      <c r="J31" s="3" t="s">
        <v>157</v>
      </c>
      <c r="K31" s="3" t="s">
        <v>82</v>
      </c>
      <c r="L31" s="13">
        <v>26</v>
      </c>
      <c r="M31" s="5" t="s">
        <v>273</v>
      </c>
      <c r="N31" s="3" t="s">
        <v>139</v>
      </c>
      <c r="O31" s="3" t="s">
        <v>307</v>
      </c>
      <c r="P31" s="3" t="s">
        <v>291</v>
      </c>
      <c r="Q31" s="21" t="str">
        <f t="shared" si="0"/>
        <v>GS000007</v>
      </c>
      <c r="R31" s="3" t="s">
        <v>173</v>
      </c>
      <c r="S31" s="3" t="s">
        <v>210</v>
      </c>
      <c r="T31" s="3"/>
      <c r="U31" s="4" t="str">
        <f t="shared" si="22"/>
        <v>300000103182</v>
      </c>
      <c r="V31" s="2" t="str">
        <f t="shared" si="1"/>
        <v>The asset 300000103182 0 is created</v>
      </c>
      <c r="W31" s="3" t="s">
        <v>165</v>
      </c>
      <c r="X31" s="2" t="str">
        <f t="shared" si="2"/>
        <v>UPS (uninterupted power supply</v>
      </c>
      <c r="Y31" s="2" t="str">
        <f t="shared" si="3"/>
        <v>UPS (uninterupted power supply</v>
      </c>
      <c r="Z31" s="17" t="s">
        <v>55</v>
      </c>
      <c r="AA31" s="2" t="s">
        <v>139</v>
      </c>
      <c r="AB31" s="2" t="s">
        <v>144</v>
      </c>
      <c r="AC31" s="2" t="str">
        <f t="shared" si="4"/>
        <v>GS000007</v>
      </c>
      <c r="AD31" s="2" t="str">
        <f t="shared" si="5"/>
        <v>GS000007</v>
      </c>
      <c r="AE31" s="7" t="s">
        <v>17</v>
      </c>
      <c r="AF31" s="7" t="s">
        <v>191</v>
      </c>
      <c r="AG31" s="5">
        <v>3000</v>
      </c>
      <c r="AH31" s="2">
        <v>300096256</v>
      </c>
      <c r="AI31" s="7" t="s">
        <v>191</v>
      </c>
      <c r="AJ31" s="2" t="str">
        <f t="shared" si="6"/>
        <v>UPS (uninterupted power supply</v>
      </c>
      <c r="AK31" s="2" t="str">
        <f t="shared" si="7"/>
        <v>ZG_EHL407A</v>
      </c>
      <c r="AL31" s="7" t="s">
        <v>32</v>
      </c>
      <c r="AM31" s="2" t="s">
        <v>202</v>
      </c>
      <c r="AN31" s="2" t="str">
        <f t="shared" si="23"/>
        <v>DLNR</v>
      </c>
      <c r="AO31" s="2" t="s">
        <v>128</v>
      </c>
      <c r="AP31" s="2" t="str">
        <f t="shared" si="24"/>
        <v>DLNR</v>
      </c>
      <c r="AQ31" s="2">
        <v>5</v>
      </c>
      <c r="AR31" s="2">
        <f t="shared" si="10"/>
        <v>5</v>
      </c>
      <c r="AS31" s="2">
        <v>1</v>
      </c>
      <c r="AT31" s="2">
        <f t="shared" si="11"/>
        <v>5</v>
      </c>
      <c r="AU31" s="2">
        <v>0</v>
      </c>
      <c r="AV31" s="3" t="s">
        <v>117</v>
      </c>
      <c r="AW31" s="1"/>
      <c r="AX31" s="1"/>
      <c r="AY31" s="8" t="str">
        <f t="shared" si="25"/>
        <v>A0130033</v>
      </c>
    </row>
    <row r="32">
      <c r="A32" s="1">
        <v>31</v>
      </c>
      <c r="B32" s="1"/>
      <c r="C32" s="6" t="s">
        <v>270</v>
      </c>
      <c r="D32" s="6" t="s">
        <v>80</v>
      </c>
      <c r="E32" s="6" t="s">
        <v>271</v>
      </c>
      <c r="F32" s="6" t="s">
        <v>81</v>
      </c>
      <c r="G32" s="6" t="s">
        <v>211</v>
      </c>
      <c r="H32" s="11" t="s">
        <v>0</v>
      </c>
      <c r="I32" s="11" t="s">
        <v>302</v>
      </c>
      <c r="J32" s="3" t="s">
        <v>227</v>
      </c>
      <c r="K32" s="3" t="s">
        <v>82</v>
      </c>
      <c r="L32" s="13">
        <v>26</v>
      </c>
      <c r="M32" s="5" t="s">
        <v>52</v>
      </c>
      <c r="N32" s="3" t="s">
        <v>139</v>
      </c>
      <c r="O32" s="3" t="s">
        <v>39</v>
      </c>
      <c r="P32" s="3" t="s">
        <v>291</v>
      </c>
      <c r="Q32" s="21" t="str">
        <f t="shared" si="0"/>
        <v>GS000007</v>
      </c>
      <c r="R32" s="3" t="s">
        <v>315</v>
      </c>
      <c r="S32" s="3" t="s">
        <v>93</v>
      </c>
      <c r="T32" s="3"/>
      <c r="U32" s="4" t="str">
        <f t="shared" si="22"/>
        <v>300000103182</v>
      </c>
      <c r="V32" s="2" t="str">
        <f t="shared" si="1"/>
        <v>The asset 300000103182 0 is created</v>
      </c>
      <c r="W32" s="3" t="s">
        <v>165</v>
      </c>
      <c r="X32" s="2" t="str">
        <f t="shared" si="2"/>
        <v>Scanner</v>
      </c>
      <c r="Y32" s="2" t="str">
        <f t="shared" si="3"/>
        <v>Scanner</v>
      </c>
      <c r="Z32" s="17" t="s">
        <v>55</v>
      </c>
      <c r="AA32" s="2" t="s">
        <v>139</v>
      </c>
      <c r="AB32" s="2" t="s">
        <v>144</v>
      </c>
      <c r="AC32" s="2" t="str">
        <f t="shared" si="4"/>
        <v>GS000007</v>
      </c>
      <c r="AD32" s="2" t="str">
        <f t="shared" si="5"/>
        <v>GS000007</v>
      </c>
      <c r="AE32" s="7" t="s">
        <v>101</v>
      </c>
      <c r="AF32" s="7" t="s">
        <v>259</v>
      </c>
      <c r="AG32" s="5">
        <v>3000</v>
      </c>
      <c r="AH32" s="2">
        <v>300096256</v>
      </c>
      <c r="AI32" s="7" t="s">
        <v>259</v>
      </c>
      <c r="AJ32" s="2" t="str">
        <f t="shared" si="6"/>
        <v>Scanner</v>
      </c>
      <c r="AK32" s="2" t="str">
        <f t="shared" si="7"/>
        <v>ZG_IT230A</v>
      </c>
      <c r="AL32" s="7" t="s">
        <v>115</v>
      </c>
      <c r="AM32" s="2" t="s">
        <v>202</v>
      </c>
      <c r="AN32" s="2" t="str">
        <f t="shared" si="23"/>
        <v>DLNR</v>
      </c>
      <c r="AO32" s="2" t="s">
        <v>128</v>
      </c>
      <c r="AP32" s="2" t="str">
        <f t="shared" si="24"/>
        <v>DLNR</v>
      </c>
      <c r="AQ32" s="2">
        <v>3</v>
      </c>
      <c r="AR32" s="2">
        <f t="shared" si="10"/>
        <v>3</v>
      </c>
      <c r="AS32" s="2">
        <v>1</v>
      </c>
      <c r="AT32" s="2">
        <f t="shared" si="11"/>
        <v>3</v>
      </c>
      <c r="AU32" s="2">
        <v>0</v>
      </c>
      <c r="AV32" s="3" t="s">
        <v>117</v>
      </c>
      <c r="AW32" s="1"/>
      <c r="AX32" s="1"/>
      <c r="AY32" s="8" t="str">
        <f t="shared" si="25"/>
        <v>A0130033</v>
      </c>
    </row>
    <row r="33">
      <c r="A33" s="1">
        <v>32</v>
      </c>
      <c r="B33" s="1"/>
      <c r="C33" s="6" t="s">
        <v>270</v>
      </c>
      <c r="D33" s="6" t="s">
        <v>80</v>
      </c>
      <c r="E33" s="6" t="s">
        <v>271</v>
      </c>
      <c r="F33" s="6" t="s">
        <v>81</v>
      </c>
      <c r="G33" s="6" t="s">
        <v>211</v>
      </c>
      <c r="H33" s="11" t="s">
        <v>0</v>
      </c>
      <c r="I33" s="11" t="s">
        <v>302</v>
      </c>
      <c r="J33" s="3" t="s">
        <v>304</v>
      </c>
      <c r="K33" s="3" t="s">
        <v>82</v>
      </c>
      <c r="L33" s="13">
        <v>26</v>
      </c>
      <c r="M33" s="5" t="s">
        <v>121</v>
      </c>
      <c r="N33" s="3" t="s">
        <v>139</v>
      </c>
      <c r="O33" s="3" t="s">
        <v>308</v>
      </c>
      <c r="P33" s="3" t="s">
        <v>291</v>
      </c>
      <c r="Q33" s="21" t="str">
        <f t="shared" si="0"/>
        <v>GS000007</v>
      </c>
      <c r="R33" s="3" t="s">
        <v>69</v>
      </c>
      <c r="S33" s="3" t="s">
        <v>93</v>
      </c>
      <c r="T33" s="3"/>
      <c r="U33" s="4" t="str">
        <f t="shared" si="22"/>
        <v>300000103182</v>
      </c>
      <c r="V33" s="2" t="str">
        <f t="shared" si="1"/>
        <v>The asset 300000103182 0 is created</v>
      </c>
      <c r="W33" s="3" t="s">
        <v>165</v>
      </c>
      <c r="X33" s="2" t="str">
        <f t="shared" si="2"/>
        <v>Mainframe</v>
      </c>
      <c r="Y33" s="2" t="str">
        <f t="shared" si="3"/>
        <v>Mainframe</v>
      </c>
      <c r="Z33" s="17" t="s">
        <v>55</v>
      </c>
      <c r="AA33" s="2" t="s">
        <v>139</v>
      </c>
      <c r="AB33" s="2" t="s">
        <v>144</v>
      </c>
      <c r="AC33" s="2" t="str">
        <f t="shared" si="4"/>
        <v>GS000007</v>
      </c>
      <c r="AD33" s="2" t="str">
        <f t="shared" si="5"/>
        <v>GS000007</v>
      </c>
      <c r="AE33" s="7" t="s">
        <v>184</v>
      </c>
      <c r="AF33" s="7" t="s">
        <v>24</v>
      </c>
      <c r="AG33" s="5">
        <v>3000</v>
      </c>
      <c r="AH33" s="2">
        <v>300096256</v>
      </c>
      <c r="AI33" s="7" t="s">
        <v>24</v>
      </c>
      <c r="AJ33" s="2" t="str">
        <f t="shared" si="6"/>
        <v>Mainframe</v>
      </c>
      <c r="AK33" s="2" t="str">
        <f t="shared" si="7"/>
        <v>ZG_IT402A</v>
      </c>
      <c r="AL33" s="7" t="s">
        <v>199</v>
      </c>
      <c r="AM33" s="2" t="s">
        <v>202</v>
      </c>
      <c r="AN33" s="2" t="str">
        <f t="shared" si="23"/>
        <v>DLNR</v>
      </c>
      <c r="AO33" s="2" t="s">
        <v>128</v>
      </c>
      <c r="AP33" s="2" t="str">
        <f t="shared" si="24"/>
        <v>DLNR</v>
      </c>
      <c r="AQ33" s="2">
        <v>2</v>
      </c>
      <c r="AR33" s="2">
        <f t="shared" si="10"/>
        <v>2</v>
      </c>
      <c r="AS33" s="2">
        <v>1</v>
      </c>
      <c r="AT33" s="2">
        <f t="shared" si="11"/>
        <v>2</v>
      </c>
      <c r="AU33" s="2">
        <v>0</v>
      </c>
      <c r="AV33" s="3" t="s">
        <v>117</v>
      </c>
      <c r="AW33" s="1"/>
      <c r="AX33" s="1"/>
      <c r="AY33" s="8" t="str">
        <f t="shared" si="25"/>
        <v>A0130033</v>
      </c>
    </row>
    <row r="34">
      <c r="A34" s="1">
        <v>33</v>
      </c>
      <c r="B34" s="1"/>
      <c r="C34" s="6" t="s">
        <v>270</v>
      </c>
      <c r="D34" s="6" t="s">
        <v>80</v>
      </c>
      <c r="E34" s="6" t="s">
        <v>271</v>
      </c>
      <c r="F34" s="6" t="s">
        <v>81</v>
      </c>
      <c r="G34" s="6" t="s">
        <v>211</v>
      </c>
      <c r="H34" s="11" t="s">
        <v>0</v>
      </c>
      <c r="I34" s="11" t="s">
        <v>302</v>
      </c>
      <c r="J34" s="3" t="s">
        <v>134</v>
      </c>
      <c r="K34" s="3" t="s">
        <v>82</v>
      </c>
      <c r="L34" s="13">
        <v>26</v>
      </c>
      <c r="M34" s="5" t="s">
        <v>38</v>
      </c>
      <c r="N34" s="3" t="s">
        <v>139</v>
      </c>
      <c r="O34" s="3" t="s">
        <v>277</v>
      </c>
      <c r="P34" s="3" t="s">
        <v>291</v>
      </c>
      <c r="Q34" s="21" t="str">
        <f t="shared" si="0"/>
        <v>GS000007</v>
      </c>
      <c r="R34" s="3" t="s">
        <v>89</v>
      </c>
      <c r="S34" s="3" t="s">
        <v>93</v>
      </c>
      <c r="T34" s="3"/>
      <c r="U34" s="4" t="str">
        <f t="shared" si="22"/>
        <v>300000103182</v>
      </c>
      <c r="V34" s="2" t="str">
        <f t="shared" si="1"/>
        <v>The asset 300000103182 0 is created</v>
      </c>
      <c r="W34" s="3" t="s">
        <v>165</v>
      </c>
      <c r="X34" s="2" t="str">
        <f t="shared" si="2"/>
        <v>PBX Switchboard - stores</v>
      </c>
      <c r="Y34" s="2" t="str">
        <f t="shared" si="3"/>
        <v>PBX Switchboard - stores</v>
      </c>
      <c r="Z34" s="17">
        <v>10130034</v>
      </c>
      <c r="AA34" s="2" t="s">
        <v>139</v>
      </c>
      <c r="AB34" s="2" t="s">
        <v>144</v>
      </c>
      <c r="AC34" s="2" t="str">
        <f t="shared" si="4"/>
        <v>GS000007</v>
      </c>
      <c r="AD34" s="2" t="str">
        <f t="shared" si="5"/>
        <v>GS000007</v>
      </c>
      <c r="AE34" s="7" t="s">
        <v>251</v>
      </c>
      <c r="AF34" s="7" t="s">
        <v>108</v>
      </c>
      <c r="AG34" s="5">
        <v>3000</v>
      </c>
      <c r="AH34" s="2">
        <v>300096256</v>
      </c>
      <c r="AI34" s="7" t="s">
        <v>108</v>
      </c>
      <c r="AJ34" s="2" t="str">
        <f t="shared" si="6"/>
        <v>PBX Switchboard - stores</v>
      </c>
      <c r="AK34" s="2" t="str">
        <f t="shared" si="7"/>
        <v>ZG_IT417A</v>
      </c>
      <c r="AL34" s="7" t="s">
        <v>266</v>
      </c>
      <c r="AM34" s="2" t="s">
        <v>202</v>
      </c>
      <c r="AN34" s="2" t="str">
        <f t="shared" si="23"/>
        <v>DLNR</v>
      </c>
      <c r="AO34" s="2" t="s">
        <v>128</v>
      </c>
      <c r="AP34" s="2" t="str">
        <f t="shared" si="24"/>
        <v>DLNR</v>
      </c>
      <c r="AQ34" s="2">
        <v>5</v>
      </c>
      <c r="AR34" s="2">
        <f t="shared" si="10"/>
        <v>5</v>
      </c>
      <c r="AS34" s="2">
        <v>1</v>
      </c>
      <c r="AT34" s="2">
        <f t="shared" si="11"/>
        <v>5</v>
      </c>
      <c r="AU34" s="2">
        <v>0</v>
      </c>
      <c r="AV34" s="3" t="s">
        <v>117</v>
      </c>
      <c r="AW34" s="1"/>
      <c r="AX34" s="1"/>
      <c r="AY34" s="8" t="str">
        <f>"10130034"</f>
        <v>10130034</v>
      </c>
    </row>
    <row r="35">
      <c r="A35" s="1">
        <v>34</v>
      </c>
      <c r="B35" s="1"/>
      <c r="C35" s="6" t="s">
        <v>270</v>
      </c>
      <c r="D35" s="6" t="s">
        <v>80</v>
      </c>
      <c r="E35" s="6" t="s">
        <v>271</v>
      </c>
      <c r="F35" s="6" t="s">
        <v>81</v>
      </c>
      <c r="G35" s="6" t="s">
        <v>211</v>
      </c>
      <c r="H35" s="11" t="s">
        <v>0</v>
      </c>
      <c r="I35" s="11" t="s">
        <v>302</v>
      </c>
      <c r="J35" s="3" t="s">
        <v>287</v>
      </c>
      <c r="K35" s="3" t="s">
        <v>82</v>
      </c>
      <c r="L35" s="13">
        <v>26</v>
      </c>
      <c r="M35" s="5" t="s">
        <v>160</v>
      </c>
      <c r="N35" s="3" t="s">
        <v>139</v>
      </c>
      <c r="O35" s="3" t="s">
        <v>161</v>
      </c>
      <c r="P35" s="3" t="s">
        <v>291</v>
      </c>
      <c r="Q35" s="21" t="str">
        <f t="shared" si="0"/>
        <v>GS000007</v>
      </c>
      <c r="R35" s="3" t="s">
        <v>174</v>
      </c>
      <c r="S35" s="3" t="s">
        <v>210</v>
      </c>
      <c r="T35" s="3"/>
      <c r="U35" s="4" t="str">
        <f t="shared" si="22"/>
        <v>300000103182</v>
      </c>
      <c r="V35" s="2" t="str">
        <f t="shared" si="1"/>
        <v>The asset 300000103182 0 is created</v>
      </c>
      <c r="W35" s="3" t="s">
        <v>165</v>
      </c>
      <c r="X35" s="2" t="str">
        <f t="shared" si="2"/>
        <v>Money box</v>
      </c>
      <c r="Y35" s="2" t="str">
        <f t="shared" si="3"/>
        <v>Money box</v>
      </c>
      <c r="Z35" s="17" t="s">
        <v>217</v>
      </c>
      <c r="AA35" s="2" t="s">
        <v>139</v>
      </c>
      <c r="AB35" s="2" t="s">
        <v>144</v>
      </c>
      <c r="AC35" s="2" t="str">
        <f t="shared" si="4"/>
        <v>GS000007</v>
      </c>
      <c r="AD35" s="2" t="str">
        <f t="shared" si="5"/>
        <v>GS000007</v>
      </c>
      <c r="AE35" s="7" t="s">
        <v>18</v>
      </c>
      <c r="AF35" s="7" t="s">
        <v>192</v>
      </c>
      <c r="AG35" s="5">
        <v>3000</v>
      </c>
      <c r="AH35" s="2">
        <v>300096256</v>
      </c>
      <c r="AI35" s="7" t="s">
        <v>192</v>
      </c>
      <c r="AJ35" s="2" t="str">
        <f t="shared" si="6"/>
        <v>Money box</v>
      </c>
      <c r="AK35" s="2" t="str">
        <f t="shared" si="7"/>
        <v>ZG_EAS454A</v>
      </c>
      <c r="AL35" s="7" t="s">
        <v>33</v>
      </c>
      <c r="AM35" s="2" t="s">
        <v>202</v>
      </c>
      <c r="AN35" s="2" t="str">
        <f t="shared" si="23"/>
        <v>DLNR</v>
      </c>
      <c r="AO35" s="2" t="s">
        <v>128</v>
      </c>
      <c r="AP35" s="2" t="str">
        <f t="shared" si="24"/>
        <v>DLNR</v>
      </c>
      <c r="AQ35" s="2">
        <v>10</v>
      </c>
      <c r="AR35" s="2">
        <f t="shared" si="10"/>
        <v>10</v>
      </c>
      <c r="AS35" s="2">
        <v>1</v>
      </c>
      <c r="AT35" s="2">
        <f t="shared" si="11"/>
        <v>10</v>
      </c>
      <c r="AU35" s="2">
        <v>0</v>
      </c>
      <c r="AV35" s="3" t="s">
        <v>117</v>
      </c>
      <c r="AW35" s="1"/>
      <c r="AX35" s="1"/>
      <c r="AY35" s="8" t="str">
        <f t="shared" si="26" ref="AY35:AY38">"A0130035"</f>
        <v>A0130035</v>
      </c>
    </row>
    <row r="36">
      <c r="A36" s="1">
        <v>35</v>
      </c>
      <c r="B36" s="1"/>
      <c r="C36" s="6" t="s">
        <v>270</v>
      </c>
      <c r="D36" s="6" t="s">
        <v>80</v>
      </c>
      <c r="E36" s="6" t="s">
        <v>271</v>
      </c>
      <c r="F36" s="6" t="s">
        <v>81</v>
      </c>
      <c r="G36" s="6" t="s">
        <v>211</v>
      </c>
      <c r="H36" s="11" t="s">
        <v>0</v>
      </c>
      <c r="I36" s="11" t="s">
        <v>302</v>
      </c>
      <c r="J36" s="3" t="s">
        <v>51</v>
      </c>
      <c r="K36" s="3" t="s">
        <v>82</v>
      </c>
      <c r="L36" s="13">
        <v>26</v>
      </c>
      <c r="M36" s="5" t="s">
        <v>229</v>
      </c>
      <c r="N36" s="3" t="s">
        <v>139</v>
      </c>
      <c r="O36" s="3" t="s">
        <v>309</v>
      </c>
      <c r="P36" s="3" t="s">
        <v>291</v>
      </c>
      <c r="Q36" s="21" t="str">
        <f t="shared" si="0"/>
        <v>GS000007</v>
      </c>
      <c r="R36" s="3" t="s">
        <v>9</v>
      </c>
      <c r="S36" s="3" t="s">
        <v>210</v>
      </c>
      <c r="T36" s="3"/>
      <c r="U36" s="4" t="str">
        <f t="shared" si="22"/>
        <v>300000103182</v>
      </c>
      <c r="V36" s="2" t="str">
        <f t="shared" si="1"/>
        <v>The asset 300000103182 0 is created</v>
      </c>
      <c r="W36" s="3" t="s">
        <v>165</v>
      </c>
      <c r="X36" s="2" t="str">
        <f t="shared" si="2"/>
        <v>Security System</v>
      </c>
      <c r="Y36" s="2" t="str">
        <f t="shared" si="3"/>
        <v>Security System</v>
      </c>
      <c r="Z36" s="17" t="s">
        <v>217</v>
      </c>
      <c r="AA36" s="2" t="s">
        <v>139</v>
      </c>
      <c r="AB36" s="2" t="s">
        <v>144</v>
      </c>
      <c r="AC36" s="2" t="str">
        <f t="shared" si="4"/>
        <v>GS000007</v>
      </c>
      <c r="AD36" s="2" t="str">
        <f t="shared" si="5"/>
        <v>GS000007</v>
      </c>
      <c r="AE36" s="7" t="s">
        <v>102</v>
      </c>
      <c r="AF36" s="7" t="s">
        <v>260</v>
      </c>
      <c r="AG36" s="5">
        <v>3000</v>
      </c>
      <c r="AH36" s="2">
        <v>300096256</v>
      </c>
      <c r="AI36" s="7" t="s">
        <v>260</v>
      </c>
      <c r="AJ36" s="2" t="str">
        <f t="shared" si="6"/>
        <v>Security System</v>
      </c>
      <c r="AK36" s="2" t="str">
        <f t="shared" si="7"/>
        <v>ZG_EEL445A</v>
      </c>
      <c r="AL36" s="7" t="s">
        <v>116</v>
      </c>
      <c r="AM36" s="2" t="s">
        <v>202</v>
      </c>
      <c r="AN36" s="2" t="str">
        <f t="shared" si="23"/>
        <v>DLNR</v>
      </c>
      <c r="AO36" s="2" t="s">
        <v>128</v>
      </c>
      <c r="AP36" s="2" t="str">
        <f t="shared" si="24"/>
        <v>DLNR</v>
      </c>
      <c r="AQ36" s="2">
        <v>7</v>
      </c>
      <c r="AR36" s="2">
        <f t="shared" si="10"/>
        <v>7</v>
      </c>
      <c r="AS36" s="2">
        <v>1</v>
      </c>
      <c r="AT36" s="2">
        <f t="shared" si="11"/>
        <v>7</v>
      </c>
      <c r="AU36" s="2">
        <v>0</v>
      </c>
      <c r="AV36" s="3" t="s">
        <v>117</v>
      </c>
      <c r="AW36" s="1"/>
      <c r="AX36" s="1"/>
      <c r="AY36" s="8" t="str">
        <f t="shared" si="26"/>
        <v>A0130035</v>
      </c>
    </row>
    <row r="37">
      <c r="A37" s="1">
        <v>36</v>
      </c>
      <c r="B37" s="1"/>
      <c r="C37" s="6" t="s">
        <v>270</v>
      </c>
      <c r="D37" s="6" t="s">
        <v>80</v>
      </c>
      <c r="E37" s="6" t="s">
        <v>271</v>
      </c>
      <c r="F37" s="6" t="s">
        <v>81</v>
      </c>
      <c r="G37" s="6" t="s">
        <v>211</v>
      </c>
      <c r="H37" s="11" t="s">
        <v>0</v>
      </c>
      <c r="I37" s="11" t="s">
        <v>302</v>
      </c>
      <c r="J37" s="3" t="s">
        <v>158</v>
      </c>
      <c r="K37" s="3" t="s">
        <v>82</v>
      </c>
      <c r="L37" s="13">
        <v>26</v>
      </c>
      <c r="M37" s="5" t="s">
        <v>275</v>
      </c>
      <c r="N37" s="3" t="s">
        <v>139</v>
      </c>
      <c r="O37" s="3" t="s">
        <v>208</v>
      </c>
      <c r="P37" s="3" t="s">
        <v>291</v>
      </c>
      <c r="Q37" s="21" t="str">
        <f t="shared" si="0"/>
        <v>GS000007</v>
      </c>
      <c r="R37" s="3" t="s">
        <v>90</v>
      </c>
      <c r="S37" s="3" t="s">
        <v>210</v>
      </c>
      <c r="T37" s="3"/>
      <c r="U37" s="4" t="str">
        <f t="shared" si="22"/>
        <v>300000103182</v>
      </c>
      <c r="V37" s="2" t="str">
        <f t="shared" si="1"/>
        <v>The asset 300000103182 0 is created</v>
      </c>
      <c r="W37" s="3" t="s">
        <v>165</v>
      </c>
      <c r="X37" s="2" t="str">
        <f t="shared" si="2"/>
        <v>Tournique</v>
      </c>
      <c r="Y37" s="2" t="str">
        <f t="shared" si="3"/>
        <v>Tournique</v>
      </c>
      <c r="Z37" s="17" t="s">
        <v>217</v>
      </c>
      <c r="AA37" s="2" t="s">
        <v>139</v>
      </c>
      <c r="AB37" s="2" t="s">
        <v>144</v>
      </c>
      <c r="AC37" s="2" t="str">
        <f t="shared" si="4"/>
        <v>GS000007</v>
      </c>
      <c r="AD37" s="2" t="str">
        <f t="shared" si="5"/>
        <v>GS000007</v>
      </c>
      <c r="AE37" s="7" t="s">
        <v>185</v>
      </c>
      <c r="AF37" s="7" t="s">
        <v>25</v>
      </c>
      <c r="AG37" s="5">
        <v>3000</v>
      </c>
      <c r="AH37" s="2">
        <v>300096256</v>
      </c>
      <c r="AI37" s="7" t="s">
        <v>25</v>
      </c>
      <c r="AJ37" s="2" t="str">
        <f t="shared" si="6"/>
        <v>Tournique</v>
      </c>
      <c r="AK37" s="2" t="str">
        <f t="shared" si="7"/>
        <v>ZG_EBM464A</v>
      </c>
      <c r="AL37" s="7" t="s">
        <v>200</v>
      </c>
      <c r="AM37" s="2" t="s">
        <v>202</v>
      </c>
      <c r="AN37" s="2" t="str">
        <f t="shared" si="23"/>
        <v>DLNR</v>
      </c>
      <c r="AO37" s="2" t="s">
        <v>128</v>
      </c>
      <c r="AP37" s="2" t="str">
        <f t="shared" si="24"/>
        <v>DLNR</v>
      </c>
      <c r="AQ37" s="2">
        <v>5</v>
      </c>
      <c r="AR37" s="2">
        <f t="shared" si="10"/>
        <v>5</v>
      </c>
      <c r="AS37" s="2">
        <v>1</v>
      </c>
      <c r="AT37" s="2">
        <f t="shared" si="11"/>
        <v>5</v>
      </c>
      <c r="AU37" s="2">
        <v>0</v>
      </c>
      <c r="AV37" s="3" t="s">
        <v>117</v>
      </c>
      <c r="AW37" s="1"/>
      <c r="AX37" s="1"/>
      <c r="AY37" s="8" t="str">
        <f t="shared" si="26"/>
        <v>A0130035</v>
      </c>
    </row>
    <row r="38">
      <c r="A38" s="1">
        <v>37</v>
      </c>
      <c r="B38" s="1"/>
      <c r="C38" s="6" t="s">
        <v>270</v>
      </c>
      <c r="D38" s="6" t="s">
        <v>80</v>
      </c>
      <c r="E38" s="6" t="s">
        <v>271</v>
      </c>
      <c r="F38" s="6" t="s">
        <v>81</v>
      </c>
      <c r="G38" s="6" t="s">
        <v>211</v>
      </c>
      <c r="H38" s="11" t="s">
        <v>0</v>
      </c>
      <c r="I38" s="11" t="s">
        <v>302</v>
      </c>
      <c r="J38" s="3" t="s">
        <v>228</v>
      </c>
      <c r="K38" s="3" t="s">
        <v>82</v>
      </c>
      <c r="L38" s="13">
        <v>26</v>
      </c>
      <c r="M38" s="5" t="s">
        <v>84</v>
      </c>
      <c r="N38" s="3" t="s">
        <v>139</v>
      </c>
      <c r="O38" s="3" t="s">
        <v>162</v>
      </c>
      <c r="P38" s="3" t="s">
        <v>291</v>
      </c>
      <c r="Q38" s="21" t="str">
        <f t="shared" si="0"/>
        <v>GS000007</v>
      </c>
      <c r="R38" s="3" t="s">
        <v>175</v>
      </c>
      <c r="S38" s="3" t="s">
        <v>210</v>
      </c>
      <c r="T38" s="3"/>
      <c r="U38" s="4" t="str">
        <f t="shared" si="22"/>
        <v>300000103182</v>
      </c>
      <c r="V38" s="2" t="str">
        <f t="shared" si="1"/>
        <v>The asset 300000103182 0 is created</v>
      </c>
      <c r="W38" s="3" t="s">
        <v>165</v>
      </c>
      <c r="X38" s="2" t="str">
        <f t="shared" si="2"/>
        <v>Infrared scanner - counterfeit</v>
      </c>
      <c r="Y38" s="2" t="str">
        <f t="shared" si="3"/>
        <v>Infrared scanner - counterfeit</v>
      </c>
      <c r="Z38" s="17" t="s">
        <v>217</v>
      </c>
      <c r="AA38" s="2" t="s">
        <v>139</v>
      </c>
      <c r="AB38" s="2" t="s">
        <v>144</v>
      </c>
      <c r="AC38" s="2" t="str">
        <f t="shared" si="4"/>
        <v>GS000007</v>
      </c>
      <c r="AD38" s="2" t="str">
        <f t="shared" si="5"/>
        <v>GS000007</v>
      </c>
      <c r="AE38" s="7" t="s">
        <v>252</v>
      </c>
      <c r="AF38" s="7" t="s">
        <v>109</v>
      </c>
      <c r="AG38" s="5">
        <v>3000</v>
      </c>
      <c r="AH38" s="2">
        <v>300096256</v>
      </c>
      <c r="AI38" s="7" t="s">
        <v>109</v>
      </c>
      <c r="AJ38" s="2" t="str">
        <f t="shared" si="6"/>
        <v>Infrared scanner - counterfeit</v>
      </c>
      <c r="AK38" s="2" t="str">
        <f t="shared" si="7"/>
        <v>ZG_EBM436A</v>
      </c>
      <c r="AL38" s="7" t="s">
        <v>267</v>
      </c>
      <c r="AM38" s="2" t="s">
        <v>202</v>
      </c>
      <c r="AN38" s="2" t="str">
        <f t="shared" si="23"/>
        <v>DLNR</v>
      </c>
      <c r="AO38" s="2" t="s">
        <v>128</v>
      </c>
      <c r="AP38" s="2" t="str">
        <f t="shared" si="24"/>
        <v>DLNR</v>
      </c>
      <c r="AQ38" s="2" t="s">
        <v>269</v>
      </c>
      <c r="AR38" s="2" t="str">
        <f t="shared" si="10"/>
        <v>10</v>
      </c>
      <c r="AS38" s="2">
        <v>1</v>
      </c>
      <c r="AT38" s="2" t="str">
        <f t="shared" si="11"/>
        <v>10</v>
      </c>
      <c r="AU38" s="2">
        <v>0</v>
      </c>
      <c r="AV38" s="3" t="s">
        <v>117</v>
      </c>
      <c r="AW38" s="1"/>
      <c r="AX38" s="1"/>
      <c r="AY38" s="8" t="str">
        <f t="shared" si="26"/>
        <v>A0130035</v>
      </c>
    </row>
    <row r="39">
      <c r="A39" s="1">
        <v>38</v>
      </c>
      <c r="B39" s="1"/>
      <c r="C39" s="6" t="s">
        <v>270</v>
      </c>
      <c r="D39" s="6" t="s">
        <v>80</v>
      </c>
      <c r="E39" s="6" t="s">
        <v>271</v>
      </c>
      <c r="F39" s="6" t="s">
        <v>81</v>
      </c>
      <c r="G39" s="6" t="s">
        <v>211</v>
      </c>
      <c r="H39" s="11" t="s">
        <v>0</v>
      </c>
      <c r="I39" s="11" t="s">
        <v>302</v>
      </c>
      <c r="J39" s="3">
        <v>1101100</v>
      </c>
      <c r="K39" s="3" t="s">
        <v>82</v>
      </c>
      <c r="L39" s="13">
        <v>109</v>
      </c>
      <c r="M39" s="5" t="s">
        <v>3</v>
      </c>
      <c r="N39" s="3" t="s">
        <v>139</v>
      </c>
      <c r="O39" s="3" t="s">
        <v>241</v>
      </c>
      <c r="P39" s="3" t="s">
        <v>291</v>
      </c>
      <c r="Q39" s="21" t="str">
        <f t="shared" si="0"/>
        <v>GS000007</v>
      </c>
      <c r="R39" s="3" t="s">
        <v>164</v>
      </c>
      <c r="S39" s="3"/>
      <c r="T39" s="23" t="e">
        <f>[1]Output!A39</f>
        <v>#REF!</v>
      </c>
      <c r="U39" s="4" t="e">
        <f>[1]Output!A39</f>
        <v>#REF!</v>
      </c>
      <c r="V39" s="2" t="e">
        <f t="shared" si="1"/>
        <v>#REF!</v>
      </c>
      <c r="W39" s="3" t="s">
        <v>165</v>
      </c>
      <c r="X39" s="2" t="str">
        <f t="shared" si="2"/>
        <v>Sprinkler system</v>
      </c>
      <c r="Y39" s="2" t="str">
        <f t="shared" si="3"/>
        <v>Sprinkler system</v>
      </c>
      <c r="Z39" s="17" t="s">
        <v>143</v>
      </c>
      <c r="AA39" s="2" t="s">
        <v>139</v>
      </c>
      <c r="AB39" s="2" t="s">
        <v>144</v>
      </c>
      <c r="AC39" s="2" t="str">
        <f t="shared" si="4"/>
        <v>GS000007</v>
      </c>
      <c r="AD39" s="2" t="str">
        <f t="shared" si="5"/>
        <v>GS000007</v>
      </c>
      <c r="AE39" s="7" t="s">
        <v>41</v>
      </c>
      <c r="AF39" s="7"/>
      <c r="AG39" s="10"/>
      <c r="AH39" s="2"/>
      <c r="AI39" s="7"/>
      <c r="AJ39" s="2"/>
      <c r="AK39" s="2" t="str">
        <f t="shared" si="7"/>
        <v>ZG_EYD003A</v>
      </c>
      <c r="AL39" s="7" t="s">
        <v>43</v>
      </c>
      <c r="AM39" s="2" t="s">
        <v>127</v>
      </c>
      <c r="AN39" s="2" t="str">
        <f t="shared" si="23"/>
        <v>0000</v>
      </c>
      <c r="AO39" s="2" t="s">
        <v>280</v>
      </c>
      <c r="AP39" s="2" t="str">
        <f t="shared" si="24"/>
        <v>0000</v>
      </c>
      <c r="AQ39" s="2">
        <v>0</v>
      </c>
      <c r="AR39" s="2">
        <v>0</v>
      </c>
      <c r="AS39" s="2">
        <v>10</v>
      </c>
      <c r="AT39" s="2">
        <v>0</v>
      </c>
      <c r="AU39" s="2">
        <v>0</v>
      </c>
      <c r="AV39" s="3" t="s">
        <v>117</v>
      </c>
      <c r="AW39" s="19" t="s">
        <v>171</v>
      </c>
      <c r="AX39" s="1"/>
      <c r="AY39" s="8" t="str">
        <f>"A0011011"</f>
        <v>A0011011</v>
      </c>
    </row>
    <row r="40">
      <c r="A40" s="1">
        <v>39</v>
      </c>
      <c r="B40" s="1" t="s">
        <v>282</v>
      </c>
      <c r="C40" s="6" t="s">
        <v>270</v>
      </c>
      <c r="D40" s="6" t="s">
        <v>80</v>
      </c>
      <c r="E40" s="6" t="s">
        <v>271</v>
      </c>
      <c r="F40" s="6" t="s">
        <v>130</v>
      </c>
      <c r="G40" s="6" t="s">
        <v>211</v>
      </c>
      <c r="H40" s="11" t="s">
        <v>0</v>
      </c>
      <c r="I40" s="11" t="s">
        <v>302</v>
      </c>
      <c r="J40" s="3">
        <v>13003102</v>
      </c>
      <c r="K40" s="3" t="s">
        <v>82</v>
      </c>
      <c r="L40" s="13">
        <v>96</v>
      </c>
      <c r="M40" s="5" t="s">
        <v>214</v>
      </c>
      <c r="N40" s="3" t="s">
        <v>139</v>
      </c>
      <c r="O40" s="3" t="s">
        <v>86</v>
      </c>
      <c r="P40" s="3" t="s">
        <v>291</v>
      </c>
      <c r="Q40" s="21" t="str">
        <f t="shared" si="0"/>
        <v>GS000007</v>
      </c>
      <c r="R40" s="3" t="s">
        <v>68</v>
      </c>
      <c r="S40" s="3" t="s">
        <v>279</v>
      </c>
      <c r="T40" s="23" t="e">
        <f>[1]Output!A40</f>
        <v>#REF!</v>
      </c>
      <c r="U40" s="9" t="e">
        <f>[1]Output!A40</f>
        <v>#REF!</v>
      </c>
      <c r="V40" s="2" t="e">
        <f t="shared" si="1"/>
        <v>#REF!</v>
      </c>
      <c r="W40" s="3" t="s">
        <v>165</v>
      </c>
      <c r="X40" s="2" t="str">
        <f t="shared" si="2"/>
        <v>Electric scales</v>
      </c>
      <c r="Y40" s="2" t="str">
        <f t="shared" si="3"/>
        <v>Electric scales</v>
      </c>
      <c r="Z40" s="17">
        <v>10130031</v>
      </c>
      <c r="AA40" s="2" t="s">
        <v>139</v>
      </c>
      <c r="AB40" s="2" t="s">
        <v>144</v>
      </c>
      <c r="AC40" s="2" t="str">
        <f t="shared" si="4"/>
        <v>GS000007</v>
      </c>
      <c r="AD40" s="2" t="str">
        <f t="shared" si="5"/>
        <v>GS000007</v>
      </c>
      <c r="AE40" s="7" t="s">
        <v>186</v>
      </c>
      <c r="AF40" s="7" t="s">
        <v>26</v>
      </c>
      <c r="AG40" s="5">
        <v>3000</v>
      </c>
      <c r="AH40" s="2">
        <v>300096256</v>
      </c>
      <c r="AI40" s="7" t="s">
        <v>26</v>
      </c>
      <c r="AJ40" s="2" t="str">
        <f t="shared" si="27" ref="AJ40:AJ42">M40</f>
        <v>Electric scales</v>
      </c>
      <c r="AK40" s="2" t="str">
        <f t="shared" si="7"/>
        <v>ZG_IT220A</v>
      </c>
      <c r="AL40" s="7" t="s">
        <v>201</v>
      </c>
      <c r="AM40" s="2" t="s">
        <v>61</v>
      </c>
      <c r="AN40" s="2" t="str">
        <f t="shared" si="23"/>
        <v>DLNA</v>
      </c>
      <c r="AO40" s="2" t="s">
        <v>280</v>
      </c>
      <c r="AP40" s="2" t="str">
        <f t="shared" si="24"/>
        <v>DLNA</v>
      </c>
      <c r="AQ40" s="2">
        <v>5</v>
      </c>
      <c r="AR40" s="2">
        <f t="shared" si="28" ref="AR40:AR42">AQ40</f>
        <v>5</v>
      </c>
      <c r="AS40" s="2">
        <v>10</v>
      </c>
      <c r="AT40" s="2">
        <f t="shared" si="29" ref="AT40:AT42">AQ40</f>
        <v>5</v>
      </c>
      <c r="AU40" s="2">
        <v>0</v>
      </c>
      <c r="AV40" s="3" t="s">
        <v>117</v>
      </c>
      <c r="AW40" s="1" t="s">
        <v>47</v>
      </c>
      <c r="AX40" s="1"/>
      <c r="AY40" s="8" t="str">
        <f t="shared" si="30" ref="AY40:AY42">"10130031"</f>
        <v>10130031</v>
      </c>
    </row>
    <row r="41">
      <c r="A41" s="1">
        <v>40</v>
      </c>
      <c r="B41" s="1" t="s">
        <v>282</v>
      </c>
      <c r="C41" s="6" t="s">
        <v>270</v>
      </c>
      <c r="D41" s="6" t="s">
        <v>80</v>
      </c>
      <c r="E41" s="6" t="s">
        <v>271</v>
      </c>
      <c r="F41" s="6" t="s">
        <v>130</v>
      </c>
      <c r="G41" s="6" t="s">
        <v>211</v>
      </c>
      <c r="H41" s="11" t="s">
        <v>0</v>
      </c>
      <c r="I41" s="11" t="s">
        <v>302</v>
      </c>
      <c r="J41" s="3">
        <v>13003102</v>
      </c>
      <c r="K41" s="3" t="s">
        <v>82</v>
      </c>
      <c r="L41" s="13">
        <v>90</v>
      </c>
      <c r="M41" s="5" t="s">
        <v>214</v>
      </c>
      <c r="N41" s="3" t="s">
        <v>139</v>
      </c>
      <c r="O41" s="3" t="s">
        <v>86</v>
      </c>
      <c r="P41" s="3" t="s">
        <v>291</v>
      </c>
      <c r="Q41" s="21" t="str">
        <f t="shared" si="0"/>
        <v>GS000007</v>
      </c>
      <c r="R41" s="3" t="s">
        <v>68</v>
      </c>
      <c r="S41" s="3" t="s">
        <v>279</v>
      </c>
      <c r="T41" s="23" t="e">
        <f>[1]Output!A41</f>
        <v>#REF!</v>
      </c>
      <c r="U41" s="9" t="e">
        <f>[1]Output!A41</f>
        <v>#REF!</v>
      </c>
      <c r="V41" s="2" t="e">
        <f t="shared" si="1"/>
        <v>#REF!</v>
      </c>
      <c r="W41" s="3" t="s">
        <v>165</v>
      </c>
      <c r="X41" s="2" t="str">
        <f t="shared" si="2"/>
        <v>Electric scales</v>
      </c>
      <c r="Y41" s="2" t="str">
        <f t="shared" si="3"/>
        <v>Electric scales</v>
      </c>
      <c r="Z41" s="17">
        <v>10130031</v>
      </c>
      <c r="AA41" s="2" t="s">
        <v>139</v>
      </c>
      <c r="AB41" s="2" t="s">
        <v>144</v>
      </c>
      <c r="AC41" s="2" t="str">
        <f t="shared" si="4"/>
        <v>GS000007</v>
      </c>
      <c r="AD41" s="2" t="str">
        <f t="shared" si="5"/>
        <v>GS000007</v>
      </c>
      <c r="AE41" s="7" t="s">
        <v>253</v>
      </c>
      <c r="AF41" s="7" t="s">
        <v>110</v>
      </c>
      <c r="AG41" s="5">
        <v>3000</v>
      </c>
      <c r="AH41" s="2">
        <v>300096256</v>
      </c>
      <c r="AI41" s="7" t="s">
        <v>110</v>
      </c>
      <c r="AJ41" s="2" t="str">
        <f t="shared" si="27"/>
        <v>Electric scales</v>
      </c>
      <c r="AK41" s="2" t="str">
        <f t="shared" si="7"/>
        <v>ZG_IT220A</v>
      </c>
      <c r="AL41" s="7" t="s">
        <v>268</v>
      </c>
      <c r="AM41" s="2" t="s">
        <v>61</v>
      </c>
      <c r="AN41" s="2" t="str">
        <f t="shared" si="23"/>
        <v>DLNA</v>
      </c>
      <c r="AO41" s="2" t="s">
        <v>280</v>
      </c>
      <c r="AP41" s="2" t="str">
        <f t="shared" si="24"/>
        <v>DLNA</v>
      </c>
      <c r="AQ41" s="2">
        <v>5</v>
      </c>
      <c r="AR41" s="2">
        <f t="shared" si="28"/>
        <v>5</v>
      </c>
      <c r="AS41" s="2">
        <v>10</v>
      </c>
      <c r="AT41" s="2">
        <f t="shared" si="29"/>
        <v>5</v>
      </c>
      <c r="AU41" s="2">
        <v>0</v>
      </c>
      <c r="AV41" s="3" t="s">
        <v>117</v>
      </c>
      <c r="AW41" s="1" t="s">
        <v>47</v>
      </c>
      <c r="AX41" s="3"/>
      <c r="AY41" s="8" t="str">
        <f t="shared" si="30"/>
        <v>10130031</v>
      </c>
    </row>
    <row r="42">
      <c r="A42" s="1">
        <v>41</v>
      </c>
      <c r="B42" s="1"/>
      <c r="C42" s="6" t="s">
        <v>270</v>
      </c>
      <c r="D42" s="6" t="s">
        <v>80</v>
      </c>
      <c r="E42" s="6" t="s">
        <v>271</v>
      </c>
      <c r="F42" s="6" t="s">
        <v>130</v>
      </c>
      <c r="G42" s="6" t="s">
        <v>211</v>
      </c>
      <c r="H42" s="11" t="s">
        <v>0</v>
      </c>
      <c r="I42" s="11" t="s">
        <v>302</v>
      </c>
      <c r="J42" s="3" t="s">
        <v>47</v>
      </c>
      <c r="K42" s="3" t="s">
        <v>82</v>
      </c>
      <c r="L42" s="13">
        <v>80</v>
      </c>
      <c r="M42" s="5" t="s">
        <v>214</v>
      </c>
      <c r="N42" s="3" t="s">
        <v>139</v>
      </c>
      <c r="O42" s="3" t="s">
        <v>86</v>
      </c>
      <c r="P42" s="3" t="s">
        <v>291</v>
      </c>
      <c r="Q42" s="21" t="str">
        <f t="shared" si="0"/>
        <v>GS000007</v>
      </c>
      <c r="R42" s="3" t="s">
        <v>68</v>
      </c>
      <c r="S42" s="3" t="s">
        <v>279</v>
      </c>
      <c r="T42" s="23" t="e">
        <f>[1]Output!A42</f>
        <v>#REF!</v>
      </c>
      <c r="U42" s="4" t="e">
        <f>[1]Output!A42</f>
        <v>#REF!</v>
      </c>
      <c r="V42" s="2" t="e">
        <f t="shared" si="1"/>
        <v>#REF!</v>
      </c>
      <c r="W42" s="3" t="s">
        <v>165</v>
      </c>
      <c r="X42" s="2" t="str">
        <f t="shared" si="2"/>
        <v>Electric scales</v>
      </c>
      <c r="Y42" s="2" t="str">
        <f t="shared" si="3"/>
        <v>Electric scales</v>
      </c>
      <c r="Z42" s="17">
        <v>10130031</v>
      </c>
      <c r="AA42" s="2" t="s">
        <v>139</v>
      </c>
      <c r="AB42" s="2" t="s">
        <v>144</v>
      </c>
      <c r="AC42" s="2" t="str">
        <f t="shared" si="4"/>
        <v>GS000007</v>
      </c>
      <c r="AD42" s="2" t="str">
        <f t="shared" si="5"/>
        <v>GS000007</v>
      </c>
      <c r="AE42" s="7" t="s">
        <v>19</v>
      </c>
      <c r="AF42" s="7" t="s">
        <v>193</v>
      </c>
      <c r="AG42" s="5">
        <v>300096578</v>
      </c>
      <c r="AH42" s="2">
        <v>300096256</v>
      </c>
      <c r="AI42" s="7" t="s">
        <v>193</v>
      </c>
      <c r="AJ42" s="2" t="str">
        <f t="shared" si="27"/>
        <v>Electric scales</v>
      </c>
      <c r="AK42" s="2" t="str">
        <f t="shared" si="7"/>
        <v>ZG_IT220A</v>
      </c>
      <c r="AL42" s="7" t="s">
        <v>34</v>
      </c>
      <c r="AM42" s="2" t="s">
        <v>61</v>
      </c>
      <c r="AN42" s="2" t="str">
        <f t="shared" si="23"/>
        <v>DLNA</v>
      </c>
      <c r="AO42" s="2" t="s">
        <v>280</v>
      </c>
      <c r="AP42" s="2" t="str">
        <f t="shared" si="24"/>
        <v>DLNA</v>
      </c>
      <c r="AQ42" s="2">
        <v>5</v>
      </c>
      <c r="AR42" s="2">
        <f t="shared" si="28"/>
        <v>5</v>
      </c>
      <c r="AS42" s="2">
        <v>10</v>
      </c>
      <c r="AT42" s="2">
        <f t="shared" si="29"/>
        <v>5</v>
      </c>
      <c r="AU42" s="2">
        <v>0</v>
      </c>
      <c r="AV42" s="3" t="s">
        <v>117</v>
      </c>
      <c r="AW42" s="1" t="s">
        <v>47</v>
      </c>
      <c r="AX42" s="1"/>
      <c r="AY42" s="8" t="str">
        <f t="shared" si="30"/>
        <v>10130031</v>
      </c>
    </row>
    <row r="43">
      <c r="A43" s="1"/>
      <c r="B43" s="1"/>
      <c r="C43" s="6" t="s">
        <v>37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8"/>
    </row>
    <row r="44">
      <c r="A44" s="1"/>
      <c r="B44" s="1"/>
      <c r="C44" s="5" t="s">
        <v>78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>
        <v>13003102</v>
      </c>
      <c r="AX44" s="1"/>
      <c r="AY44" s="8"/>
    </row>
    <row r="45">
      <c r="A45" s="1"/>
      <c r="B45" s="1"/>
      <c r="C45" s="2" t="s">
        <v>283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8"/>
    </row>
    <row r="46">
      <c r="A46" s="1"/>
      <c r="B46" s="1"/>
      <c r="C46" s="13" t="s">
        <v>46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8"/>
    </row>
    <row r="47">
      <c r="A47" s="1"/>
      <c r="B47" s="1"/>
      <c r="C47" s="4" t="s">
        <v>284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8"/>
    </row>
    <row r="48">
      <c r="A48" s="1"/>
      <c r="B48" s="1"/>
      <c r="C48" s="22" t="s">
        <v>64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8"/>
    </row>
    <row r="49">
      <c r="A49" s="1"/>
      <c r="B49" s="1"/>
      <c r="C49" s="15" t="s">
        <v>79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8"/>
    </row>
  </sheetData>
  <pageMargins left="0.7" right="0.7" top="0.75" bottom="0.75" header="0.3" footer="0.3"/>
  <pageSetup orientation="portrait" horizontalDpi="65532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1"/>
  <sheetViews>
    <sheetView workbookViewId="0">
      <selection activeCell="A2" sqref="A2"/>
    </sheetView>
  </sheetViews>
  <sheetFormatPr defaultColWidth="9.125" defaultRowHeight="14.25"/>
  <cols>
    <col min="1" max="1" width="23.375" style="14" bestFit="1" customWidth="1"/>
    <col min="2" max="16384" width="9.125" style="14" customWidth="1"/>
  </cols>
  <sheetData>
    <row r="1" ht="12.75" customHeight="1" customFormat="1">
      <c r="A1" t="s">
        <v>239</v>
      </c>
    </row>
    <row r="2">
      <c r="A2" s="8"/>
    </row>
    <row r="3">
      <c r="A3" s="8"/>
    </row>
    <row r="4">
      <c r="A4" s="12" t="s">
        <v>129</v>
      </c>
    </row>
    <row r="5">
      <c r="A5" s="8"/>
    </row>
    <row r="6">
      <c r="A6" s="8">
        <v>300000253790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>
        <v>500000249228</v>
      </c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12" t="s">
        <v>35</v>
      </c>
    </row>
    <row r="40">
      <c r="A40" s="8">
        <v>300000253810</v>
      </c>
    </row>
    <row r="41">
      <c r="A41" s="8">
        <v>300000253811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0" customWidth="1"/>
  </cols>
  <sheetData>
    <row r="1" ht="15.1" customFormat="1"/>
  </sheetData>
  <pageMargins left="0.7" right="0.7" top="0.75" bottom="0.75" header="0.3" footer="0.3"/>
</worksheet>
</file>