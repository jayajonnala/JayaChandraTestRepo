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Action1" sheetId="2" r:id="rId2"/>
    <sheet name="Action1 {RunTimeResultFolde..00" sheetId="3" r:id="rId3"/>
    <sheet name="Action1 {DataTransfer_OneVa..00" sheetId="4" r:id="rId4"/>
    <sheet name="Action1 {Test_04.04.02.01 V..00" sheetId="5" r:id="rId5"/>
    <sheet name="Action1 {Test_04.04.02.02 V..00" sheetId="6" r:id="rId6"/>
    <sheet name="Action1 {Test_04.04.02.03 V..00" sheetId="7" r:id="rId7"/>
    <sheet name="Action1 {Test_04.04.02.04 V..00" sheetId="8" r:id="rId8"/>
  </sheets>
  <calcPr calcId="40001"/>
</workbook>
</file>

<file path=xl/sharedStrings.xml><?xml version="1.0" encoding="utf-8"?>
<sst xmlns="http://schemas.openxmlformats.org/spreadsheetml/2006/main" uniqueCount="155">
  <si>
    <t/>
  </si>
  <si>
    <t>DT_SAPTRANSACTIONCODE</t>
  </si>
  <si>
    <t>DT_OPTVIM_7AX2_0002_CHECK_MESSAGEPARAMETER_OF_STATUSBAR</t>
  </si>
  <si>
    <t>ASRMMI01@DELHAIZE.com</t>
  </si>
  <si>
    <t>DT_OPTVIM_7AX2_2004_CHECK_GETCELLVALUE_OF_GRIDCELL_8_STATUS_OCC1</t>
  </si>
  <si>
    <t>DT_OPTVIM_7AX2_2002_REQUESTER_ID1</t>
  </si>
  <si>
    <t>DT_OPTVIM_7AX2_2002_OPTVIM_BL_1RIDX_OCR_DATATAX_CODE</t>
  </si>
  <si>
    <t>04.04.02.13 VIM - NPO Precontrole Issue - BR11 - Invalid Request_DLL</t>
  </si>
  <si>
    <t>Logon Information</t>
  </si>
  <si>
    <t>AUTOFAB</t>
  </si>
  <si>
    <t>=Output!C3</t>
  </si>
  <si>
    <t>=Output!D4</t>
  </si>
  <si>
    <t>DT_OPTVIM_7AX2_2002_VENDOR_REFERENCE1</t>
  </si>
  <si>
    <t>DT_OPTVIM_7AX2_2002_HANDLING_CHARGES</t>
  </si>
  <si>
    <t>DT_OPTVIM_7AX2_2002_TAX_RATE_1</t>
  </si>
  <si>
    <t>F</t>
  </si>
  <si>
    <t>J</t>
  </si>
  <si>
    <t>AD</t>
  </si>
  <si>
    <t>AH</t>
  </si>
  <si>
    <t>AL</t>
  </si>
  <si>
    <t>Fix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</si>
  <si>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</si>
  <si>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</si>
  <si>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</si>
  <si>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</si>
  <si>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</si>
  <si>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</si>
  <si>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000040240588</t>
  </si>
  <si>
    <t>N</t>
  </si>
  <si>
    <t>R</t>
  </si>
  <si>
    <t>V</t>
  </si>
  <si>
    <t>AP</t>
  </si>
  <si>
    <t>Input Value</t>
  </si>
  <si>
    <t>AUTOFDLL</t>
  </si>
  <si>
    <t>%blank%</t>
  </si>
  <si>
    <t>DT_OPTVIM_7AX2_2002_RECEPIENT_NAME</t>
  </si>
  <si>
    <t>Z</t>
  </si>
  <si>
    <t>Formulas</t>
  </si>
  <si>
    <t>Data from other test</t>
  </si>
  <si>
    <t>200</t>
  </si>
  <si>
    <t>DT_OPTVIM_7AX2_2002_VENDOR_REFERENCE</t>
  </si>
  <si>
    <t>DT_EXPECTEDVALUE</t>
  </si>
  <si>
    <t>DT_OPTVIM_7AX2_2002_FREIGHT_AMOUNT</t>
  </si>
  <si>
    <t>DT_OPTVIM_7AX2_2002_VENDOR_VAT_NO</t>
  </si>
  <si>
    <t>DT_OPTVIM_7AX2_2002_TAX_AMOUNT_1</t>
  </si>
  <si>
    <t>AA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</si>
  <si>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</si>
  <si>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</si>
  <si>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</si>
  <si>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</si>
  <si>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</si>
  <si>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</si>
  <si>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</si>
  <si>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</si>
  <si>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000272261205</t>
  </si>
  <si>
    <t>G</t>
  </si>
  <si>
    <t>K</t>
  </si>
  <si>
    <t>AE</t>
  </si>
  <si>
    <t>AI</t>
  </si>
  <si>
    <t>auto-555</t>
  </si>
  <si>
    <t>DT_SAPLANGUAGE</t>
  </si>
  <si>
    <t>DT_SAPOPTIONS</t>
  </si>
  <si>
    <t>DT_OPTVIM_7AX2_0002_ARCH</t>
  </si>
  <si>
    <t>S</t>
  </si>
  <si>
    <t>DT_OPTVIM_7AX2_0002_CHECK_TEXT_OF_STATUSBAR</t>
  </si>
  <si>
    <t>DT_OPTVIM_7AX2_2002_POSTING_DATE</t>
  </si>
  <si>
    <t>DT_OPTVIM_7AX2_2002_DOCHEADER_TEXT</t>
  </si>
  <si>
    <t>O</t>
  </si>
  <si>
    <t>AM</t>
  </si>
  <si>
    <t>AQ</t>
  </si>
  <si>
    <t>SCENARIO</t>
  </si>
  <si>
    <t>4</t>
  </si>
  <si>
    <t>DT_OPTVIM_7AX2_1000_GRIDCELL_0_EXECUTE</t>
  </si>
  <si>
    <t>DT_OPTVIM_7AX2_2004_CHECK_GETCELLVALUE_OF_GRIDCELL_8_STATUS</t>
  </si>
  <si>
    <t>W</t>
  </si>
  <si>
    <t>DT_EXPECTEDVALUE_OCC1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</si>
  <si>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</si>
  <si>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</si>
  <si>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</si>
  <si>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</si>
  <si>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</si>
  <si>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</si>
  <si>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</si>
  <si>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</si>
  <si>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</si>
  <si>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DT_OPTVIM_7AX2_2002_EXPENSE_TYPE</t>
  </si>
  <si>
    <t>=Output!D2</t>
  </si>
  <si>
    <t>BZ000130</t>
  </si>
  <si>
    <t>DT_OPTVIM_7AX2_2002_POSTING_DATE_OCC1</t>
  </si>
  <si>
    <t>DT_OPTVIM_7AX2_2002_TAX_AMOUNT_2</t>
  </si>
  <si>
    <t>H</t>
  </si>
  <si>
    <t>L</t>
  </si>
  <si>
    <t>AF</t>
  </si>
  <si>
    <t>AJ</t>
  </si>
  <si>
    <t>AUTOFICO</t>
  </si>
  <si>
    <t>EN</t>
  </si>
  <si>
    <t>DT_INCREMENT</t>
  </si>
  <si>
    <t>@08\QProcessed@</t>
  </si>
  <si>
    <t>DT_OPTVIM_7AX2_2002_RECEPIENT_VAT_NO</t>
  </si>
  <si>
    <t>DT_OPTVIM_7AX2_2002_SUPPLY_DATE</t>
  </si>
  <si>
    <t>000272231689</t>
  </si>
  <si>
    <t>P</t>
  </si>
  <si>
    <t>T</t>
  </si>
  <si>
    <t>AN</t>
  </si>
  <si>
    <t>04.04.02.13 VIM - NPO Precontrole Issue - BR11 - Invalid Request_MI</t>
  </si>
  <si>
    <t>DT_OPTVIM_7AX2_2002_REQUESTER_ID</t>
  </si>
  <si>
    <t>DT_OPTVIM_7AX2_2002_GROSS_INV_AMOUNT</t>
  </si>
  <si>
    <t>DT_OPTVIM_7AX2_2002_COMPANY_CODE</t>
  </si>
  <si>
    <t>DT_OPTVIM_7AX2_2002_BANK_ACCOUNT</t>
  </si>
  <si>
    <t>X</t>
  </si>
  <si>
    <t>04.04.02.13 VIM - NPO Precontrole Issue - BR11 - Invalid Request_AB</t>
  </si>
  <si>
    <t>TE</t>
  </si>
  <si>
    <t>/n/OPT/VIM_WP</t>
  </si>
  <si>
    <t>DT_EXPECTEDVALUE_OCC2</t>
  </si>
  <si>
    <t>DT_OPTVIM_7AX2_2002_BANK_NUMBER</t>
  </si>
  <si>
    <t>DT_OPTVIM_7AX2_2002_BANK_NUMBER_OCC1</t>
  </si>
  <si>
    <t>000040240601</t>
  </si>
  <si>
    <t>AC</t>
  </si>
  <si>
    <t>R1E - SAP RETAIL Pre-Production EUROPE</t>
  </si>
  <si>
    <t>DT_SAPPASSWORD</t>
  </si>
  <si>
    <t>ST</t>
  </si>
  <si>
    <t>=Output!C2</t>
  </si>
  <si>
    <t>=Output!D3</t>
  </si>
  <si>
    <t>DT_ACCOUNTING_HEADER_EMAIL</t>
  </si>
  <si>
    <t>DT_OPTVIM_7AX2_2002_PO_NUMBER</t>
  </si>
  <si>
    <t>E</t>
  </si>
  <si>
    <t>I</t>
  </si>
  <si>
    <t>M</t>
  </si>
  <si>
    <t>AG</t>
  </si>
  <si>
    <t>AK</t>
  </si>
  <si>
    <t>ROW</t>
  </si>
  <si>
    <t>Checks</t>
  </si>
  <si>
    <t>Output Value</t>
  </si>
  <si>
    <t>DT_SAPUSER</t>
  </si>
  <si>
    <t>S5</t>
  </si>
  <si>
    <t>DT_OPTVIM_7AX2_0002_OKCD</t>
  </si>
  <si>
    <t>DT_OPTVIM_7AX2_1105_TO</t>
  </si>
  <si>
    <t>DT_OPTVIM_7AX2_9100_GH_IDX_APPLICATIONMS_IDX_HEADERZZKOSTL</t>
  </si>
  <si>
    <t>GZ000080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</si>
  <si>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</si>
  <si>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</si>
  <si>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</si>
  <si>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</si>
  <si>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</si>
  <si>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</si>
  <si>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AO</t>
  </si>
  <si>
    <t>DT_SAPCLIENT</t>
  </si>
  <si>
    <t>DT_OPTVIM_7AX2_0002_ADDL_DOCS</t>
  </si>
  <si>
    <t>DT_OPTVIM_7AX2_1234_CHECK_MESSAGEPARAMETER_OF_STATUSBAR</t>
  </si>
  <si>
    <t>DT_OPTVIM_7AX2_0150_ALL_USERS_VIEW</t>
  </si>
  <si>
    <t>@0A\QException occured@</t>
  </si>
  <si>
    <t>DT_ROWCOUNT</t>
  </si>
  <si>
    <t>DT_OPTVIM_7AX2_2002_VENDOR_NUMBER</t>
  </si>
  <si>
    <t>DT_OPTVIM_7AX2_2002_IBAN</t>
  </si>
  <si>
    <t>Y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</si>
</sst>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u/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quotePrefix="1" applyFont="1" applyFill="1" applyBorder="1" applyProtection="1">
      <protection locked="0"/>
    </xf>
    <xf numFmtId="49" fontId="3" fillId="2" borderId="1" xfId="0" applyNumberFormat="1" applyFont="1" applyFill="1" applyBorder="1" applyAlignment="1" applyProtection="1">
      <protection locked="0"/>
    </xf>
    <xf numFmtId="49" fontId="1" fillId="0" borderId="1" xfId="0" applyNumberForma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5" fillId="0" borderId="0" xfId="0" applyFont="1" applyFill="1" applyBorder="1" applyProtection="1">
      <protection locked="0"/>
    </xf>
    <xf numFmtId="0" fontId="5" fillId="0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7" customWidth="1"/>
    <col min="2" max="2" width="59.5" style="7" customWidth="1"/>
    <col min="3" max="3" width="38.125" style="7" customWidth="1"/>
    <col min="4" max="4" width="15" style="7" customWidth="1"/>
    <col min="5" max="5" width="13.625" style="7" customWidth="1"/>
    <col min="6" max="6" width="19.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2" width="34.375" style="7" customWidth="1"/>
    <col min="13" max="13" width="43.625" style="7" customWidth="1"/>
    <col min="14" max="14" width="37.75" style="7" customWidth="1"/>
    <col min="15" max="15" width="37.875" style="7" customWidth="1"/>
    <col min="16" max="16" width="20.75" style="7" customWidth="1"/>
    <col min="17" max="18" width="67.25" style="7" customWidth="1"/>
    <col min="19" max="19" width="52.5" style="7" customWidth="1"/>
    <col min="20" max="20" width="28.25" style="7" customWidth="1"/>
    <col min="21" max="21" width="39.625" style="7" customWidth="1"/>
    <col min="22" max="22" width="26.625" style="7" customWidth="1"/>
    <col min="23" max="23" width="42.125" style="7" customWidth="1"/>
    <col min="24" max="24" width="36.75" style="7" customWidth="1"/>
    <col min="25" max="25" width="25.75" style="7" customWidth="1"/>
    <col min="26" max="26" width="44" style="7" customWidth="1"/>
    <col min="27" max="27" width="69.125" style="7" customWidth="1"/>
    <col min="28" max="29" width="67" style="7" customWidth="1"/>
    <col min="30" max="30" width="75" style="7" customWidth="1"/>
    <col min="31" max="31" width="26.625" style="7" customWidth="1"/>
    <col min="32" max="32" width="15.75" style="18" customWidth="1"/>
    <col min="33" max="33" width="29.375" style="7" customWidth="1"/>
    <col min="34" max="34" width="40" style="7" customWidth="1"/>
    <col min="35" max="35" width="37.625" style="7" customWidth="1"/>
    <col min="36" max="36" width="43.5" style="7" customWidth="1"/>
    <col min="37" max="37" width="45.375" style="7" customWidth="1"/>
    <col min="38" max="38" width="43" style="7" customWidth="1"/>
    <col min="39" max="39" width="40.5" style="7" customWidth="1"/>
    <col min="40" max="40" width="44.625" style="7" customWidth="1"/>
    <col min="41" max="41" width="42.875" style="7" customWidth="1"/>
    <col min="42" max="42" width="40.25" style="7" customWidth="1"/>
    <col min="43" max="43" width="37.5" style="7" customWidth="1"/>
    <col min="44" max="44" width="29.25" style="7" customWidth="1"/>
    <col min="45" max="45" width="34.875" style="7" customWidth="1"/>
    <col min="46" max="46" width="41.5" style="7" customWidth="1"/>
    <col min="47" max="47" width="38.625" style="7" customWidth="1"/>
    <col min="48" max="48" width="38.75" style="7" customWidth="1"/>
    <col min="49" max="49" width="40.25" style="7" customWidth="1"/>
    <col min="50" max="50" width="30.75" style="7" customWidth="1"/>
    <col min="51" max="51" width="39.625" style="7" customWidth="1"/>
    <col min="52" max="52" width="36" style="7" customWidth="1"/>
    <col min="53" max="53" width="39.5" style="7" customWidth="1"/>
    <col min="54" max="54" width="35.875" style="7" customWidth="1"/>
    <col min="55" max="55" width="42.375" style="7" customWidth="1"/>
    <col min="56" max="56" width="60.875" style="7" customWidth="1"/>
    <col min="57" max="57" width="60.75" style="7" customWidth="1"/>
    <col min="58" max="58" width="42.875" style="7" customWidth="1"/>
    <col min="59" max="59" width="34.875" style="7" customWidth="1"/>
    <col min="60" max="60" width="37.875" style="7" customWidth="1"/>
    <col min="61" max="61" width="34.875" style="7" customWidth="1"/>
    <col min="62" max="62" width="37.875" style="7" customWidth="1"/>
    <col min="63" max="63" width="66.75" style="7" customWidth="1"/>
    <col min="64" max="64" width="36.625" style="7" customWidth="1"/>
    <col min="65" max="65" width="39.875" style="7" customWidth="1"/>
    <col min="66" max="66" width="35.5" style="7" customWidth="1"/>
    <col min="67" max="67" width="34.5" style="7" customWidth="1"/>
    <col min="68" max="68" width="38.25" style="7" customWidth="1"/>
    <col min="69" max="69" width="27.5" style="7" customWidth="1"/>
    <col min="70" max="70" width="37.25" style="7" customWidth="1"/>
    <col min="71" max="71" width="43.125" style="7" customWidth="1"/>
    <col min="72" max="72" width="40.875" style="7" customWidth="1"/>
    <col min="73" max="16384" width="9.125" style="7" customWidth="1"/>
  </cols>
  <sheetData>
    <row r="1" ht="12.75" customHeight="1" customFormat="1">
      <c r="A1" t="s">
        <v>130</v>
      </c>
      <c r="B1" t="s">
        <v>70</v>
      </c>
      <c r="C1" t="s">
        <v>46</v>
      </c>
      <c r="D1" t="s">
        <v>146</v>
      </c>
      <c r="E1" t="s">
        <v>133</v>
      </c>
      <c r="F1" t="s">
        <v>119</v>
      </c>
      <c r="G1" t="s">
        <v>60</v>
      </c>
      <c r="H1" t="s">
        <v>61</v>
      </c>
      <c r="I1" t="s">
        <v>1</v>
      </c>
      <c r="J1" t="s">
        <v>62</v>
      </c>
      <c r="K1" t="s">
        <v>147</v>
      </c>
      <c r="L1" t="s">
        <v>96</v>
      </c>
      <c r="M1" t="s">
        <v>40</v>
      </c>
      <c r="N1" t="s">
        <v>105</v>
      </c>
      <c r="O1" t="s">
        <v>85</v>
      </c>
      <c r="P1" t="s">
        <v>41</v>
      </c>
      <c r="Q1" t="s">
        <v>2</v>
      </c>
      <c r="R1" t="s">
        <v>148</v>
      </c>
      <c r="S1" t="s">
        <v>64</v>
      </c>
      <c r="T1" t="s">
        <v>135</v>
      </c>
      <c r="U1" t="s">
        <v>149</v>
      </c>
      <c r="V1" t="s">
        <v>75</v>
      </c>
      <c r="W1" t="s">
        <v>76</v>
      </c>
      <c r="X1" t="s">
        <v>21</v>
      </c>
      <c r="Y1" t="s">
        <v>136</v>
      </c>
      <c r="Z1" t="s">
        <v>72</v>
      </c>
      <c r="AA1" t="s">
        <v>73</v>
      </c>
      <c r="AB1" t="s">
        <v>137</v>
      </c>
      <c r="AC1" t="s">
        <v>123</v>
      </c>
      <c r="AD1" t="s">
        <v>4</v>
      </c>
      <c r="AE1" t="s">
        <v>113</v>
      </c>
      <c r="AF1" t="s">
        <v>151</v>
      </c>
      <c r="AG1" t="s">
        <v>139</v>
      </c>
      <c r="AH1" t="s">
        <v>22</v>
      </c>
      <c r="AI1" t="s">
        <v>65</v>
      </c>
      <c r="AJ1" t="s">
        <v>88</v>
      </c>
      <c r="AK1" t="s">
        <v>49</v>
      </c>
      <c r="AL1" t="s">
        <v>106</v>
      </c>
      <c r="AM1" t="s">
        <v>42</v>
      </c>
      <c r="AN1" t="s">
        <v>12</v>
      </c>
      <c r="AO1" t="s">
        <v>13</v>
      </c>
      <c r="AP1" t="s">
        <v>152</v>
      </c>
      <c r="AQ1" t="s">
        <v>140</v>
      </c>
      <c r="AR1" t="s">
        <v>78</v>
      </c>
      <c r="AS1" t="s">
        <v>124</v>
      </c>
      <c r="AT1" t="s">
        <v>50</v>
      </c>
      <c r="AU1" t="s">
        <v>107</v>
      </c>
      <c r="AV1" t="s">
        <v>5</v>
      </c>
      <c r="AW1" t="s">
        <v>35</v>
      </c>
      <c r="AX1" t="s">
        <v>141</v>
      </c>
      <c r="AY1" t="s">
        <v>43</v>
      </c>
      <c r="AZ1" t="s">
        <v>23</v>
      </c>
      <c r="BA1" t="s">
        <v>51</v>
      </c>
      <c r="BB1" t="s">
        <v>79</v>
      </c>
      <c r="BC1" t="s">
        <v>98</v>
      </c>
      <c r="BD1" t="s">
        <v>6</v>
      </c>
      <c r="BE1" t="s">
        <v>24</v>
      </c>
      <c r="BF1" t="s">
        <v>142</v>
      </c>
      <c r="BG1" t="s">
        <v>14</v>
      </c>
      <c r="BH1" t="s">
        <v>44</v>
      </c>
      <c r="BI1" t="s">
        <v>52</v>
      </c>
      <c r="BJ1" t="s">
        <v>89</v>
      </c>
      <c r="BK1" t="s">
        <v>80</v>
      </c>
      <c r="BL1" t="s">
        <v>99</v>
      </c>
      <c r="BM1" t="s">
        <v>53</v>
      </c>
      <c r="BN1" t="s">
        <v>81</v>
      </c>
      <c r="BO1" t="s">
        <v>25</v>
      </c>
      <c r="BP1" t="s">
        <v>108</v>
      </c>
      <c r="BQ1" t="s">
        <v>153</v>
      </c>
      <c r="BR1" t="s">
        <v>114</v>
      </c>
      <c r="BS1" t="s">
        <v>115</v>
      </c>
      <c r="BT1" t="s">
        <v>66</v>
      </c>
    </row>
    <row r="2" s="7" customFormat="1">
      <c r="A2" s="1">
        <v>2</v>
      </c>
      <c r="B2" s="1" t="s">
        <v>7</v>
      </c>
      <c r="C2" s="4" t="s">
        <v>118</v>
      </c>
      <c r="D2" s="4" t="s">
        <v>39</v>
      </c>
      <c r="E2" s="4" t="s">
        <v>33</v>
      </c>
      <c r="F2" s="4" t="s">
        <v>59</v>
      </c>
      <c r="G2" s="4" t="s">
        <v>95</v>
      </c>
      <c r="H2" s="4" t="s">
        <v>0</v>
      </c>
      <c r="I2" s="3" t="s">
        <v>84</v>
      </c>
      <c r="J2" s="3" t="s">
        <v>134</v>
      </c>
      <c r="K2" s="13">
        <v>40230170</v>
      </c>
      <c r="L2" s="3">
        <v>37</v>
      </c>
      <c r="M2" s="3" t="str">
        <f>"TAXINV DLL_"&amp;L2</f>
        <v>TAXINV DLL_37</v>
      </c>
      <c r="N2" s="2" t="s">
        <v>34</v>
      </c>
      <c r="O2" s="1" t="s">
        <v>120</v>
      </c>
      <c r="P2" s="2" t="s">
        <v>63</v>
      </c>
      <c r="Q2" s="9" t="s">
        <v>121</v>
      </c>
      <c r="R2" s="9" t="s">
        <v>86</v>
      </c>
      <c r="S2" s="6" t="str">
        <f t="shared" si="0" ref="S2:S4">"Document Number "&amp;Q2&amp;" Workflow ID "&amp;R2&amp;""</f>
        <v>Document Number =Output!C2 Workflow ID =Output!D2</v>
      </c>
      <c r="T2" s="3" t="s">
        <v>112</v>
      </c>
      <c r="U2" s="2" t="s">
        <v>71</v>
      </c>
      <c r="V2" s="2" t="s">
        <v>63</v>
      </c>
      <c r="W2" s="2" t="s">
        <v>0</v>
      </c>
      <c r="X2" s="8" t="str">
        <f t="shared" si="1" ref="X2:X4">RIGHT(Q2,8)</f>
        <v>utput!C2</v>
      </c>
      <c r="Y2" s="15" t="s">
        <v>34</v>
      </c>
      <c r="Z2" s="2" t="s">
        <v>77</v>
      </c>
      <c r="AA2" s="6" t="s">
        <v>150</v>
      </c>
      <c r="AB2" s="10" t="s">
        <v>87</v>
      </c>
      <c r="AC2" s="10"/>
      <c r="AD2" s="6" t="s">
        <v>97</v>
      </c>
      <c r="AE2" s="2" t="s">
        <v>63</v>
      </c>
      <c r="AF2" s="19">
        <v>11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7"/>
    </row>
    <row r="3" s="7" customFormat="1">
      <c r="A3" s="1">
        <v>3</v>
      </c>
      <c r="B3" s="1" t="s">
        <v>110</v>
      </c>
      <c r="C3" s="4" t="s">
        <v>118</v>
      </c>
      <c r="D3" s="4" t="s">
        <v>39</v>
      </c>
      <c r="E3" s="4" t="s">
        <v>9</v>
      </c>
      <c r="F3" s="4" t="s">
        <v>47</v>
      </c>
      <c r="G3" s="4" t="s">
        <v>95</v>
      </c>
      <c r="H3" s="4" t="s">
        <v>0</v>
      </c>
      <c r="I3" s="3" t="s">
        <v>84</v>
      </c>
      <c r="J3" s="3" t="s">
        <v>134</v>
      </c>
      <c r="K3" s="3">
        <v>40230145</v>
      </c>
      <c r="L3" s="3">
        <v>39</v>
      </c>
      <c r="M3" s="3" t="str">
        <f>"TAXINV AB_"&amp;L3</f>
        <v>TAXINV AB_39</v>
      </c>
      <c r="N3" s="2" t="s">
        <v>34</v>
      </c>
      <c r="O3" s="1" t="s">
        <v>120</v>
      </c>
      <c r="P3" s="2" t="s">
        <v>63</v>
      </c>
      <c r="Q3" s="9" t="s">
        <v>10</v>
      </c>
      <c r="R3" s="9" t="s">
        <v>122</v>
      </c>
      <c r="S3" s="6" t="str">
        <f t="shared" si="0"/>
        <v>Document Number =Output!C3 Workflow ID =Output!D3</v>
      </c>
      <c r="T3" s="3" t="s">
        <v>112</v>
      </c>
      <c r="U3" s="2" t="s">
        <v>71</v>
      </c>
      <c r="V3" s="2" t="s">
        <v>63</v>
      </c>
      <c r="W3" s="2" t="s">
        <v>0</v>
      </c>
      <c r="X3" s="8" t="str">
        <f t="shared" si="1"/>
        <v>utput!C3</v>
      </c>
      <c r="Y3" s="15" t="s">
        <v>34</v>
      </c>
      <c r="Z3" s="2" t="s">
        <v>77</v>
      </c>
      <c r="AA3" s="6" t="s">
        <v>150</v>
      </c>
      <c r="AB3" s="10" t="s">
        <v>138</v>
      </c>
      <c r="AC3" s="10"/>
      <c r="AD3" s="6" t="s">
        <v>97</v>
      </c>
      <c r="AE3" s="2" t="s">
        <v>63</v>
      </c>
      <c r="AF3" s="19">
        <v>12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7"/>
    </row>
    <row r="4" s="7" customFormat="1">
      <c r="A4" s="1">
        <v>4</v>
      </c>
      <c r="B4" s="1" t="s">
        <v>104</v>
      </c>
      <c r="C4" s="4" t="s">
        <v>118</v>
      </c>
      <c r="D4" s="4" t="s">
        <v>39</v>
      </c>
      <c r="E4" s="4" t="s">
        <v>94</v>
      </c>
      <c r="F4" s="21" t="s">
        <v>83</v>
      </c>
      <c r="G4" s="4" t="s">
        <v>95</v>
      </c>
      <c r="H4" s="4" t="s">
        <v>0</v>
      </c>
      <c r="I4" s="3" t="s">
        <v>84</v>
      </c>
      <c r="J4" s="3" t="s">
        <v>134</v>
      </c>
      <c r="K4" s="3">
        <v>2801639</v>
      </c>
      <c r="L4" s="3">
        <v>2</v>
      </c>
      <c r="M4" s="3" t="str">
        <f>"TAXINV MI_"&amp;L4</f>
        <v>TAXINV MI_2</v>
      </c>
      <c r="N4" s="2" t="s">
        <v>34</v>
      </c>
      <c r="O4" s="1" t="s">
        <v>111</v>
      </c>
      <c r="P4" s="2" t="s">
        <v>63</v>
      </c>
      <c r="Q4" s="9" t="s">
        <v>48</v>
      </c>
      <c r="R4" s="9" t="s">
        <v>11</v>
      </c>
      <c r="S4" s="6" t="str">
        <f t="shared" si="0"/>
        <v>Document Number =Output!C4 Workflow ID =Output!D4</v>
      </c>
      <c r="T4" s="3" t="s">
        <v>112</v>
      </c>
      <c r="U4" s="2" t="s">
        <v>71</v>
      </c>
      <c r="V4" s="2" t="s">
        <v>63</v>
      </c>
      <c r="W4" s="2" t="s">
        <v>0</v>
      </c>
      <c r="X4" s="8" t="str">
        <f t="shared" si="1"/>
        <v>utput!C4</v>
      </c>
      <c r="Y4" s="15" t="s">
        <v>34</v>
      </c>
      <c r="Z4" s="2" t="s">
        <v>77</v>
      </c>
      <c r="AA4" s="6" t="s">
        <v>150</v>
      </c>
      <c r="AB4" s="10"/>
      <c r="AC4" s="14" t="s">
        <v>3</v>
      </c>
      <c r="AD4" s="6" t="s">
        <v>97</v>
      </c>
      <c r="AE4" s="2" t="s">
        <v>63</v>
      </c>
      <c r="AF4" s="1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7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7"/>
    </row>
    <row r="6" s="7" customFormat="1">
      <c r="A6" s="1"/>
      <c r="B6" s="4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7"/>
    </row>
    <row r="7" s="7" customFormat="1">
      <c r="A7" s="1"/>
      <c r="B7" s="8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7"/>
    </row>
    <row r="8" s="7" customFormat="1">
      <c r="A8" s="1"/>
      <c r="B8" s="6" t="s">
        <v>131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7"/>
    </row>
    <row r="9" s="7" customFormat="1">
      <c r="A9" s="1"/>
      <c r="B9" s="12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7"/>
    </row>
    <row r="10" s="7" customFormat="1">
      <c r="A10" s="1"/>
      <c r="B10" s="20" t="s">
        <v>132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7"/>
    </row>
    <row r="11" s="7" customFormat="1">
      <c r="A11" s="1"/>
      <c r="B11" s="3" t="s">
        <v>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7"/>
    </row>
    <row r="12" s="7" customFormat="1">
      <c r="A12" s="1"/>
      <c r="B12" s="16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5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60.875" style="7" bestFit="1" customWidth="1"/>
    <col min="3" max="3" width="77.5" style="7" bestFit="1" customWidth="1"/>
    <col min="4" max="4" width="68.5" style="7" bestFit="1" customWidth="1"/>
    <col min="5" max="16384" width="9.125" style="7" customWidth="1"/>
  </cols>
  <sheetData>
    <row r="1" ht="12.75" customHeight="1" customFormat="1">
      <c r="A1" t="s">
        <v>130</v>
      </c>
      <c r="B1" t="s">
        <v>70</v>
      </c>
      <c r="C1" t="s">
        <v>26</v>
      </c>
      <c r="D1" t="s">
        <v>148</v>
      </c>
      <c r="E1" t="s">
        <v>125</v>
      </c>
      <c r="F1" t="s">
        <v>15</v>
      </c>
      <c r="G1" t="s">
        <v>55</v>
      </c>
      <c r="H1" t="s">
        <v>90</v>
      </c>
      <c r="I1" t="s">
        <v>126</v>
      </c>
      <c r="J1" t="s">
        <v>16</v>
      </c>
      <c r="K1" t="s">
        <v>56</v>
      </c>
      <c r="L1" t="s">
        <v>91</v>
      </c>
      <c r="M1" t="s">
        <v>127</v>
      </c>
      <c r="N1" t="s">
        <v>28</v>
      </c>
      <c r="O1" t="s">
        <v>67</v>
      </c>
      <c r="P1" t="s">
        <v>101</v>
      </c>
      <c r="Q1" t="s">
        <v>143</v>
      </c>
      <c r="R1" t="s">
        <v>29</v>
      </c>
      <c r="S1" t="s">
        <v>63</v>
      </c>
      <c r="T1" t="s">
        <v>102</v>
      </c>
      <c r="U1" t="s">
        <v>144</v>
      </c>
      <c r="V1" t="s">
        <v>30</v>
      </c>
      <c r="W1" t="s">
        <v>74</v>
      </c>
      <c r="X1" t="s">
        <v>109</v>
      </c>
      <c r="Y1" t="s">
        <v>154</v>
      </c>
      <c r="Z1" t="s">
        <v>36</v>
      </c>
      <c r="AA1" t="s">
        <v>45</v>
      </c>
      <c r="AB1" t="s">
        <v>82</v>
      </c>
      <c r="AC1" t="s">
        <v>117</v>
      </c>
      <c r="AD1" t="s">
        <v>17</v>
      </c>
      <c r="AE1" t="s">
        <v>57</v>
      </c>
      <c r="AF1" t="s">
        <v>92</v>
      </c>
      <c r="AG1" t="s">
        <v>128</v>
      </c>
      <c r="AH1" t="s">
        <v>18</v>
      </c>
      <c r="AI1" t="s">
        <v>58</v>
      </c>
      <c r="AJ1" t="s">
        <v>93</v>
      </c>
      <c r="AK1" t="s">
        <v>129</v>
      </c>
      <c r="AL1" t="s">
        <v>19</v>
      </c>
      <c r="AM1" t="s">
        <v>68</v>
      </c>
      <c r="AN1" t="s">
        <v>103</v>
      </c>
      <c r="AO1" t="s">
        <v>145</v>
      </c>
      <c r="AP1" t="s">
        <v>31</v>
      </c>
      <c r="AQ1" t="s">
        <v>69</v>
      </c>
    </row>
    <row r="2">
      <c r="A2" s="1">
        <v>2</v>
      </c>
      <c r="B2" s="1" t="s">
        <v>7</v>
      </c>
      <c r="C2" s="2" t="s">
        <v>27</v>
      </c>
      <c r="D2" s="2" t="s">
        <v>54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1"/>
    </row>
    <row r="3">
      <c r="A3" s="1">
        <v>3</v>
      </c>
      <c r="B3" s="1" t="s">
        <v>110</v>
      </c>
      <c r="C3" s="2" t="s">
        <v>116</v>
      </c>
      <c r="D3" s="2" t="s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1"/>
    </row>
    <row r="4">
      <c r="A4" s="1">
        <v>4</v>
      </c>
      <c r="B4" s="1" t="s">
        <v>104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1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1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1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1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1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1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1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1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11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1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11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