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DataTransfer_OneValue 5" sheetId="7" r:id="rId7"/>
    <sheet name="DataTransfer_OneValue 6" sheetId="8" r:id="rId8"/>
    <sheet name="DataTransfer_OneValue 7" sheetId="9" r:id="rId9"/>
  </sheets>
  <externalReferences>
    <externalReference r:id="rId13"/>
    <externalReference r:id="rId14"/>
  </externalReferences>
  <calcPr calcId="40001"/>
</workbook>
</file>

<file path=xl/sharedStrings.xml><?xml version="1.0" encoding="utf-8"?>
<sst xmlns="http://schemas.openxmlformats.org/spreadsheetml/2006/main" uniqueCount="79">
  <si>
    <t>AUTODS</t>
  </si>
  <si>
    <t/>
  </si>
  <si>
    <t>DT_SAPTRANSACTIONCODE</t>
  </si>
  <si>
    <t>DT_FB65_0010_REFERENCE</t>
  </si>
  <si>
    <t>DT_FB65_0100_TABLECELL_COST_CENTER_0</t>
  </si>
  <si>
    <t>DT_TRANSACTIONCODE_TAX_POST</t>
  </si>
  <si>
    <t>DT_FB65_0131_CHECK_MESSAGEPARAMETER_OF_STATUSBAR_OCC1_OUTPUT</t>
  </si>
  <si>
    <t>Data Coming from another test</t>
  </si>
  <si>
    <t>DT_FB65_0100_TABLECELL_TAX_CODE_0</t>
  </si>
  <si>
    <t>DT_FB65_0131_CHECK_MESSAGEPARAMETER_OF_STATUSBAR</t>
  </si>
  <si>
    <t>DT_FB60_0010_REFERENCE</t>
  </si>
  <si>
    <t>DT_FB65_1100_CHECK_MESSAGEPARAMETER_OF_STATUSBAR_OUTPUT</t>
  </si>
  <si>
    <t>Output Data</t>
  </si>
  <si>
    <t>DT_FB65_0100_TABLECELL_BUSINESS_AREA_0</t>
  </si>
  <si>
    <t>OFF</t>
  </si>
  <si>
    <t>DT_FB65_0131_CHECK_MESSAGEPARAMETER_OF_STATUSBAR_OUTPUT</t>
  </si>
  <si>
    <t>Formulas</t>
  </si>
  <si>
    <t>200</t>
  </si>
  <si>
    <t>DT_company_code</t>
  </si>
  <si>
    <t>10031637</t>
  </si>
  <si>
    <t>ON</t>
  </si>
  <si>
    <t>30310101</t>
  </si>
  <si>
    <t>DT_FB65_0731_FROM_OCC1</t>
  </si>
  <si>
    <t>DT_SAPSYSTEM</t>
  </si>
  <si>
    <t>Credit</t>
  </si>
  <si>
    <t>F-44</t>
  </si>
  <si>
    <t>/nF-02</t>
  </si>
  <si>
    <t>Input Data</t>
  </si>
  <si>
    <t>5fa25a0597c8e7b484566a80ecfbd128b55089cc179ee1eef13b</t>
  </si>
  <si>
    <t>DT_SAPLANGUAGE</t>
  </si>
  <si>
    <t>DT_SAPOPTIONS</t>
  </si>
  <si>
    <t>DT_FB65_0100_TABLECELL_AMOUNT_IN_DOCCURR_0</t>
  </si>
  <si>
    <t>A001</t>
  </si>
  <si>
    <t>Document Number</t>
  </si>
  <si>
    <t>S</t>
  </si>
  <si>
    <t>SCENARIO</t>
  </si>
  <si>
    <t>DT_FB65_0100_TABLECELL_COMPANY_CODE_0</t>
  </si>
  <si>
    <t>Verifications</t>
  </si>
  <si>
    <t>Execution Control Data</t>
  </si>
  <si>
    <t>DT_FB65_0100_TABLECELL_DC_0</t>
  </si>
  <si>
    <t>DT_FB65_0020_BASELINEDT</t>
  </si>
  <si>
    <t>from p1</t>
  </si>
  <si>
    <t>DT_EXPECTEDVALUE_OCC1</t>
  </si>
  <si>
    <t>DT_FB65_0010_DOCUMENT_DATE</t>
  </si>
  <si>
    <t>DT_FB65_1100_CHECK_TEXT_OF_STATUSBAR</t>
  </si>
  <si>
    <t>DT_TRANSACTIONCODE_TAX_PRE</t>
  </si>
  <si>
    <t>DT_F_02_CHECK_BOX_STATUS_PRE</t>
  </si>
  <si>
    <t>EN</t>
  </si>
  <si>
    <t>FB65</t>
  </si>
  <si>
    <t>DT_FB65_0010_VENDOR</t>
  </si>
  <si>
    <t>DT_REF_INC</t>
  </si>
  <si>
    <t>DT_FB65_1100_CHECK_MESSAGEPARAMETER_OF_STATUSBAR_OCC1</t>
  </si>
  <si>
    <t>to p3</t>
  </si>
  <si>
    <t>DT_F_02_CHECK_BOX_STATUS_POST</t>
  </si>
  <si>
    <t>DT_FB65_0100_TABLECELL_GL_ACCT_0</t>
  </si>
  <si>
    <t>DT_FB65_1100_OKCD</t>
  </si>
  <si>
    <t>DT_FB65_1100_CHECK_MESSAGEPARAMETER_OF_STATUSBAR_OCC1_OUTPUT</t>
  </si>
  <si>
    <t>RS01</t>
  </si>
  <si>
    <t>DT_FB65_0731_FROM</t>
  </si>
  <si>
    <t>DT_EXPECTEDVALUE_OCC2</t>
  </si>
  <si>
    <t>DT_FB65_0131_CHECK_TEXT_OF_STATUSBAR</t>
  </si>
  <si>
    <t>F-02</t>
  </si>
  <si>
    <t>ROW_NUMBER</t>
  </si>
  <si>
    <t>Fixed Data</t>
  </si>
  <si>
    <t>R1E - SAP RETAIL Pre-Production EUROPE</t>
  </si>
  <si>
    <t>DT_SAPPASSWORD</t>
  </si>
  <si>
    <t>DT_FB65_0010_AMOUNT</t>
  </si>
  <si>
    <t>DT_FB65_1100_CHECK_MESSAGEPARAMETER_OF_STATUSBAR</t>
  </si>
  <si>
    <t>DT_FB65_0731_FROM1</t>
  </si>
  <si>
    <t>DT_FB65_0131_CHECK_MESSAGEPARAMETER_OF_STATUSBAR_OCC1</t>
  </si>
  <si>
    <t>AT_4.3.3 Reverse AP Document</t>
  </si>
  <si>
    <t>Login Information</t>
  </si>
  <si>
    <t>DT_SAPUSER</t>
  </si>
  <si>
    <t>SS000151</t>
  </si>
  <si>
    <t>DT_SAPCLIENT</t>
  </si>
  <si>
    <t>DT_FB65_0010_CALCULATE_TAX</t>
  </si>
  <si>
    <t>QG</t>
  </si>
  <si>
    <t>DT_FB65_0131_DOCUMENT_NUMBER</t>
  </si>
  <si>
    <t>DT_FB65_0131_ACCOUNT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</si>
</sst>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Border="1" applyAlignment="1" applyProtection="1">
      <alignment wrapText="1"/>
      <protection locked="0"/>
    </xf>
    <xf numFmtId="0" fontId="2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NumberFormat="1" applyBorder="1" applyProtection="1">
      <protection locked="0"/>
    </xf>
    <xf numFmtId="14" fontId="1" fillId="7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8" borderId="0" xfId="0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10" borderId="1" xfId="0" applyNumberFormat="1" applyFont="1" applyFill="1" applyBorder="1" applyProtection="1">
      <protection locked="0"/>
    </xf>
    <xf numFmtId="0" fontId="1" fillId="0" borderId="2" xfId="0" applyBorder="1" applyAlignment="1" applyProtection="1">
      <alignment wrapText="1"/>
      <protection locked="0"/>
    </xf>
    <xf numFmtId="0" fontId="4" fillId="2" borderId="1" xfId="0" applyNumberFormat="1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Relationship Id="rId14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Reverse%20AP%20Document_p1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Reverse%20AP%20Document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17"/>
  <sheetViews>
    <sheetView topLeftCell="AJ1" workbookViewId="0">
      <selection activeCell="AJ2" sqref="AJ2"/>
    </sheetView>
  </sheetViews>
  <sheetFormatPr defaultColWidth="9.125" defaultRowHeight="14.25"/>
  <cols>
    <col min="1" max="1" width="17.125" style="7" customWidth="1"/>
    <col min="2" max="2" width="32" style="7" customWidth="1"/>
    <col min="3" max="3" width="38.125" style="7" customWidth="1"/>
    <col min="4" max="4" width="15" style="7" customWidth="1"/>
    <col min="5" max="5" width="13.625" style="7" customWidth="1"/>
    <col min="6" max="6" width="24" style="7" customWidth="1"/>
    <col min="7" max="7" width="18.625" style="7" customWidth="1"/>
    <col min="8" max="8" width="16.75" style="7" customWidth="1"/>
    <col min="9" max="10" width="27.125" style="7" customWidth="1"/>
    <col min="11" max="11" width="23" style="7" customWidth="1"/>
    <col min="12" max="12" width="31.875" style="7" customWidth="1"/>
    <col min="13" max="13" width="12.5" style="7" customWidth="1"/>
    <col min="14" max="14" width="26.5" style="7" customWidth="1"/>
    <col min="15" max="15" width="23.125" style="7" customWidth="1"/>
    <col min="16" max="16" width="30.5" style="7" customWidth="1"/>
    <col min="17" max="17" width="36.875" style="7" customWidth="1"/>
    <col min="18" max="18" width="31.125" style="7" customWidth="1"/>
    <col min="19" max="19" width="49.875" style="7" customWidth="1"/>
    <col min="20" max="20" width="38.375" style="7" customWidth="1"/>
    <col min="21" max="21" width="44" style="7" customWidth="1"/>
    <col min="22" max="22" width="44.125" style="7" customWidth="1"/>
    <col min="23" max="23" width="42.375" style="7" customWidth="1"/>
    <col min="24" max="24" width="26.75" style="7" customWidth="1"/>
    <col min="25" max="25" width="59.125" style="7" customWidth="1"/>
    <col min="26" max="26" width="65" style="7" customWidth="1"/>
    <col min="27" max="27" width="58.375" style="7" customWidth="1"/>
    <col min="28" max="28" width="20.125" style="7" customWidth="1"/>
    <col min="29" max="29" width="34.875" style="7" customWidth="1"/>
    <col min="30" max="30" width="24.125" style="7" customWidth="1"/>
    <col min="31" max="31" width="20.375" style="17" customWidth="1"/>
    <col min="32" max="33" width="26.25" style="7" customWidth="1"/>
    <col min="34" max="35" width="26.625" style="7" customWidth="1"/>
    <col min="36" max="36" width="59.125" style="17" customWidth="1"/>
    <col min="37" max="37" width="65" style="7" customWidth="1"/>
    <col min="38" max="38" width="58.375" style="7" customWidth="1"/>
    <col min="39" max="39" width="26.75" style="7" customWidth="1"/>
    <col min="40" max="16384" width="9.125" style="7" customWidth="1"/>
  </cols>
  <sheetData>
    <row r="1" ht="12.75" customHeight="1" customFormat="1">
      <c r="A1" t="s">
        <v>62</v>
      </c>
      <c r="B1" t="s">
        <v>35</v>
      </c>
      <c r="C1" t="s">
        <v>23</v>
      </c>
      <c r="D1" t="s">
        <v>74</v>
      </c>
      <c r="E1" t="s">
        <v>72</v>
      </c>
      <c r="F1" t="s">
        <v>65</v>
      </c>
      <c r="G1" t="s">
        <v>29</v>
      </c>
      <c r="H1" t="s">
        <v>30</v>
      </c>
      <c r="I1" t="s">
        <v>2</v>
      </c>
      <c r="J1" t="s">
        <v>18</v>
      </c>
      <c r="K1" t="s">
        <v>49</v>
      </c>
      <c r="L1" t="s">
        <v>43</v>
      </c>
      <c r="M1" t="s">
        <v>50</v>
      </c>
      <c r="N1" t="s">
        <v>3</v>
      </c>
      <c r="O1" t="s">
        <v>66</v>
      </c>
      <c r="P1" t="s">
        <v>75</v>
      </c>
      <c r="Q1" t="s">
        <v>54</v>
      </c>
      <c r="R1" t="s">
        <v>39</v>
      </c>
      <c r="S1" t="s">
        <v>31</v>
      </c>
      <c r="T1" t="s">
        <v>8</v>
      </c>
      <c r="U1" t="s">
        <v>36</v>
      </c>
      <c r="V1" t="s">
        <v>13</v>
      </c>
      <c r="W1" t="s">
        <v>4</v>
      </c>
      <c r="X1" t="s">
        <v>40</v>
      </c>
      <c r="Y1" t="s">
        <v>67</v>
      </c>
      <c r="Z1" t="s">
        <v>51</v>
      </c>
      <c r="AA1" t="s">
        <v>44</v>
      </c>
      <c r="AB1" t="s">
        <v>55</v>
      </c>
      <c r="AC1" t="s">
        <v>77</v>
      </c>
      <c r="AD1" t="s">
        <v>78</v>
      </c>
      <c r="AE1" t="s">
        <v>58</v>
      </c>
      <c r="AF1" t="s">
        <v>68</v>
      </c>
      <c r="AG1" t="s">
        <v>22</v>
      </c>
      <c r="AH1" t="s">
        <v>42</v>
      </c>
      <c r="AI1" t="s">
        <v>59</v>
      </c>
      <c r="AJ1" t="s">
        <v>9</v>
      </c>
      <c r="AK1" t="s">
        <v>69</v>
      </c>
      <c r="AL1" t="s">
        <v>60</v>
      </c>
      <c r="AM1" t="s">
        <v>10</v>
      </c>
      <c r="AN1" t="s">
        <v>45</v>
      </c>
      <c r="AO1" t="s">
        <v>46</v>
      </c>
      <c r="AP1" t="s">
        <v>5</v>
      </c>
      <c r="AQ1" t="s">
        <v>53</v>
      </c>
    </row>
    <row r="2" s="7" customFormat="1">
      <c r="A2" s="10">
        <v>1</v>
      </c>
      <c r="B2" s="10" t="s">
        <v>70</v>
      </c>
      <c r="C2" s="4" t="s">
        <v>64</v>
      </c>
      <c r="D2" s="4" t="s">
        <v>17</v>
      </c>
      <c r="E2" s="4" t="s">
        <v>0</v>
      </c>
      <c r="F2" s="24" t="s">
        <v>28</v>
      </c>
      <c r="G2" s="4" t="s">
        <v>47</v>
      </c>
      <c r="H2" s="4" t="s">
        <v>1</v>
      </c>
      <c r="I2" s="5" t="s">
        <v>48</v>
      </c>
      <c r="J2" s="5" t="s">
        <v>57</v>
      </c>
      <c r="K2" s="2" t="s">
        <v>19</v>
      </c>
      <c r="L2" s="14">
        <f ca="1">TODAY()</f>
        <v>45786</v>
      </c>
      <c r="M2" s="2">
        <v>152</v>
      </c>
      <c r="N2" s="15" t="str">
        <f>"1234_"&amp;M2</f>
        <v>1234_152</v>
      </c>
      <c r="O2" s="2">
        <v>18000</v>
      </c>
      <c r="P2" s="2" t="s">
        <v>20</v>
      </c>
      <c r="Q2" s="2" t="s">
        <v>21</v>
      </c>
      <c r="R2" s="2" t="s">
        <v>24</v>
      </c>
      <c r="S2" s="2">
        <v>18000</v>
      </c>
      <c r="T2" s="2" t="s">
        <v>76</v>
      </c>
      <c r="U2" s="2" t="s">
        <v>57</v>
      </c>
      <c r="V2" s="2" t="s">
        <v>32</v>
      </c>
      <c r="W2" s="2" t="s">
        <v>73</v>
      </c>
      <c r="X2" s="14">
        <f ca="1">TODAY()</f>
        <v>45786</v>
      </c>
      <c r="Y2" s="6" t="e">
        <f>[2]Output!A2</f>
        <v>#REF!</v>
      </c>
      <c r="Z2" s="6" t="e">
        <f>[2]Output!B2</f>
        <v>#REF!</v>
      </c>
      <c r="AA2" s="9" t="e">
        <f>"Document " &amp;Y2&amp; " was posted in company code " &amp;Z2</f>
        <v>#REF!</v>
      </c>
      <c r="AB2" s="5" t="s">
        <v>25</v>
      </c>
      <c r="AC2" s="23" t="s">
        <v>33</v>
      </c>
      <c r="AD2" s="2" t="s">
        <v>19</v>
      </c>
      <c r="AE2" s="11">
        <v>1900000983</v>
      </c>
      <c r="AF2" s="11">
        <v>1900001106</v>
      </c>
      <c r="AG2" s="11" t="e">
        <f>Y2</f>
        <v>#REF!</v>
      </c>
      <c r="AH2" s="5" t="s">
        <v>34</v>
      </c>
      <c r="AI2" s="5" t="s">
        <v>34</v>
      </c>
      <c r="AJ2" s="16" t="e">
        <f>[2]Output!B2</f>
        <v>#REF!</v>
      </c>
      <c r="AK2" s="6" t="e">
        <f>[2]Output!C2</f>
        <v>#REF!</v>
      </c>
      <c r="AL2" s="9" t="e">
        <f>"Document " &amp;AK2&amp; " was posted in company code " &amp;AJ2</f>
        <v>#REF!</v>
      </c>
      <c r="AM2" s="1" t="str">
        <f>"Reverse_" &amp; M2</f>
        <v>Reverse_152</v>
      </c>
      <c r="AN2" s="8" t="s">
        <v>61</v>
      </c>
      <c r="AO2" s="8" t="s">
        <v>14</v>
      </c>
      <c r="AP2" s="8" t="s">
        <v>26</v>
      </c>
      <c r="AQ2" s="21" t="s">
        <v>20</v>
      </c>
    </row>
    <row r="3" s="7" customFormat="1">
      <c r="A3" s="10"/>
      <c r="B3" s="10"/>
      <c r="C3" s="1"/>
      <c r="D3" s="1"/>
      <c r="E3" s="1"/>
      <c r="F3" s="1"/>
      <c r="G3" s="1"/>
      <c r="H3" s="1"/>
      <c r="I3" s="1"/>
      <c r="J3" s="1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8" t="s">
        <v>41</v>
      </c>
      <c r="AF3" s="1"/>
      <c r="AG3" s="1"/>
      <c r="AH3" s="1"/>
      <c r="AI3" s="1"/>
      <c r="AJ3" s="16" t="s">
        <v>52</v>
      </c>
      <c r="AK3" s="1"/>
      <c r="AL3" s="1"/>
      <c r="AM3" s="1"/>
      <c r="AN3" s="1"/>
      <c r="AO3" s="1"/>
      <c r="AP3" s="1"/>
      <c r="AQ3" s="12"/>
    </row>
    <row r="4" s="7" customFormat="1">
      <c r="A4" s="10"/>
      <c r="B4" s="1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6" t="e">
        <f>[1]Global!$Z$2</f>
        <v>#REF!</v>
      </c>
      <c r="AF4" s="1"/>
      <c r="AG4" s="1"/>
      <c r="AH4" s="1"/>
      <c r="AI4" s="1"/>
      <c r="AJ4" s="16"/>
      <c r="AK4" s="1"/>
      <c r="AL4" s="1"/>
      <c r="AM4" s="1"/>
      <c r="AN4" s="1"/>
      <c r="AO4" s="1"/>
      <c r="AP4" s="1"/>
      <c r="AQ4" s="12"/>
    </row>
    <row r="5" s="7" customFormat="1">
      <c r="A5" s="10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6"/>
      <c r="AF5" s="1"/>
      <c r="AG5" s="1"/>
      <c r="AH5" s="1"/>
      <c r="AI5" s="1"/>
      <c r="AJ5" s="16"/>
      <c r="AK5" s="1"/>
      <c r="AL5" s="1"/>
      <c r="AM5" s="1"/>
      <c r="AN5" s="1"/>
      <c r="AO5" s="1"/>
      <c r="AP5" s="1"/>
      <c r="AQ5" s="12"/>
    </row>
    <row r="6" s="7" customFormat="1">
      <c r="A6" s="13"/>
      <c r="B6" s="1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6"/>
      <c r="AF6" s="1"/>
      <c r="AG6" s="1"/>
      <c r="AH6" s="1"/>
      <c r="AI6" s="1"/>
      <c r="AJ6" s="16"/>
      <c r="AK6" s="1"/>
      <c r="AL6" s="1"/>
      <c r="AM6" s="1"/>
      <c r="AN6" s="1"/>
      <c r="AO6" s="1"/>
      <c r="AP6" s="1"/>
      <c r="AQ6" s="12"/>
    </row>
    <row r="7" s="7" customFormat="1">
      <c r="A7" s="13"/>
      <c r="B7" s="1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6"/>
      <c r="AF7" s="1"/>
      <c r="AG7" s="1"/>
      <c r="AH7" s="1"/>
      <c r="AI7" s="1"/>
      <c r="AJ7" s="16"/>
      <c r="AK7" s="1"/>
      <c r="AL7" s="1"/>
      <c r="AM7" s="1"/>
      <c r="AN7" s="1"/>
      <c r="AO7" s="1"/>
      <c r="AP7" s="1"/>
      <c r="AQ7" s="12"/>
    </row>
    <row r="8" s="7" customFormat="1">
      <c r="A8" s="13"/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6"/>
      <c r="AF8" s="1"/>
      <c r="AG8" s="1"/>
      <c r="AH8" s="1"/>
      <c r="AI8" s="1"/>
      <c r="AJ8" s="16"/>
      <c r="AK8" s="1"/>
      <c r="AL8" s="1"/>
      <c r="AM8" s="1"/>
      <c r="AN8" s="1"/>
      <c r="AO8" s="1"/>
      <c r="AP8" s="1"/>
      <c r="AQ8" s="12"/>
    </row>
    <row r="9" s="7" customFormat="1">
      <c r="A9" s="13"/>
      <c r="B9" s="1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6"/>
      <c r="AF9" s="1"/>
      <c r="AG9" s="1"/>
      <c r="AH9" s="1"/>
      <c r="AI9" s="1"/>
      <c r="AJ9" s="16"/>
      <c r="AK9" s="1"/>
      <c r="AL9" s="1"/>
      <c r="AM9" s="1"/>
      <c r="AN9" s="1"/>
      <c r="AO9" s="1"/>
      <c r="AP9" s="1"/>
      <c r="AQ9" s="12"/>
    </row>
    <row r="10" s="7" customFormat="1">
      <c r="A10" s="13"/>
      <c r="B10" s="4" t="s">
        <v>71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6"/>
      <c r="AF10" s="1"/>
      <c r="AG10" s="1"/>
      <c r="AH10" s="1"/>
      <c r="AI10" s="1"/>
      <c r="AJ10" s="16"/>
      <c r="AK10" s="1"/>
      <c r="AL10" s="1"/>
      <c r="AM10" s="1"/>
      <c r="AN10" s="1"/>
      <c r="AO10" s="1"/>
      <c r="AP10" s="1"/>
      <c r="AQ10" s="12"/>
    </row>
    <row r="11" s="7" customFormat="1">
      <c r="A11" s="13"/>
      <c r="B11" s="2" t="s">
        <v>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6"/>
      <c r="AF11" s="1"/>
      <c r="AG11" s="1"/>
      <c r="AH11" s="1"/>
      <c r="AI11" s="1"/>
      <c r="AJ11" s="16"/>
      <c r="AK11" s="1"/>
      <c r="AL11" s="1"/>
      <c r="AM11" s="1"/>
      <c r="AN11" s="1"/>
      <c r="AO11" s="1"/>
      <c r="AP11" s="1"/>
      <c r="AQ11" s="12"/>
    </row>
    <row r="12" s="7" customFormat="1">
      <c r="A12" s="13"/>
      <c r="B12" s="19" t="s">
        <v>63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6"/>
      <c r="AF12" s="1"/>
      <c r="AG12" s="1"/>
      <c r="AH12" s="1"/>
      <c r="AI12" s="1"/>
      <c r="AJ12" s="16"/>
      <c r="AK12" s="1"/>
      <c r="AL12" s="1"/>
      <c r="AM12" s="1"/>
      <c r="AN12" s="1"/>
      <c r="AO12" s="1"/>
      <c r="AP12" s="1"/>
      <c r="AQ12" s="12"/>
    </row>
    <row r="13" s="7" customFormat="1">
      <c r="A13" s="13"/>
      <c r="B13" s="20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6"/>
      <c r="AF13" s="1"/>
      <c r="AG13" s="1"/>
      <c r="AH13" s="1"/>
      <c r="AI13" s="1"/>
      <c r="AJ13" s="16"/>
      <c r="AK13" s="1"/>
      <c r="AL13" s="1"/>
      <c r="AM13" s="1"/>
      <c r="AN13" s="1"/>
      <c r="AO13" s="1"/>
      <c r="AP13" s="1"/>
      <c r="AQ13" s="12"/>
    </row>
    <row r="14" s="7" customFormat="1">
      <c r="A14" s="13"/>
      <c r="B14" s="15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6"/>
      <c r="AF14" s="1"/>
      <c r="AG14" s="1"/>
      <c r="AH14" s="1"/>
      <c r="AI14" s="1"/>
      <c r="AJ14" s="16"/>
      <c r="AK14" s="1"/>
      <c r="AL14" s="1"/>
      <c r="AM14" s="1"/>
      <c r="AN14" s="1"/>
      <c r="AO14" s="1"/>
      <c r="AP14" s="1"/>
      <c r="AQ14" s="12"/>
    </row>
    <row r="15" s="7" customFormat="1">
      <c r="A15" s="13"/>
      <c r="B15" s="9" t="s">
        <v>37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6"/>
      <c r="AF15" s="1"/>
      <c r="AG15" s="1"/>
      <c r="AH15" s="1"/>
      <c r="AI15" s="1"/>
      <c r="AJ15" s="16"/>
      <c r="AK15" s="1"/>
      <c r="AL15" s="1"/>
      <c r="AM15" s="1"/>
      <c r="AN15" s="1"/>
      <c r="AO15" s="1"/>
      <c r="AP15" s="1"/>
      <c r="AQ15" s="12"/>
    </row>
    <row r="16" s="7" customFormat="1">
      <c r="A16" s="13"/>
      <c r="B16" s="2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6"/>
      <c r="AF16" s="1"/>
      <c r="AG16" s="1"/>
      <c r="AH16" s="1"/>
      <c r="AI16" s="1"/>
      <c r="AJ16" s="16"/>
      <c r="AK16" s="1"/>
      <c r="AL16" s="1"/>
      <c r="AM16" s="1"/>
      <c r="AN16" s="1"/>
      <c r="AO16" s="1"/>
      <c r="AP16" s="1"/>
      <c r="AQ16" s="12"/>
    </row>
    <row r="17" s="7" customFormat="1">
      <c r="A17" s="13"/>
      <c r="B17" s="10" t="s">
        <v>38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6"/>
      <c r="AF17" s="1"/>
      <c r="AG17" s="1"/>
      <c r="AH17" s="1"/>
      <c r="AI17" s="1"/>
      <c r="AJ17" s="16"/>
      <c r="AK17" s="1"/>
      <c r="AL17" s="1"/>
      <c r="AM17" s="1"/>
      <c r="AN17" s="1"/>
      <c r="AO17" s="1"/>
      <c r="AP17" s="1"/>
      <c r="AQ17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topLeftCell="C1" workbookViewId="0">
      <selection activeCell="C2" sqref="C2"/>
    </sheetView>
  </sheetViews>
  <sheetFormatPr defaultColWidth="9.125" defaultRowHeight="14.25"/>
  <cols>
    <col min="1" max="1" width="69.25" style="7" bestFit="1" customWidth="1"/>
    <col min="2" max="2" width="75.75" style="7" bestFit="1" customWidth="1"/>
    <col min="3" max="3" width="69.25" style="7" bestFit="1" customWidth="1"/>
    <col min="4" max="4" width="75.75" style="7" bestFit="1" customWidth="1"/>
    <col min="5" max="16384" width="9.125" style="7" customWidth="1"/>
  </cols>
  <sheetData>
    <row r="1" ht="12.75" customHeight="1" customFormat="1">
      <c r="A1" t="s">
        <v>11</v>
      </c>
      <c r="B1" t="s">
        <v>56</v>
      </c>
      <c r="C1" t="s">
        <v>15</v>
      </c>
      <c r="D1" t="s">
        <v>6</v>
      </c>
    </row>
    <row r="2">
      <c r="A2" s="1">
        <v>1700000629</v>
      </c>
      <c r="B2" s="1" t="s">
        <v>57</v>
      </c>
      <c r="C2" s="1">
        <v>9000205896</v>
      </c>
      <c r="D2" s="12" t="s">
        <v>57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