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<sst xmlns="http://schemas.openxmlformats.org/spreadsheetml/2006/main" uniqueCount="78">
  <si>
    <t/>
  </si>
  <si>
    <t>DT_SAPTRANSACTIONCODE</t>
  </si>
  <si>
    <t>DT_COMPANY_CODE1</t>
  </si>
  <si>
    <t>MS</t>
  </si>
  <si>
    <t>DT_FB70_1200_DETAILS</t>
  </si>
  <si>
    <t>Posting is only possible with a zero balance; correct document</t>
  </si>
  <si>
    <t>DT_FB70_0100_DOCUMENT_NUMBER</t>
  </si>
  <si>
    <t>5fd9075e14eb72dde9d5201adc1b50845f3da04a842b</t>
  </si>
  <si>
    <t>DT_SCENARIO</t>
  </si>
  <si>
    <t>Interest Calculation_p1</t>
  </si>
  <si>
    <t>Data Coming from another test</t>
  </si>
  <si>
    <t>FB70</t>
  </si>
  <si>
    <t>Details</t>
  </si>
  <si>
    <t>Output Data</t>
  </si>
  <si>
    <t>DT_FB70_0750_CHECK_GETCELLVALUE_OF_GRIDCELL_1_KTONR</t>
  </si>
  <si>
    <t>Formulas</t>
  </si>
  <si>
    <t>200</t>
  </si>
  <si>
    <t>DT_FB70_0510_POSTING_DATE</t>
  </si>
  <si>
    <t>DT_EXPECTEDVALUE</t>
  </si>
  <si>
    <t>DT_FB70_0510_AMOUNT</t>
  </si>
  <si>
    <t>ON</t>
  </si>
  <si>
    <t>DT_FB70_0100_TABLECELL_GL_ACCT_0</t>
  </si>
  <si>
    <t>DT_FB70_0100_TABLECELL_AMOUNT_IN_DOCCURR_0</t>
  </si>
  <si>
    <t>DT_FB70_0750_CHECK_GETCELLVALUE_OF_GRIDCELL_0_BSCHL</t>
  </si>
  <si>
    <t>01</t>
  </si>
  <si>
    <t>DT_SAPSYSTEM</t>
  </si>
  <si>
    <t>11338340</t>
  </si>
  <si>
    <t>DT_FB70_0510_REFERENCE</t>
  </si>
  <si>
    <t>DT_FB70_0100_TABLECELL_TAX_CODE_0</t>
  </si>
  <si>
    <t>FB02</t>
  </si>
  <si>
    <t>Input Data</t>
  </si>
  <si>
    <t>DT_SAPLANGUAGE</t>
  </si>
  <si>
    <t>DT_SAPOPTIONS</t>
  </si>
  <si>
    <t>DT_FB70_0510_CUSTOMER</t>
  </si>
  <si>
    <t>S</t>
  </si>
  <si>
    <t>DT_FB70_0100_TABLECELL_BUSINESS_AREA_0</t>
  </si>
  <si>
    <t>A001</t>
  </si>
  <si>
    <t>DT_FB70_0100_TABLECELL_COST_CENTER_0</t>
  </si>
  <si>
    <t>DT_FB70_0100_FISCAL_YEAR</t>
  </si>
  <si>
    <t>DT_FB70_0750_CHECK_GETCELLVALUE_OF_GRIDCELL_2_BSCHL</t>
  </si>
  <si>
    <t>Verifications</t>
  </si>
  <si>
    <t>Execution Control Data</t>
  </si>
  <si>
    <t>5431</t>
  </si>
  <si>
    <t>DT_FB70_1200_PAYMENT</t>
  </si>
  <si>
    <t>00A1</t>
  </si>
  <si>
    <t>DT_EXPECTEDVALUE_OCC1</t>
  </si>
  <si>
    <t>DT_FB70_1200_CHECK_TEXT_OF_STATUSBAR</t>
  </si>
  <si>
    <t>30111101</t>
  </si>
  <si>
    <t>22911112</t>
  </si>
  <si>
    <t>AUTOFICO</t>
  </si>
  <si>
    <t>EN</t>
  </si>
  <si>
    <t>DT_FB70_0510_INVOICE_DATE</t>
  </si>
  <si>
    <t>Payment</t>
  </si>
  <si>
    <t>DT_FB70_0520_PMNT_TERMS</t>
  </si>
  <si>
    <t>DT_FB70_0100_OKCD</t>
  </si>
  <si>
    <t>DT_FB70_0750_CHECK_GETCELLVALUE_OF_GRIDCELL_0_KTONR</t>
  </si>
  <si>
    <t>DT_FB70_0750_CHECK_TEXT_OF_COMPANY_CODE</t>
  </si>
  <si>
    <t>DT_ROW</t>
  </si>
  <si>
    <t>DT_FB70_0550_HEADERTEXT</t>
  </si>
  <si>
    <t>RS01</t>
  </si>
  <si>
    <t>invoice 7</t>
  </si>
  <si>
    <t>50</t>
  </si>
  <si>
    <t>DT_DOCUMENT_NUMBER_OUTPUT</t>
  </si>
  <si>
    <t>R1E - SAP RETAIL Pre-Production EUROPE</t>
  </si>
  <si>
    <t>Fixed Data</t>
  </si>
  <si>
    <t>DT_SAPPASSWORD</t>
  </si>
  <si>
    <t>DT_FB70_1200_BASIC_DATA</t>
  </si>
  <si>
    <t>DT_FB70_1200_CHECK_TEXT_OF_STATUSBAR_OCC1</t>
  </si>
  <si>
    <t>DT_FB70_0750_CHECK_GETCELLVALUE_OF_GRIDCELL_2_KTONR</t>
  </si>
  <si>
    <t>Login Information</t>
  </si>
  <si>
    <t>DT_SAPUSER</t>
  </si>
  <si>
    <t>Basic data</t>
  </si>
  <si>
    <t>DT_FB70_0510_CALCULATE_TAX</t>
  </si>
  <si>
    <t>SS000151</t>
  </si>
  <si>
    <t>DT_FB70_0750_CHECK_GETCELLVALUE_OF_GRIDCELL_1_BSCHL</t>
  </si>
  <si>
    <t>DT_SAPCLIENT</t>
  </si>
  <si>
    <t>DT_DOCUMENT_NUMBER</t>
  </si>
  <si>
    <t>DT_FB70_0100_COMPANY_CODE</t>
  </si>
</sst>
</file>

<file path=xl/styles.xml><?xml version="1.0" encoding="utf-8"?>
<styleSheet xmlns="http://schemas.openxmlformats.org/spreadsheetml/2006/main">
  <numFmts count="1">
    <numFmt numFmtId="164" formatCode="ddmm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8.8"/>
      <color rgb="FF000000"/>
      <name val="Arial"/>
      <family val="2"/>
    </font>
    <font>
      <sz val="11"/>
      <color indexed="53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14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2" fillId="3" borderId="2" xfId="0" applyNumberFormat="1" applyFont="1" applyFill="1" applyBorder="1" applyProtection="1">
      <protection locked="0"/>
    </xf>
    <xf numFmtId="0" fontId="5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Interest%20Calculation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P11"/>
  <sheetViews>
    <sheetView topLeftCell="R1" workbookViewId="0">
      <selection activeCell="R2" sqref="R2"/>
    </sheetView>
  </sheetViews>
  <sheetFormatPr defaultColWidth="9.125" defaultRowHeight="14.25"/>
  <cols>
    <col min="1" max="1" width="9.125" style="8" customWidth="1"/>
    <col min="2" max="2" width="21.875" style="8" customWidth="1"/>
    <col min="3" max="3" width="44.625" style="8" customWidth="1"/>
    <col min="4" max="4" width="15" style="8" customWidth="1"/>
    <col min="5" max="5" width="13.625" style="8" customWidth="1"/>
    <col min="6" max="6" width="27.875" style="8" customWidth="1"/>
    <col min="7" max="7" width="18.625" style="8" customWidth="1"/>
    <col min="8" max="8" width="16.75" style="8" customWidth="1"/>
    <col min="9" max="10" width="27.125" style="8" customWidth="1"/>
    <col min="11" max="11" width="25.625" style="8" customWidth="1"/>
    <col min="12" max="12" width="28.625" style="8" customWidth="1"/>
    <col min="13" max="13" width="29.5" style="8" customWidth="1"/>
    <col min="14" max="14" width="26.5" style="8" customWidth="1"/>
    <col min="15" max="15" width="20.75" style="8" customWidth="1"/>
    <col min="16" max="16" width="26.625" style="8" customWidth="1"/>
    <col min="17" max="17" width="27.75" style="8" customWidth="1"/>
    <col min="18" max="18" width="23.125" style="8" customWidth="1"/>
    <col min="19" max="19" width="30.5" style="8" customWidth="1"/>
    <col min="20" max="20" width="36.875" style="8" customWidth="1"/>
    <col min="21" max="21" width="49.875" style="8" customWidth="1"/>
    <col min="22" max="22" width="38.375" style="8" customWidth="1"/>
    <col min="23" max="23" width="44.125" style="8" customWidth="1"/>
    <col min="24" max="24" width="42.375" style="8" customWidth="1"/>
    <col min="25" max="25" width="22.875" style="8" customWidth="1"/>
    <col min="26" max="26" width="24.125" style="8" customWidth="1"/>
    <col min="27" max="27" width="28" style="8" customWidth="1"/>
    <col min="28" max="28" width="26.625" style="8" customWidth="1"/>
    <col min="29" max="29" width="58.375" style="8" customWidth="1"/>
    <col min="30" max="30" width="24.5" style="8" customWidth="1"/>
    <col min="31" max="31" width="58.375" style="8" customWidth="1"/>
    <col min="32" max="32" width="20.125" style="8" customWidth="1"/>
    <col min="33" max="33" width="34.875" style="8" customWidth="1"/>
    <col min="34" max="34" width="30.5" style="8" customWidth="1"/>
    <col min="35" max="35" width="27.5" style="8" customWidth="1"/>
    <col min="36" max="38" width="59.5" style="8" customWidth="1"/>
    <col min="39" max="41" width="59.875" style="8" customWidth="1"/>
    <col min="42" max="42" width="47.125" style="8" customWidth="1"/>
    <col min="43" max="16384" width="9.125" style="8" customWidth="1"/>
  </cols>
  <sheetData>
    <row r="1" ht="12.75" customHeight="1" customFormat="1">
      <c r="A1" t="s">
        <v>57</v>
      </c>
      <c r="B1" t="s">
        <v>8</v>
      </c>
      <c r="C1" t="s">
        <v>25</v>
      </c>
      <c r="D1" t="s">
        <v>75</v>
      </c>
      <c r="E1" t="s">
        <v>70</v>
      </c>
      <c r="F1" t="s">
        <v>65</v>
      </c>
      <c r="G1" t="s">
        <v>31</v>
      </c>
      <c r="H1" t="s">
        <v>32</v>
      </c>
      <c r="I1" t="s">
        <v>1</v>
      </c>
      <c r="J1" t="s">
        <v>2</v>
      </c>
      <c r="K1" t="s">
        <v>33</v>
      </c>
      <c r="L1" t="s">
        <v>51</v>
      </c>
      <c r="M1" t="s">
        <v>17</v>
      </c>
      <c r="N1" t="s">
        <v>27</v>
      </c>
      <c r="O1" t="s">
        <v>18</v>
      </c>
      <c r="P1" t="s">
        <v>66</v>
      </c>
      <c r="Q1" t="s">
        <v>58</v>
      </c>
      <c r="R1" t="s">
        <v>19</v>
      </c>
      <c r="S1" t="s">
        <v>72</v>
      </c>
      <c r="T1" t="s">
        <v>21</v>
      </c>
      <c r="U1" t="s">
        <v>22</v>
      </c>
      <c r="V1" t="s">
        <v>28</v>
      </c>
      <c r="W1" t="s">
        <v>35</v>
      </c>
      <c r="X1" t="s">
        <v>37</v>
      </c>
      <c r="Y1" t="s">
        <v>4</v>
      </c>
      <c r="Z1" t="s">
        <v>43</v>
      </c>
      <c r="AA1" t="s">
        <v>53</v>
      </c>
      <c r="AB1" t="s">
        <v>45</v>
      </c>
      <c r="AC1" t="s">
        <v>46</v>
      </c>
      <c r="AD1" t="s">
        <v>76</v>
      </c>
      <c r="AE1" t="s">
        <v>67</v>
      </c>
      <c r="AF1" t="s">
        <v>54</v>
      </c>
      <c r="AG1" t="s">
        <v>6</v>
      </c>
      <c r="AH1" t="s">
        <v>77</v>
      </c>
      <c r="AI1" t="s">
        <v>38</v>
      </c>
      <c r="AJ1" t="s">
        <v>23</v>
      </c>
      <c r="AK1" t="s">
        <v>74</v>
      </c>
      <c r="AL1" t="s">
        <v>39</v>
      </c>
      <c r="AM1" t="s">
        <v>55</v>
      </c>
      <c r="AN1" t="s">
        <v>14</v>
      </c>
      <c r="AO1" t="s">
        <v>68</v>
      </c>
      <c r="AP1" t="s">
        <v>56</v>
      </c>
    </row>
    <row r="2">
      <c r="A2" s="1">
        <v>1</v>
      </c>
      <c r="B2" s="1" t="s">
        <v>9</v>
      </c>
      <c r="C2" s="4" t="s">
        <v>63</v>
      </c>
      <c r="D2" s="4" t="s">
        <v>16</v>
      </c>
      <c r="E2" s="4" t="s">
        <v>49</v>
      </c>
      <c r="F2" s="4" t="s">
        <v>7</v>
      </c>
      <c r="G2" s="4" t="s">
        <v>50</v>
      </c>
      <c r="H2" s="4" t="s">
        <v>0</v>
      </c>
      <c r="I2" s="1" t="s">
        <v>11</v>
      </c>
      <c r="J2" s="1" t="s">
        <v>59</v>
      </c>
      <c r="K2" s="2">
        <v>11338218</v>
      </c>
      <c r="L2" s="11">
        <f ca="1" t="shared" si="0" ref="L2:M4">DATE(YEAR(TODAY()),MONTH(TODAY()),1)</f>
        <v>45778</v>
      </c>
      <c r="M2" s="11">
        <f ca="1" t="shared" si="0"/>
        <v>45778</v>
      </c>
      <c r="N2" s="2" t="s">
        <v>42</v>
      </c>
      <c r="O2" s="2" t="s">
        <v>34</v>
      </c>
      <c r="P2" s="6" t="s">
        <v>71</v>
      </c>
      <c r="Q2" s="2" t="s">
        <v>60</v>
      </c>
      <c r="R2" s="2">
        <v>12000</v>
      </c>
      <c r="S2" s="2" t="s">
        <v>20</v>
      </c>
      <c r="T2" s="2" t="s">
        <v>47</v>
      </c>
      <c r="U2" s="2">
        <v>10000</v>
      </c>
      <c r="V2" s="2" t="s">
        <v>3</v>
      </c>
      <c r="W2" s="2" t="s">
        <v>36</v>
      </c>
      <c r="X2" s="2" t="s">
        <v>73</v>
      </c>
      <c r="Y2" s="6" t="s">
        <v>12</v>
      </c>
      <c r="Z2" s="6" t="s">
        <v>52</v>
      </c>
      <c r="AA2" s="2" t="s">
        <v>44</v>
      </c>
      <c r="AB2" s="1" t="s">
        <v>34</v>
      </c>
      <c r="AC2" s="5" t="s">
        <v>5</v>
      </c>
      <c r="AD2" s="5" t="e">
        <f>[1]Output!A2</f>
        <v>#REF!</v>
      </c>
      <c r="AE2" s="3" t="e">
        <f>"Document "&amp;AD2&amp;" was posted in company code RS01"</f>
        <v>#REF!</v>
      </c>
      <c r="AF2" s="17" t="s">
        <v>29</v>
      </c>
      <c r="AG2" s="2" t="e">
        <f>AD2</f>
        <v>#REF!</v>
      </c>
      <c r="AH2" s="2" t="s">
        <v>59</v>
      </c>
      <c r="AI2" s="2">
        <f ca="1">YEAR(TODAY())</f>
        <v>2025</v>
      </c>
      <c r="AJ2" s="3" t="s">
        <v>24</v>
      </c>
      <c r="AK2" s="3" t="s">
        <v>61</v>
      </c>
      <c r="AL2" s="3" t="s">
        <v>61</v>
      </c>
      <c r="AM2" s="3">
        <v>11338218</v>
      </c>
      <c r="AN2" s="3" t="s">
        <v>47</v>
      </c>
      <c r="AO2" s="3" t="s">
        <v>48</v>
      </c>
      <c r="AP2" s="16" t="s">
        <v>59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>
        <v>11338218</v>
      </c>
      <c r="L3" s="11">
        <f ca="1" t="shared" si="0"/>
        <v>45778</v>
      </c>
      <c r="M3" s="11">
        <f ca="1" t="shared" si="0"/>
        <v>45778</v>
      </c>
      <c r="N3" s="1"/>
      <c r="O3" s="1"/>
      <c r="P3" s="1"/>
      <c r="Q3" s="1"/>
      <c r="R3" s="1"/>
      <c r="S3" s="1"/>
      <c r="T3" s="1"/>
      <c r="U3" s="2">
        <v>12000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3">
        <v>11338218</v>
      </c>
      <c r="AN3" s="1"/>
      <c r="AO3" s="1"/>
      <c r="AP3" s="10"/>
    </row>
    <row r="4">
      <c r="A4" s="1"/>
      <c r="B4" s="1"/>
      <c r="C4" s="4" t="s">
        <v>69</v>
      </c>
      <c r="D4" s="1"/>
      <c r="E4" s="1"/>
      <c r="F4" s="1"/>
      <c r="G4" s="1"/>
      <c r="H4" s="1"/>
      <c r="I4" s="1"/>
      <c r="J4" s="1"/>
      <c r="K4" s="2" t="s">
        <v>26</v>
      </c>
      <c r="L4" s="7">
        <f ca="1" t="shared" si="0"/>
        <v>45778</v>
      </c>
      <c r="M4" s="7">
        <f ca="1" t="shared" si="0"/>
        <v>45778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0"/>
    </row>
    <row r="5">
      <c r="A5" s="1"/>
      <c r="B5" s="1"/>
      <c r="C5" s="2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0"/>
    </row>
    <row r="6">
      <c r="A6" s="1"/>
      <c r="B6" s="1"/>
      <c r="C6" s="14" t="s">
        <v>64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0"/>
    </row>
    <row r="7">
      <c r="A7" s="1"/>
      <c r="B7" s="1"/>
      <c r="C7" s="5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0"/>
    </row>
    <row r="8">
      <c r="A8" s="1"/>
      <c r="B8" s="1"/>
      <c r="C8" s="13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0"/>
    </row>
    <row r="9">
      <c r="A9" s="1"/>
      <c r="B9" s="1"/>
      <c r="C9" s="3" t="s">
        <v>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0"/>
    </row>
    <row r="10">
      <c r="A10" s="1"/>
      <c r="B10" s="1"/>
      <c r="C10" s="12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0"/>
    </row>
    <row r="11">
      <c r="A11" s="1"/>
      <c r="B11" s="1"/>
      <c r="C11" s="15" t="s">
        <v>41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10.875" style="8" bestFit="1" customWidth="1"/>
    <col min="2" max="16384" width="9.125" style="8" customWidth="1"/>
  </cols>
  <sheetData>
    <row r="1" ht="12.75" customHeight="1" customFormat="1">
      <c r="A1" t="s">
        <v>62</v>
      </c>
    </row>
    <row r="2">
      <c r="A2" s="10">
        <v>1600000087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