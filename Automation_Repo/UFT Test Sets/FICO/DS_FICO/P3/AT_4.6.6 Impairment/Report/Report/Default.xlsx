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8"/>
  </bookViews>
  <sheets>
    <sheet name="Global" sheetId="1" r:id="rId1"/>
    <sheet name="RunTimeResultFolderCreation" sheetId="2" r:id="rId2"/>
    <sheet name="DataTransfer_OneValue1" sheetId="3" r:id="rId3"/>
    <sheet name="DataTransfer_OneValue 2" sheetId="4" r:id="rId4"/>
    <sheet name="DataTransfer_OneValue 3" sheetId="5" r:id="rId5"/>
    <sheet name="TC4_Test_Impairment_p4" sheetId="6" r:id="rId6"/>
    <sheet name="TC3_Test_Impairment_p3" sheetId="7" r:id="rId7"/>
    <sheet name="TC2_Test_Impairment_p2" sheetId="8" r:id="rId8"/>
    <sheet name="TC1_Test_Impairment_p1" sheetId="9" r:id="rId9"/>
  </sheets>
  <externalReferences>
    <externalReference r:id="rId13"/>
  </externalReferences>
  <calcPr calcId="40001"/>
</workbook>
</file>

<file path=xl/sharedStrings.xml><?xml version="1.0" encoding="utf-8"?>
<sst xmlns="http://schemas.openxmlformats.org/spreadsheetml/2006/main" uniqueCount="50">
  <si>
    <t/>
  </si>
  <si>
    <t>DT_SAPTRANSACTIONCODE</t>
  </si>
  <si>
    <t>DT_ABAW_0100_POSTING_PERIOD</t>
  </si>
  <si>
    <t>DT_STATUSBAR</t>
  </si>
  <si>
    <t>Logon Information</t>
  </si>
  <si>
    <t>ABAW</t>
  </si>
  <si>
    <t>DT_YEAR</t>
  </si>
  <si>
    <t>Fix</t>
  </si>
  <si>
    <t>DT_AR01_1000_DEPRECIATION_AREA</t>
  </si>
  <si>
    <t xml:space="preserve">Impairment value used </t>
  </si>
  <si>
    <t>Input Value</t>
  </si>
  <si>
    <t>DT_STATUSBAR_OUTPUT</t>
  </si>
  <si>
    <t>200</t>
  </si>
  <si>
    <t>Formulas</t>
  </si>
  <si>
    <t>Data from other test</t>
  </si>
  <si>
    <t>DT_ABAW_0100_COMPANY_CODE</t>
  </si>
  <si>
    <t>01</t>
  </si>
  <si>
    <t>DT_SAPSYSTEM</t>
  </si>
  <si>
    <t>585d77e9b49e15325e806e34</t>
  </si>
  <si>
    <t>Background job was scheduled for program RAPOST2000</t>
  </si>
  <si>
    <t>DT_SAPLANGUAGE</t>
  </si>
  <si>
    <t>DT_SAPOPTIONS</t>
  </si>
  <si>
    <t>DT_AR01_1000_SORT_VARIANT</t>
  </si>
  <si>
    <t>DT_AMOUNT</t>
  </si>
  <si>
    <t>SCENARIO</t>
  </si>
  <si>
    <t>DT_ABAW_0100_ASSET</t>
  </si>
  <si>
    <t>AR01</t>
  </si>
  <si>
    <t>DT_ABAW_0100_ASSET_OCC1</t>
  </si>
  <si>
    <t>Execution Control Data</t>
  </si>
  <si>
    <t>LOCL</t>
  </si>
  <si>
    <t>Impairment_p5</t>
  </si>
  <si>
    <t>0001</t>
  </si>
  <si>
    <t>EN</t>
  </si>
  <si>
    <t>DT_DATE</t>
  </si>
  <si>
    <t>DT_REPORT_DATE</t>
  </si>
  <si>
    <t>AUTOFDS</t>
  </si>
  <si>
    <t>AFAB</t>
  </si>
  <si>
    <t>DT_OUTPUT_DEVICE</t>
  </si>
  <si>
    <t>X</t>
  </si>
  <si>
    <t>RS01</t>
  </si>
  <si>
    <t>R1E - SAP RETAIL Pre-Production EUROPE</t>
  </si>
  <si>
    <t>DT_SAPPASSWORD</t>
  </si>
  <si>
    <t>ROW</t>
  </si>
  <si>
    <t>Checks</t>
  </si>
  <si>
    <t>Output Value</t>
  </si>
  <si>
    <t>DT_SAPUSER</t>
  </si>
  <si>
    <t>DT_SAPCLIENT</t>
  </si>
  <si>
    <t>DT_SAPTRANSACTIONCODE_OCC1</t>
  </si>
  <si>
    <t>DT_ABAW_0100_COMPANY_CODE_OCC1</t>
  </si>
  <si>
    <t>Y</t>
  </si>
</sst>
</file>

<file path=xl/styles.xml><?xml version="1.0" encoding="utf-8"?>
<styleSheet xmlns="http://schemas.openxmlformats.org/spreadsheetml/2006/main">
  <numFmts count="0"/>
  <fonts count="20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10"/>
      <name val="Mic Shell Dlg"/>
      <charset val="1"/>
    </font>
    <font>
      <sz val="11"/>
      <color indexed="9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6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Border="1" applyProtection="1">
      <protection locked="0"/>
    </xf>
    <xf numFmtId="0" fontId="1" fillId="2" borderId="1" xfId="0" applyFont="1" applyFill="1" applyBorder="1" applyProtection="1">
      <protection locked="0"/>
    </xf>
    <xf numFmtId="0" fontId="1" fillId="3" borderId="1" xfId="0" applyFont="1" applyFill="1" applyBorder="1" applyProtection="1">
      <protection locked="0"/>
    </xf>
    <xf numFmtId="0" fontId="0" fillId="0" borderId="0" xfId="0" applyBorder="1" applyProtection="1">
      <protection locked="0"/>
    </xf>
    <xf numFmtId="0" fontId="2" fillId="3" borderId="1" xfId="0" applyFont="1" applyFill="1" applyBorder="1" applyProtection="1">
      <protection locked="0"/>
    </xf>
    <xf numFmtId="14" fontId="2" fillId="3" borderId="1" xfId="0" applyNumberFormat="1" applyFont="1" applyFill="1" applyBorder="1" applyProtection="1">
      <protection locked="0"/>
    </xf>
    <xf numFmtId="0" fontId="1" fillId="4" borderId="1" xfId="0" applyFill="1" applyBorder="1" applyAlignment="1" applyProtection="1">
      <protection locked="0"/>
    </xf>
    <xf numFmtId="0" fontId="1" fillId="0" borderId="2" xfId="0" applyBorder="1" applyProtection="1">
      <protection locked="0"/>
    </xf>
    <xf numFmtId="0" fontId="1" fillId="0" borderId="0" xfId="0" applyBorder="1" applyProtection="1">
      <protection locked="0"/>
    </xf>
    <xf numFmtId="0" fontId="1" fillId="5" borderId="1" xfId="0" applyFont="1" applyFill="1" applyBorder="1" applyProtection="1">
      <protection locked="0"/>
    </xf>
    <xf numFmtId="0" fontId="1" fillId="0" borderId="1" xfId="0" applyFont="1" applyBorder="1" applyProtection="1">
      <protection locked="0"/>
    </xf>
    <xf numFmtId="0" fontId="1" fillId="6" borderId="1" xfId="0" applyFont="1" applyFill="1" applyBorder="1" applyProtection="1">
      <protection locked="0"/>
    </xf>
    <xf numFmtId="0" fontId="3" fillId="7" borderId="1" xfId="0" applyFont="1" applyFill="1" applyBorder="1" applyProtection="1">
      <protection locked="0"/>
    </xf>
    <xf numFmtId="49" fontId="1" fillId="0" borderId="1" xfId="0" applyNumberFormat="1" applyBorder="1" applyProtection="1">
      <protection locked="0"/>
    </xf>
    <xf numFmtId="0" fontId="3" fillId="7" borderId="2" xfId="0" applyFont="1" applyFill="1" applyBorder="1" applyProtection="1">
      <protection locked="0"/>
    </xf>
    <xf numFmtId="0" fontId="1" fillId="6" borderId="1" xfId="0" applyNumberFormat="1" applyFont="1" applyFill="1" applyBorder="1" applyProtection="1">
      <protection locked="0"/>
    </xf>
    <xf numFmtId="4" fontId="1" fillId="0" borderId="1" xfId="0" applyNumberFormat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0" Type="http://schemas.openxmlformats.org/officeDocument/2006/relationships/theme" Target="theme/theme1.xml" /><Relationship Id="rId11" Type="http://schemas.openxmlformats.org/officeDocument/2006/relationships/styles" Target="styles.xml" /><Relationship Id="rId12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3" Type="http://schemas.openxmlformats.org/officeDocument/2006/relationships/externalLink" Target="externalLinks/externalLink1.xml" /></Relationships>
</file>

<file path=xl/externalLinks/_rels/externalLink1.xml.rels>&#65279;<?xml version="1.0" encoding="utf-8"?><Relationships xmlns="http://schemas.openxmlformats.org/package/2006/relationships"><Relationship Id="rId1" Type="http://schemas.openxmlformats.org/officeDocument/2006/relationships/externalLinkPath" Target="file:///S:\TASETestData\DS\RETAIL\TASE_DT_Impairment_p4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lobal"/>
      <sheetName val="Output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Y15"/>
  <sheetViews>
    <sheetView topLeftCell="I1" workbookViewId="0">
      <selection activeCell="I2" sqref="I2"/>
    </sheetView>
  </sheetViews>
  <sheetFormatPr defaultColWidth="9.125" defaultRowHeight="14.25"/>
  <cols>
    <col min="1" max="1" width="9.125" style="9" customWidth="1"/>
    <col min="2" max="2" width="13.125" style="9" customWidth="1"/>
    <col min="3" max="3" width="38.125" style="9" customWidth="1"/>
    <col min="4" max="4" width="20.125" style="9" customWidth="1"/>
    <col min="5" max="5" width="13.625" style="9" customWidth="1"/>
    <col min="6" max="6" width="25" style="9" customWidth="1"/>
    <col min="7" max="7" width="18.625" style="9" customWidth="1"/>
    <col min="8" max="8" width="16.75" style="9" customWidth="1"/>
    <col min="9" max="9" width="27.125" style="9" customWidth="1"/>
    <col min="10" max="10" width="31.625" style="9" customWidth="1"/>
    <col min="11" max="13" width="22.375" style="9" customWidth="1"/>
    <col min="14" max="14" width="32.625" style="9" customWidth="1"/>
    <col min="15" max="16" width="23" style="9" customWidth="1"/>
    <col min="17" max="17" width="35.625" style="9" customWidth="1"/>
    <col min="18" max="18" width="31.625" style="9" customWidth="1"/>
    <col min="19" max="20" width="22.375" style="9" customWidth="1"/>
    <col min="21" max="21" width="33" style="9" customWidth="1"/>
    <col min="22" max="23" width="31" style="9" customWidth="1"/>
    <col min="24" max="24" width="60.25" style="9" customWidth="1"/>
    <col min="25" max="25" width="63.125" style="9" customWidth="1"/>
    <col min="26" max="16384" width="9.125" style="9" customWidth="1"/>
  </cols>
  <sheetData>
    <row r="1" ht="12.75" customHeight="1" customFormat="1">
      <c r="A1" t="s">
        <v>42</v>
      </c>
      <c r="B1" t="s">
        <v>24</v>
      </c>
      <c r="C1" t="s">
        <v>17</v>
      </c>
      <c r="D1" t="s">
        <v>46</v>
      </c>
      <c r="E1" t="s">
        <v>45</v>
      </c>
      <c r="F1" t="s">
        <v>41</v>
      </c>
      <c r="G1" t="s">
        <v>20</v>
      </c>
      <c r="H1" t="s">
        <v>21</v>
      </c>
      <c r="I1" t="s">
        <v>1</v>
      </c>
      <c r="J1" t="s">
        <v>15</v>
      </c>
      <c r="K1" t="s">
        <v>25</v>
      </c>
      <c r="L1" t="s">
        <v>33</v>
      </c>
      <c r="M1" t="s">
        <v>6</v>
      </c>
      <c r="N1" t="s">
        <v>2</v>
      </c>
      <c r="O1" t="s">
        <v>3</v>
      </c>
      <c r="P1" t="s">
        <v>37</v>
      </c>
      <c r="Q1" t="s">
        <v>47</v>
      </c>
      <c r="R1" t="s">
        <v>48</v>
      </c>
      <c r="S1" t="s">
        <v>27</v>
      </c>
      <c r="T1" t="s">
        <v>34</v>
      </c>
      <c r="U1" t="s">
        <v>8</v>
      </c>
      <c r="V1" t="s">
        <v>22</v>
      </c>
      <c r="W1" t="s">
        <v>23</v>
      </c>
      <c r="X1" t="s">
        <v>38</v>
      </c>
      <c r="Y1" t="s">
        <v>49</v>
      </c>
    </row>
    <row r="2" ht="12.75" customHeight="1">
      <c r="A2" s="7">
        <v>1</v>
      </c>
      <c r="B2" s="7" t="s">
        <v>30</v>
      </c>
      <c r="C2" s="2" t="s">
        <v>40</v>
      </c>
      <c r="D2" s="2" t="s">
        <v>12</v>
      </c>
      <c r="E2" s="2" t="s">
        <v>35</v>
      </c>
      <c r="F2" s="2" t="s">
        <v>18</v>
      </c>
      <c r="G2" s="2" t="s">
        <v>32</v>
      </c>
      <c r="H2" s="2" t="s">
        <v>0</v>
      </c>
      <c r="I2" s="2" t="s">
        <v>36</v>
      </c>
      <c r="J2" s="3" t="s">
        <v>39</v>
      </c>
      <c r="K2" s="5">
        <v>3608901</v>
      </c>
      <c r="L2" s="6" t="str">
        <f ca="1">"05."&amp;MONTH(TODAY())&amp;"."&amp;YEAR(TODAY())</f>
        <v>05.5.2025</v>
      </c>
      <c r="M2" s="5">
        <f ca="1">YEAR(TODAY())</f>
        <v>2025</v>
      </c>
      <c r="N2" s="1">
        <v>2</v>
      </c>
      <c r="O2" s="1" t="e">
        <f>[1]Output!A2</f>
        <v>#REF!</v>
      </c>
      <c r="P2" s="1" t="s">
        <v>29</v>
      </c>
      <c r="Q2" s="1" t="s">
        <v>26</v>
      </c>
      <c r="R2" s="3" t="s">
        <v>39</v>
      </c>
      <c r="S2" s="5">
        <f>K2</f>
        <v>3608901</v>
      </c>
      <c r="T2" s="5" t="str">
        <f ca="1">"31.12."&amp;YEAR(TODAY())</f>
        <v>31.12.2025</v>
      </c>
      <c r="U2" s="3" t="s">
        <v>16</v>
      </c>
      <c r="V2" s="3" t="s">
        <v>31</v>
      </c>
      <c r="W2" s="17" t="str">
        <f>"5.000,00"</f>
        <v>5.000,00</v>
      </c>
      <c r="X2" s="1"/>
      <c r="Y2" s="8"/>
    </row>
    <row r="3">
      <c r="A3" s="7">
        <v>1</v>
      </c>
      <c r="B3" s="7" t="s">
        <v>30</v>
      </c>
      <c r="C3" s="2" t="s">
        <v>40</v>
      </c>
      <c r="D3" s="2" t="s">
        <v>12</v>
      </c>
      <c r="E3" s="2" t="s">
        <v>35</v>
      </c>
      <c r="F3" s="2" t="s">
        <v>18</v>
      </c>
      <c r="G3" s="2" t="s">
        <v>32</v>
      </c>
      <c r="H3" s="2" t="s">
        <v>0</v>
      </c>
      <c r="I3" s="14" t="s">
        <v>5</v>
      </c>
      <c r="J3" s="3" t="s">
        <v>39</v>
      </c>
      <c r="K3" s="5">
        <v>3380107</v>
      </c>
      <c r="L3" s="5"/>
      <c r="M3" s="5">
        <f>YEAR(L3)</f>
        <v>1900</v>
      </c>
      <c r="N3" s="16">
        <f ca="1">MONTH(TODAY())</f>
        <v>5</v>
      </c>
      <c r="O3" s="1"/>
      <c r="P3" s="1"/>
      <c r="Q3" s="3"/>
      <c r="R3" s="3" t="s">
        <v>39</v>
      </c>
      <c r="S3" s="5">
        <v>3380107</v>
      </c>
      <c r="T3" s="5"/>
      <c r="U3" s="6"/>
      <c r="V3" s="3"/>
      <c r="W3" s="3"/>
      <c r="X3" s="10"/>
      <c r="Y3" s="15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6">
        <f ca="1">EOMONTH(TODAY(),-1)</f>
        <v>45777</v>
      </c>
      <c r="M4" s="1"/>
      <c r="N4" s="1">
        <f ca="1">MONTH(L4)</f>
        <v>4</v>
      </c>
      <c r="O4" s="1"/>
      <c r="P4" s="1"/>
      <c r="Q4" s="1"/>
      <c r="R4" s="1"/>
      <c r="S4" s="1"/>
      <c r="T4" s="1"/>
      <c r="U4" s="1"/>
      <c r="V4" s="1"/>
      <c r="W4" s="1" t="s">
        <v>9</v>
      </c>
      <c r="X4" s="1"/>
      <c r="Y4" s="8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8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8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8"/>
    </row>
    <row r="8">
      <c r="A8" s="1"/>
      <c r="B8" s="1"/>
      <c r="C8" s="1"/>
      <c r="D8" s="2" t="s">
        <v>4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8"/>
    </row>
    <row r="9">
      <c r="A9" s="1"/>
      <c r="B9" s="1"/>
      <c r="C9" s="1"/>
      <c r="D9" s="12" t="s">
        <v>13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8"/>
    </row>
    <row r="10">
      <c r="A10" s="1"/>
      <c r="B10" s="1"/>
      <c r="C10" s="1"/>
      <c r="D10" s="13" t="s">
        <v>43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8"/>
    </row>
    <row r="11">
      <c r="A11" s="1"/>
      <c r="B11" s="1"/>
      <c r="C11" s="1"/>
      <c r="D11" s="11" t="s">
        <v>7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8"/>
    </row>
    <row r="12">
      <c r="A12" s="1"/>
      <c r="B12" s="1"/>
      <c r="C12" s="1"/>
      <c r="D12" s="10" t="s">
        <v>44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8"/>
    </row>
    <row r="13">
      <c r="A13" s="1"/>
      <c r="B13" s="1"/>
      <c r="C13" s="1"/>
      <c r="D13" s="3" t="s">
        <v>10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8"/>
    </row>
    <row r="14">
      <c r="A14" s="1"/>
      <c r="B14" s="1"/>
      <c r="C14" s="1"/>
      <c r="D14" s="5" t="s">
        <v>14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8"/>
    </row>
    <row r="15">
      <c r="A15" s="1"/>
      <c r="B15" s="1"/>
      <c r="C15" s="1"/>
      <c r="D15" s="7" t="s">
        <v>28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8"/>
    </row>
  </sheetData>
  <pageMargins left="0.7" right="0.7" top="0.75" bottom="0.75" header="0.3" footer="0.3"/>
  <pageSetup orientation="portrait" horizontalDpi="1200" verticalDpi="1200"/>
</worksheet>
</file>

<file path=xl/worksheets/sheet2.xml><?xml version="1.0" encoding="utf-8"?>
<worksheet xmlns:r="http://schemas.openxmlformats.org/officeDocument/2006/relationships" xmlns="http://schemas.openxmlformats.org/spreadsheetml/2006/main">
  <dimension ref="A1:A2"/>
  <sheetViews>
    <sheetView workbookViewId="0">
      <selection activeCell="A2" sqref="A2"/>
    </sheetView>
  </sheetViews>
  <sheetFormatPr defaultColWidth="9.125" defaultRowHeight="14.25"/>
  <cols>
    <col min="1" max="1" width="25.125" style="9" customWidth="1"/>
    <col min="2" max="16384" width="9.125" style="9" customWidth="1"/>
  </cols>
  <sheetData>
    <row r="1" ht="12.75" customHeight="1" customFormat="1">
      <c r="A1" t="s">
        <v>11</v>
      </c>
    </row>
    <row r="2">
      <c r="A2" s="8" t="s">
        <v>19</v>
      </c>
    </row>
  </sheetData>
  <printOptions gridLines="1"/>
  <pageMargins left="0.75" right="0.75" top="1" bottom="1" header="0.5" footer="0.5"/>
  <pageSetup orientation="portrait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