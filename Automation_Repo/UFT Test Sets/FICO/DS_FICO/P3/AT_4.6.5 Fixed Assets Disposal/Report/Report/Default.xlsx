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6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TC3_Fixed Assets Disposal_p3" sheetId="5" r:id="rId5"/>
    <sheet name="TC2_Fixed Assets Disposal_p2" sheetId="6" r:id="rId6"/>
    <sheet name="TC1_Fixed Assets Disposal_p1" sheetId="7" r:id="rId7"/>
  </sheets>
  <externalReferences>
    <externalReference r:id="rId11"/>
  </externalReferences>
  <calcPr calcId="40001"/>
</workbook>
</file>

<file path=xl/sharedStrings.xml><?xml version="1.0" encoding="utf-8"?>
<sst xmlns="http://schemas.openxmlformats.org/spreadsheetml/2006/main" uniqueCount="77">
  <si>
    <t/>
  </si>
  <si>
    <t>DT_SAPTRANSACTIONCODE</t>
  </si>
  <si>
    <t>5fd9075e14eb72dde9d5201adc1b50845f3da04a842b</t>
  </si>
  <si>
    <t>DT_ABAVN_0300_COMPANY_CODE</t>
  </si>
  <si>
    <t>DT_SCENARIO</t>
  </si>
  <si>
    <t>Data Coming from another test</t>
  </si>
  <si>
    <t>DT_ABAVN_0206_TEXT</t>
  </si>
  <si>
    <t>From curr.-yr aquis.</t>
  </si>
  <si>
    <t>DT_ABAVN_0401_PERCENTAGE_RATE</t>
  </si>
  <si>
    <t>DT_ABAVN_0100_CHECK_TEXT_OF_STATUSBAR_OCC1</t>
  </si>
  <si>
    <t>Output Data</t>
  </si>
  <si>
    <t>DT_ABAVN_0204_DOCUMENT_TYPE</t>
  </si>
  <si>
    <t>DT_ABAVN_0401_FROM_CURRYR_AQUIS</t>
  </si>
  <si>
    <t>DT_ABAVN_0500_CHECK_GETCELLVALUE_OF_GRIDCELL_2_HKONT</t>
  </si>
  <si>
    <t>AS02</t>
  </si>
  <si>
    <t>DT_AS02_0100_CHECK_MESSAGEPARAMETER_OF_STATUSBAR_OUTPUT</t>
  </si>
  <si>
    <t>Formulas</t>
  </si>
  <si>
    <t>200</t>
  </si>
  <si>
    <t>AA</t>
  </si>
  <si>
    <t>DT_ABAVN_0500_CHECK_GETCELLVALUE_OF_GRIDCELL_0_BSCHL</t>
  </si>
  <si>
    <t>DT_ABAVN_0500_CHECK_GETCELLVALUE_OF_GRIDCELL_2_BSCHL_OCC1</t>
  </si>
  <si>
    <t>DT_ABAVN_0300_CHECK_TEXT_OF_COMPANY_CODE</t>
  </si>
  <si>
    <t>DT_AS02_0100_ASSET</t>
  </si>
  <si>
    <t>ON</t>
  </si>
  <si>
    <t>DT_EXPECTEDVALUE</t>
  </si>
  <si>
    <t>DT_AS02_3095_NEG_VALS_ALLOWED_OCC1</t>
  </si>
  <si>
    <t>DT_SAPSYSTEM</t>
  </si>
  <si>
    <t>DT_ABAVN_0300_ASSET_OCC1</t>
  </si>
  <si>
    <t>DT_ABAVN_0500_CHECK_GETCELLVALUE_OF_GRIDCELL_2_HKONT_OCC1</t>
  </si>
  <si>
    <t>DT_ABAVN_0300_CHECK_TEXT_OF_COMPANY_CODE_OUTPUT</t>
  </si>
  <si>
    <t>Input Data</t>
  </si>
  <si>
    <t>DT_SAPLANGUAGE</t>
  </si>
  <si>
    <t>DT_SAPOPTIONS</t>
  </si>
  <si>
    <t>0</t>
  </si>
  <si>
    <t>DT_AS02_0100_SUBNUMBER</t>
  </si>
  <si>
    <t>S</t>
  </si>
  <si>
    <t>DT_ABAVN_0500_CHECK_GETCELLVALUE_OF_GRIDCELL_2_BSCHL</t>
  </si>
  <si>
    <t>Verifications</t>
  </si>
  <si>
    <t>Execution Control Data</t>
  </si>
  <si>
    <t>DT_SAPTCODE</t>
  </si>
  <si>
    <t>DT_EXPECTEDVALUE_OCC1</t>
  </si>
  <si>
    <t>DT_AS02_3095_NEG_VALS_ALLOWED_OCC2</t>
  </si>
  <si>
    <t>ABAVN</t>
  </si>
  <si>
    <t>75</t>
  </si>
  <si>
    <t>DT_ABAVN_0100_CHECK_TEXT_OF_STATUSBAR</t>
  </si>
  <si>
    <t>AUTOFICO</t>
  </si>
  <si>
    <t>EN</t>
  </si>
  <si>
    <t>DT_ABAVN_0202_ASSET_VALUE_DATE</t>
  </si>
  <si>
    <t>DT_ABAVN_0200_DOCUMENT_DATE</t>
  </si>
  <si>
    <t>DT_ASSET</t>
  </si>
  <si>
    <t>DT_ABAVN_0500_CHECK_GETCELLVALUE_OF_GRIDCELL_0_HKONT_OUTPUT</t>
  </si>
  <si>
    <t>DT_ROW</t>
  </si>
  <si>
    <t>DT_ABAVN_0500_CHECK_GETCELLVALUE_OF_GRIDCELL_0_BSCHL_OCC1</t>
  </si>
  <si>
    <t>DT_AS02_0100_CHECK_TEXT_OF_STATUSBAR</t>
  </si>
  <si>
    <t>DT_ABAVN_0500_CHECK_GETCELLVALUE_OF_GRIDCELL_0_BSCHL_OUTPUT</t>
  </si>
  <si>
    <t>DT_ABAVN_0500_CHECK_GETCELLVALUE_OF_GRIDCELL_2_HKONT_OUTPUT</t>
  </si>
  <si>
    <t>Fixed Assets Disposal_p5</t>
  </si>
  <si>
    <t>RS01</t>
  </si>
  <si>
    <t>DT_ABAVN_0300_ASSET</t>
  </si>
  <si>
    <t>Asset disposal</t>
  </si>
  <si>
    <t>100</t>
  </si>
  <si>
    <t>DT_ABAVN_0500_CHECK_GETCELLVALUE_OF_GRIDCELL_0_HKONT_OCC1</t>
  </si>
  <si>
    <t>DT_ABAVN_0300_CHECK_TEXT_OF_COMPANY_CODE_OCC1</t>
  </si>
  <si>
    <t>DT_DOCUMENT_NUMBER_OUTPUT</t>
  </si>
  <si>
    <t>DT_ABAVN_0500_CHECK_GETCELLVALUE_OF_GRIDCELL_2_BSCHL_OUTPUT</t>
  </si>
  <si>
    <t>R1E - SAP RETAIL Pre-Production EUROPE</t>
  </si>
  <si>
    <t>Fixed Data</t>
  </si>
  <si>
    <t>DT_SAPPASSWORD</t>
  </si>
  <si>
    <t>DT_AS02_0100_COMPANY_CODE</t>
  </si>
  <si>
    <t>DT_AS02_0100_CHECK_TEXT_OF_STATUSBAR_OCC1</t>
  </si>
  <si>
    <t>Login Information</t>
  </si>
  <si>
    <t>DT_SAPUSER</t>
  </si>
  <si>
    <t>DT_AS02_3095_NEG_VALS_ALLOWED</t>
  </si>
  <si>
    <t>DT_SAPCLIENT</t>
  </si>
  <si>
    <t>DT_ABAVN_0201_POSTING_DATE</t>
  </si>
  <si>
    <t>DT_ABAVN_0500_CHECK_GETCELLVALUE_OF_GRIDCELL_0_HKONT</t>
  </si>
  <si>
    <t>DT_DOCUMENT_NUMBER</t>
  </si>
</sst>
</file>

<file path=xl/styles.xml><?xml version="1.0" encoding="utf-8"?>
<styleSheet xmlns="http://schemas.openxmlformats.org/spreadsheetml/2006/main">
  <numFmts count="0"/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14" fontId="1" fillId="6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14" fontId="1" fillId="0" borderId="1" xfId="0" applyNumberForma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9" borderId="0" xfId="0" applyFill="1" applyBorder="1" applyProtection="1">
      <protection locked="0"/>
    </xf>
    <xf numFmtId="0" fontId="4" fillId="10" borderId="1" xfId="0" applyFont="1" applyFill="1" applyBorder="1" applyProtection="1">
      <protection locked="0"/>
    </xf>
    <xf numFmtId="0" fontId="1" fillId="11" borderId="1" xfId="0" applyNumberFormat="1" applyFont="1" applyFill="1" applyBorder="1" applyProtection="1">
      <protection locked="0"/>
    </xf>
    <xf numFmtId="0" fontId="1" fillId="9" borderId="1" xfId="0" applyFill="1" applyBorder="1" applyProtection="1">
      <protection locked="0"/>
    </xf>
    <xf numFmtId="0" fontId="3" fillId="9" borderId="1" xfId="0" applyNumberFormat="1" applyFont="1" applyFill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11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Fixed%20Assets%20Disposal_p3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R11"/>
  <sheetViews>
    <sheetView workbookViewId="0">
      <selection activeCell="A2" sqref="A2"/>
    </sheetView>
  </sheetViews>
  <sheetFormatPr defaultColWidth="9.125" defaultRowHeight="14.25"/>
  <cols>
    <col min="1" max="1" width="9.125" style="6" customWidth="1"/>
    <col min="2" max="2" width="23.375" style="6" customWidth="1"/>
    <col min="3" max="3" width="44.625" style="6" customWidth="1"/>
    <col min="4" max="4" width="15" style="6" customWidth="1"/>
    <col min="5" max="5" width="13.625" style="6" customWidth="1"/>
    <col min="6" max="6" width="27.875" style="6" customWidth="1"/>
    <col min="7" max="7" width="18.625" style="6" customWidth="1"/>
    <col min="8" max="8" width="16.75" style="6" customWidth="1"/>
    <col min="9" max="9" width="27.125" style="6" customWidth="1"/>
    <col min="10" max="10" width="32.5" style="6" customWidth="1"/>
    <col min="11" max="11" width="23.25" style="19" customWidth="1"/>
    <col min="12" max="12" width="29.125" style="6" customWidth="1"/>
    <col min="13" max="13" width="36.5" style="6" customWidth="1"/>
    <col min="14" max="14" width="31.5" style="6" customWidth="1"/>
    <col min="15" max="15" width="33.875" style="6" customWidth="1"/>
    <col min="16" max="16" width="21.875" style="6" customWidth="1"/>
    <col min="17" max="17" width="33.75" style="6" customWidth="1"/>
    <col min="18" max="18" width="38.125" style="6" customWidth="1"/>
    <col min="19" max="19" width="36" style="6" customWidth="1"/>
    <col min="20" max="20" width="61.5" style="6" customWidth="1"/>
    <col min="21" max="21" width="67.375" style="6" customWidth="1"/>
    <col min="22" max="22" width="61.5" style="6" customWidth="1"/>
    <col min="23" max="23" width="67.375" style="6" customWidth="1"/>
    <col min="24" max="24" width="61.875" style="6" customWidth="1"/>
    <col min="25" max="25" width="67.75" style="6" customWidth="1"/>
    <col min="26" max="26" width="61.875" style="6" customWidth="1"/>
    <col min="27" max="27" width="67.75" style="6" customWidth="1"/>
    <col min="28" max="28" width="49.125" style="6" customWidth="1"/>
    <col min="29" max="29" width="55" style="6" customWidth="1"/>
    <col min="30" max="30" width="61.75" style="6" customWidth="1"/>
    <col min="31" max="31" width="24.5" style="6" customWidth="1"/>
    <col min="32" max="32" width="61.75" style="6" customWidth="1"/>
    <col min="33" max="33" width="9.125" style="6" customWidth="1"/>
    <col min="34" max="34" width="29" style="6" customWidth="1"/>
    <col min="35" max="35" width="32.25" style="6" customWidth="1"/>
    <col min="36" max="36" width="21.875" style="6" customWidth="1"/>
    <col min="37" max="37" width="35.5" style="6" customWidth="1"/>
    <col min="38" max="38" width="27.5" style="6" customWidth="1"/>
    <col min="39" max="39" width="34" style="6" customWidth="1"/>
    <col min="40" max="40" width="32.5" style="6" customWidth="1"/>
    <col min="41" max="41" width="31" style="6" customWidth="1"/>
    <col min="42" max="42" width="41.75" style="6" customWidth="1"/>
    <col min="43" max="43" width="32.625" style="6" customWidth="1"/>
    <col min="44" max="44" width="50.125" style="6" customWidth="1"/>
    <col min="45" max="16384" width="9.125" style="6" customWidth="1"/>
  </cols>
  <sheetData>
    <row r="1" ht="12.75" customHeight="1" customFormat="1">
      <c r="A1" t="s">
        <v>51</v>
      </c>
      <c r="B1" t="s">
        <v>4</v>
      </c>
      <c r="C1" t="s">
        <v>26</v>
      </c>
      <c r="D1" t="s">
        <v>73</v>
      </c>
      <c r="E1" t="s">
        <v>71</v>
      </c>
      <c r="F1" t="s">
        <v>67</v>
      </c>
      <c r="G1" t="s">
        <v>31</v>
      </c>
      <c r="H1" t="s">
        <v>32</v>
      </c>
      <c r="I1" t="s">
        <v>1</v>
      </c>
      <c r="J1" t="s">
        <v>3</v>
      </c>
      <c r="K1" t="s">
        <v>58</v>
      </c>
      <c r="L1" t="s">
        <v>27</v>
      </c>
      <c r="M1" t="s">
        <v>47</v>
      </c>
      <c r="N1" t="s">
        <v>74</v>
      </c>
      <c r="O1" t="s">
        <v>48</v>
      </c>
      <c r="P1" t="s">
        <v>6</v>
      </c>
      <c r="Q1" t="s">
        <v>11</v>
      </c>
      <c r="R1" t="s">
        <v>12</v>
      </c>
      <c r="S1" t="s">
        <v>8</v>
      </c>
      <c r="T1" t="s">
        <v>19</v>
      </c>
      <c r="U1" t="s">
        <v>52</v>
      </c>
      <c r="V1" t="s">
        <v>36</v>
      </c>
      <c r="W1" t="s">
        <v>20</v>
      </c>
      <c r="X1" t="s">
        <v>75</v>
      </c>
      <c r="Y1" t="s">
        <v>61</v>
      </c>
      <c r="Z1" t="s">
        <v>13</v>
      </c>
      <c r="AA1" t="s">
        <v>28</v>
      </c>
      <c r="AB1" t="s">
        <v>21</v>
      </c>
      <c r="AC1" t="s">
        <v>62</v>
      </c>
      <c r="AD1" t="s">
        <v>44</v>
      </c>
      <c r="AE1" t="s">
        <v>76</v>
      </c>
      <c r="AF1" t="s">
        <v>9</v>
      </c>
      <c r="AG1" t="s">
        <v>39</v>
      </c>
      <c r="AH1" t="s">
        <v>34</v>
      </c>
      <c r="AI1" t="s">
        <v>68</v>
      </c>
      <c r="AJ1" t="s">
        <v>22</v>
      </c>
      <c r="AK1" t="s">
        <v>72</v>
      </c>
      <c r="AL1" t="s">
        <v>24</v>
      </c>
      <c r="AM1" t="s">
        <v>25</v>
      </c>
      <c r="AN1" t="s">
        <v>40</v>
      </c>
      <c r="AO1" t="s">
        <v>41</v>
      </c>
      <c r="AP1" t="s">
        <v>53</v>
      </c>
      <c r="AQ1" t="s">
        <v>49</v>
      </c>
      <c r="AR1" t="s">
        <v>69</v>
      </c>
    </row>
    <row r="2" s="6" customFormat="1">
      <c r="A2" s="1">
        <v>1</v>
      </c>
      <c r="B2" s="1" t="s">
        <v>56</v>
      </c>
      <c r="C2" s="1" t="s">
        <v>65</v>
      </c>
      <c r="D2" s="7" t="s">
        <v>17</v>
      </c>
      <c r="E2" s="7" t="s">
        <v>45</v>
      </c>
      <c r="F2" s="10" t="s">
        <v>2</v>
      </c>
      <c r="G2" s="7" t="s">
        <v>46</v>
      </c>
      <c r="H2" s="12" t="s">
        <v>0</v>
      </c>
      <c r="I2" s="3" t="s">
        <v>42</v>
      </c>
      <c r="J2" s="4" t="s">
        <v>57</v>
      </c>
      <c r="K2" s="23">
        <f>AJ2</f>
        <v>3608905</v>
      </c>
      <c r="L2" s="4" t="s">
        <v>33</v>
      </c>
      <c r="M2" s="9">
        <f ca="1" t="shared" si="0" ref="M2:O2">TODAY()</f>
        <v>45798</v>
      </c>
      <c r="N2" s="9">
        <f ca="1" t="shared" si="0"/>
        <v>45798</v>
      </c>
      <c r="O2" s="9">
        <f ca="1" t="shared" si="0"/>
        <v>45798</v>
      </c>
      <c r="P2" s="4" t="s">
        <v>59</v>
      </c>
      <c r="Q2" s="4" t="s">
        <v>18</v>
      </c>
      <c r="R2" s="4" t="s">
        <v>7</v>
      </c>
      <c r="S2" s="4" t="s">
        <v>60</v>
      </c>
      <c r="T2" s="2" t="e">
        <f>[1]Output!B2</f>
        <v>#REF!</v>
      </c>
      <c r="U2" s="2" t="s">
        <v>43</v>
      </c>
      <c r="V2" s="2" t="e">
        <f>[1]Output!C2</f>
        <v>#REF!</v>
      </c>
      <c r="W2" s="2">
        <v>40</v>
      </c>
      <c r="X2" s="2" t="e">
        <f>[1]Output!D2</f>
        <v>#REF!</v>
      </c>
      <c r="Y2" s="2">
        <v>10130011</v>
      </c>
      <c r="Z2" s="2" t="e">
        <f>[1]Output!E2</f>
        <v>#REF!</v>
      </c>
      <c r="AA2" s="2">
        <v>30461301</v>
      </c>
      <c r="AB2" s="2" t="e">
        <f>[1]Output!F2</f>
        <v>#REF!</v>
      </c>
      <c r="AC2" s="2" t="s">
        <v>57</v>
      </c>
      <c r="AD2" s="8" t="e">
        <f>"Asset transaction posted with document no. RS01 0"&amp;AE2</f>
        <v>#REF!</v>
      </c>
      <c r="AE2" s="8" t="e">
        <f>[1]Output!A2</f>
        <v>#REF!</v>
      </c>
      <c r="AF2" s="2" t="e">
        <f>"Asset transaction posted with document no. RS01 0"&amp;AE2</f>
        <v>#REF!</v>
      </c>
      <c r="AG2" s="3" t="s">
        <v>14</v>
      </c>
      <c r="AH2" s="11" t="s">
        <v>33</v>
      </c>
      <c r="AI2" s="11" t="s">
        <v>57</v>
      </c>
      <c r="AJ2" s="20">
        <v>3608905</v>
      </c>
      <c r="AK2" s="3" t="s">
        <v>23</v>
      </c>
      <c r="AL2" s="3" t="s">
        <v>35</v>
      </c>
      <c r="AM2" s="3" t="s">
        <v>23</v>
      </c>
      <c r="AN2" s="3" t="s">
        <v>35</v>
      </c>
      <c r="AO2" s="3" t="s">
        <v>23</v>
      </c>
      <c r="AP2" s="18" t="e">
        <f>"The asset "&amp;AQ2&amp;" 0 is changed"</f>
        <v>#REF!</v>
      </c>
      <c r="AQ2" s="17" t="e">
        <f>[1]Output!G2</f>
        <v>#REF!</v>
      </c>
      <c r="AR2" s="24" t="e">
        <f>"The asset "&amp;AQ2&amp;" 0 is changed"</f>
        <v>#REF!</v>
      </c>
    </row>
    <row r="3" s="6" customFormat="1">
      <c r="A3" s="1"/>
      <c r="B3" s="1"/>
      <c r="C3" s="10" t="s">
        <v>65</v>
      </c>
      <c r="D3" s="1"/>
      <c r="E3" s="1"/>
      <c r="F3" s="1"/>
      <c r="G3" s="1"/>
      <c r="H3" s="1"/>
      <c r="I3" s="1"/>
      <c r="J3" s="1"/>
      <c r="K3" s="23"/>
      <c r="L3" s="1"/>
      <c r="M3" s="14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3"/>
    </row>
    <row r="4" s="6" customFormat="1">
      <c r="A4" s="1"/>
      <c r="B4" s="1"/>
      <c r="C4" s="12" t="s">
        <v>70</v>
      </c>
      <c r="D4" s="1"/>
      <c r="E4" s="1"/>
      <c r="F4" s="1"/>
      <c r="G4" s="1"/>
      <c r="H4" s="1"/>
      <c r="I4" s="1"/>
      <c r="J4" s="1"/>
      <c r="K4" s="2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3"/>
    </row>
    <row r="5" s="6" customFormat="1">
      <c r="A5" s="1"/>
      <c r="B5" s="1"/>
      <c r="C5" s="4" t="s">
        <v>30</v>
      </c>
      <c r="D5" s="1"/>
      <c r="E5" s="1"/>
      <c r="F5" s="1"/>
      <c r="G5" s="1"/>
      <c r="H5" s="1"/>
      <c r="I5" s="1"/>
      <c r="J5" s="1"/>
      <c r="K5" s="2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3"/>
    </row>
    <row r="6" s="6" customFormat="1">
      <c r="A6" s="1"/>
      <c r="B6" s="1"/>
      <c r="C6" s="16" t="s">
        <v>66</v>
      </c>
      <c r="D6" s="1"/>
      <c r="E6" s="1"/>
      <c r="F6" s="1"/>
      <c r="G6" s="1"/>
      <c r="H6" s="1"/>
      <c r="I6" s="1"/>
      <c r="J6" s="1"/>
      <c r="K6" s="2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3"/>
    </row>
    <row r="7" s="6" customFormat="1">
      <c r="A7" s="1"/>
      <c r="B7" s="1"/>
      <c r="C7" s="8" t="s">
        <v>10</v>
      </c>
      <c r="D7" s="1"/>
      <c r="E7" s="1"/>
      <c r="F7" s="1"/>
      <c r="G7" s="1"/>
      <c r="H7" s="1"/>
      <c r="I7" s="1"/>
      <c r="J7" s="1"/>
      <c r="K7" s="2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3"/>
    </row>
    <row r="8" s="6" customFormat="1">
      <c r="A8" s="1"/>
      <c r="B8" s="1"/>
      <c r="C8" s="15" t="s">
        <v>16</v>
      </c>
      <c r="D8" s="1"/>
      <c r="E8" s="1"/>
      <c r="F8" s="1"/>
      <c r="G8" s="1"/>
      <c r="H8" s="1"/>
      <c r="I8" s="1"/>
      <c r="J8" s="1"/>
      <c r="K8" s="22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3"/>
    </row>
    <row r="9" s="6" customFormat="1">
      <c r="A9" s="1"/>
      <c r="B9" s="1"/>
      <c r="C9" s="2" t="s">
        <v>37</v>
      </c>
      <c r="D9" s="1"/>
      <c r="E9" s="1"/>
      <c r="F9" s="1"/>
      <c r="G9" s="1"/>
      <c r="H9" s="1"/>
      <c r="I9" s="1"/>
      <c r="J9" s="1"/>
      <c r="K9" s="22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3"/>
    </row>
    <row r="10" s="6" customFormat="1">
      <c r="A10" s="1"/>
      <c r="B10" s="1"/>
      <c r="C10" s="25" t="s">
        <v>5</v>
      </c>
      <c r="D10" s="1"/>
      <c r="E10" s="1"/>
      <c r="F10" s="1"/>
      <c r="G10" s="1"/>
      <c r="H10" s="1"/>
      <c r="I10" s="1"/>
      <c r="J10" s="1"/>
      <c r="K10" s="2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3"/>
    </row>
    <row r="11" s="6" customFormat="1">
      <c r="A11" s="1"/>
      <c r="B11" s="1"/>
      <c r="C11" s="21" t="s">
        <v>38</v>
      </c>
      <c r="D11" s="1"/>
      <c r="E11" s="1"/>
      <c r="F11" s="1"/>
      <c r="G11" s="1"/>
      <c r="H11" s="1"/>
      <c r="I11" s="1"/>
      <c r="J11" s="1"/>
      <c r="K11" s="2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:G2"/>
  <sheetViews>
    <sheetView topLeftCell="C1" workbookViewId="0">
      <selection activeCell="C2" sqref="C2"/>
    </sheetView>
  </sheetViews>
  <sheetFormatPr defaultColWidth="9.42578125" defaultRowHeight="14.25"/>
  <cols>
    <col min="1" max="1" width="34.125" style="6" bestFit="1" customWidth="1"/>
    <col min="2" max="5" width="9.42578125" style="6" customWidth="1"/>
    <col min="6" max="6" width="58.625" style="6" customWidth="1"/>
    <col min="7" max="7" width="69.75" style="6" customWidth="1"/>
    <col min="8" max="16384" width="9.42578125" style="6" customWidth="1"/>
  </cols>
  <sheetData>
    <row r="1" ht="14.85" customFormat="1">
      <c r="A1" t="s">
        <v>63</v>
      </c>
      <c r="B1" t="s">
        <v>54</v>
      </c>
      <c r="C1" t="s">
        <v>64</v>
      </c>
      <c r="D1" t="s">
        <v>50</v>
      </c>
      <c r="E1" t="s">
        <v>55</v>
      </c>
      <c r="F1" t="s">
        <v>29</v>
      </c>
      <c r="G1" t="s">
        <v>15</v>
      </c>
    </row>
    <row r="2">
      <c r="A2" s="1">
        <v>100000864</v>
      </c>
      <c r="B2" s="2"/>
      <c r="C2" s="2">
        <v>40</v>
      </c>
      <c r="D2" s="2">
        <v>10130011</v>
      </c>
      <c r="E2" s="2">
        <v>30461301</v>
      </c>
      <c r="F2" s="2" t="s">
        <v>57</v>
      </c>
      <c r="G2" s="13">
        <v>3608905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