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2"/>
  </bookViews>
  <sheets>
    <sheet name="Global" sheetId="1" r:id="rId1"/>
    <sheet name="RunTimeResultFolderCreation" sheetId="2" r:id="rId2"/>
    <sheet name="DataTransfer_OneValue1" sheetId="3" r:id="rId3"/>
    <sheet name="DataTransfer_OneValue 2" sheetId="4" r:id="rId4"/>
    <sheet name="DataTransfer_OneValue 3" sheetId="5" r:id="rId5"/>
    <sheet name="DataTransfer_OneValue 4" sheetId="6" r:id="rId6"/>
    <sheet name="DataTransfer_OneValue 5" sheetId="7" r:id="rId7"/>
    <sheet name="TC6_Customer Down Payments_p6" sheetId="8" r:id="rId8"/>
    <sheet name="TC5_Customer Down Payments_p5" sheetId="9" r:id="rId9"/>
    <sheet name="TC4_Customer Down Payments_p4" sheetId="10" r:id="rId10"/>
    <sheet name="TC3_Customer Down Payments_p3" sheetId="11" r:id="rId11"/>
    <sheet name="TC2_Customer Down Payments_p2" sheetId="12" r:id="rId12"/>
    <sheet name="TC1_Customer Down Payments" sheetId="13" r:id="rId13"/>
  </sheets>
  <externalReferences>
    <externalReference r:id="rId17"/>
    <externalReference r:id="rId18"/>
    <externalReference r:id="rId19"/>
  </externalReferences>
  <calcPr calcId="40001"/>
</workbook>
</file>

<file path=xl/sharedStrings.xml><?xml version="1.0" encoding="utf-8"?>
<sst xmlns="http://schemas.openxmlformats.org/spreadsheetml/2006/main" uniqueCount="55">
  <si>
    <t/>
  </si>
  <si>
    <t>DT_SAPTRANSACTIONCODE</t>
  </si>
  <si>
    <t>DT_F32_0131_COMPANY_CODE</t>
  </si>
  <si>
    <t>F-32</t>
  </si>
  <si>
    <t>RSD</t>
  </si>
  <si>
    <t>DT_F32_3100_CHECK_TEXT_OF_STATUSBAR</t>
  </si>
  <si>
    <t>DT_Customer Down Payments (Non Retail)_p6</t>
  </si>
  <si>
    <t>Data Coming from another test</t>
  </si>
  <si>
    <t>DT_F32_0131_CLEARING_DATE</t>
  </si>
  <si>
    <t>DT_F32_0131_CHECK_MESSAGEPARAMETER_OF_STATUSBAR_OCC1</t>
  </si>
  <si>
    <t>DT_F32_3100_CHECK_MESSAGEPARAMETER_OF_STATUSBAR_OUTPUT</t>
  </si>
  <si>
    <t>Output Data</t>
  </si>
  <si>
    <t>AUTOFDLL</t>
  </si>
  <si>
    <t>DT_F32_0131_ACCOUNT</t>
  </si>
  <si>
    <t>Formulas</t>
  </si>
  <si>
    <t>200</t>
  </si>
  <si>
    <t>5fac2fac41c29fd2ffcc620db4490fb9d478741f540f</t>
  </si>
  <si>
    <t xml:space="preserve"> </t>
  </si>
  <si>
    <t>DT_EXPECTEDVALUE</t>
  </si>
  <si>
    <t>/nex</t>
  </si>
  <si>
    <t>DT_SAPSYSTEM</t>
  </si>
  <si>
    <t>from p4</t>
  </si>
  <si>
    <t>Specifications stored, further values can be entered</t>
  </si>
  <si>
    <t>DT_F32_0131_CHECK_MESSAGEPARAMETER_OF_STATUSBAR_OCC1_OUTPUT</t>
  </si>
  <si>
    <t>Input Data</t>
  </si>
  <si>
    <t>DT_SAPLANGUAGE</t>
  </si>
  <si>
    <t>DT_SAPOPTIONS</t>
  </si>
  <si>
    <t>Document Number</t>
  </si>
  <si>
    <t>DT_F32_0131_CURRENCY</t>
  </si>
  <si>
    <t>S</t>
  </si>
  <si>
    <t>DT_F32_0750_OKCD</t>
  </si>
  <si>
    <t>SCENARIO</t>
  </si>
  <si>
    <t>Verifications</t>
  </si>
  <si>
    <t>Execution Control Data</t>
  </si>
  <si>
    <t>DT_EXPECTEDVALUE_OCC1</t>
  </si>
  <si>
    <t>DT_F32_0731_FROM</t>
  </si>
  <si>
    <t>DT_F32_0131_CHECK_MESSAGEPARAMETER_OF_STATUSBAR_OUTPUT</t>
  </si>
  <si>
    <t>EN</t>
  </si>
  <si>
    <t>DT_F32_0131_CHECK_TEXT_OF_STATUSBAR</t>
  </si>
  <si>
    <t>DT_F32_0131_PERIOD</t>
  </si>
  <si>
    <t>RS01</t>
  </si>
  <si>
    <t>DT_F32_3100_CHECK_MESSAGEPARAMETER_OF_STATUSBAR</t>
  </si>
  <si>
    <t>ROW_NUMBER</t>
  </si>
  <si>
    <t>Fixed Data</t>
  </si>
  <si>
    <t>R1E - SAP RETAIL Pre-Production EUROPE</t>
  </si>
  <si>
    <t>DT_SAPPASSWORD</t>
  </si>
  <si>
    <t>DT_F32_0731_FROM_OCC1</t>
  </si>
  <si>
    <t>DT_F32_0731_CHECK_TEXT_OF_STATUSBAR</t>
  </si>
  <si>
    <t>Login Information</t>
  </si>
  <si>
    <t>DT_SAPUSER</t>
  </si>
  <si>
    <t>DT_F32_0131_CHECK_MESSAGEPARAMETER_OF_STATUSBAR</t>
  </si>
  <si>
    <t>DT_SAPCLIENT</t>
  </si>
  <si>
    <t>DT_F32_0131_DOCUMENT_NUMBER</t>
  </si>
  <si>
    <t>fom p5</t>
  </si>
  <si>
    <t>DT_ZFIAR_RS_RFKORD50PDF_0115_INVOICE_REF</t>
  </si>
</sst>
</file>

<file path=xl/styles.xml><?xml version="1.0" encoding="utf-8"?>
<styleSheet xmlns="http://schemas.openxmlformats.org/spreadsheetml/2006/main">
  <numFmts count="0"/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Border="1" applyProtection="1">
      <protection locked="0"/>
    </xf>
    <xf numFmtId="49" fontId="1" fillId="2" borderId="1" xfId="0" applyNumberForma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1" fillId="0" borderId="0" xfId="0" applyBorder="1" applyProtection="1">
      <protection locked="0"/>
    </xf>
    <xf numFmtId="0" fontId="2" fillId="6" borderId="1" xfId="0" applyNumberFormat="1" applyFont="1" applyFill="1" applyBorder="1" applyProtection="1">
      <protection locked="0"/>
    </xf>
    <xf numFmtId="1" fontId="1" fillId="7" borderId="1" xfId="0" applyNumberFormat="1" applyFill="1" applyBorder="1" applyAlignment="1" applyProtection="1">
      <alignment horizontal="left" vertical="top"/>
      <protection locked="0"/>
    </xf>
    <xf numFmtId="0" fontId="1" fillId="7" borderId="1" xfId="0" applyNumberFormat="1" applyFill="1" applyBorder="1" applyAlignment="1" applyProtection="1">
      <alignment horizontal="left" vertical="top"/>
      <protection locked="0"/>
    </xf>
    <xf numFmtId="0" fontId="1" fillId="0" borderId="1" xfId="0" applyNumberFormat="1" applyBorder="1" applyProtection="1">
      <protection locked="0"/>
    </xf>
    <xf numFmtId="0" fontId="1" fillId="8" borderId="1" xfId="0" applyNumberFormat="1" applyFont="1" applyFill="1" applyBorder="1" applyProtection="1">
      <protection locked="0"/>
    </xf>
    <xf numFmtId="0" fontId="1" fillId="9" borderId="1" xfId="0" applyNumberFormat="1" applyFont="1" applyFill="1" applyBorder="1" applyProtection="1">
      <protection locked="0"/>
    </xf>
    <xf numFmtId="0" fontId="1" fillId="10" borderId="1" xfId="0" applyNumberFormat="1" applyFont="1" applyFill="1" applyBorder="1" applyProtection="1">
      <protection locked="0"/>
    </xf>
    <xf numFmtId="0" fontId="1" fillId="8" borderId="1" xfId="0" applyFill="1" applyBorder="1" applyProtection="1">
      <protection locked="0"/>
    </xf>
    <xf numFmtId="0" fontId="1" fillId="2" borderId="1" xfId="0" applyNumberFormat="1" applyFont="1" applyFill="1" applyBorder="1" applyProtection="1">
      <protection locked="0"/>
    </xf>
    <xf numFmtId="0" fontId="3" fillId="7" borderId="0" xfId="0" applyFont="1" applyFill="1" applyBorder="1" applyProtection="1">
      <protection locked="0"/>
    </xf>
    <xf numFmtId="0" fontId="3" fillId="7" borderId="2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2" borderId="1" xfId="0" applyNumberFormat="1" applyFill="1" applyBorder="1" applyProtection="1">
      <protection locked="0"/>
    </xf>
    <xf numFmtId="0" fontId="4" fillId="2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4" Type="http://schemas.openxmlformats.org/officeDocument/2006/relationships/theme" Target="theme/theme1.xml" /><Relationship Id="rId15" Type="http://schemas.openxmlformats.org/officeDocument/2006/relationships/styles" Target="styles.xml" /><Relationship Id="rId1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7" Type="http://schemas.openxmlformats.org/officeDocument/2006/relationships/externalLink" Target="externalLinks/externalLink1.xml" /><Relationship Id="rId18" Type="http://schemas.openxmlformats.org/officeDocument/2006/relationships/externalLink" Target="externalLinks/externalLink2.xml" /><Relationship Id="rId19" Type="http://schemas.openxmlformats.org/officeDocument/2006/relationships/externalLink" Target="externalLinks/externalLink3.xml" /></Relationships>
</file>

<file path=xl/externalLinks/_rels/externalLink1.xml.rels>&#65279;<?xml version="1.0" encoding="utf-8"?><Relationships xmlns="http://schemas.openxmlformats.org/package/2006/relationships"><Relationship Id="rId1" Type="http://schemas.microsoft.com/office/2006/relationships/xlExternalLinkPath/xlPathMissing" Target="DT_Customer%20Down%20Payments%20(Non%20Retail)_p4_TASE.xls" TargetMode="External" /></Relationships>
</file>

<file path=xl/externalLinks/_rels/externalLink2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S\FICO\DT_Customer%20Down%20Payments%20(Non%20Retail)_p6_TASE.xls" TargetMode="External" /></Relationships>
</file>

<file path=xl/externalLinks/_rels/externalLink3.xml.rels>&#65279;<?xml version="1.0" encoding="utf-8"?><Relationships xmlns="http://schemas.openxmlformats.org/package/2006/relationships"><Relationship Id="rId1" Type="http://schemas.microsoft.com/office/2006/relationships/xlExternalLinkPath/xlPathMissing" Target="DT_Customer%20Down%20Payments%20(Non%20Retail)_p5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A17"/>
  <sheetViews>
    <sheetView topLeftCell="J1" workbookViewId="0">
      <selection activeCell="J2" sqref="J2"/>
    </sheetView>
  </sheetViews>
  <sheetFormatPr defaultColWidth="9.125" defaultRowHeight="14.25"/>
  <cols>
    <col min="1" max="1" width="14.625" style="7" customWidth="1"/>
    <col min="2" max="2" width="40.625" style="7" customWidth="1"/>
    <col min="3" max="3" width="38.125" style="7" customWidth="1"/>
    <col min="4" max="4" width="15" style="7" customWidth="1"/>
    <col min="5" max="5" width="13.625" style="7" customWidth="1"/>
    <col min="6" max="6" width="24.5" style="7" customWidth="1"/>
    <col min="7" max="7" width="18.625" style="7" customWidth="1"/>
    <col min="8" max="8" width="16.75" style="7" customWidth="1"/>
    <col min="9" max="9" width="27.125" style="7" customWidth="1"/>
    <col min="10" max="10" width="33.625" style="7" customWidth="1"/>
    <col min="11" max="11" width="22.875" style="7" customWidth="1"/>
    <col min="12" max="12" width="29.25" style="7" customWidth="1"/>
    <col min="13" max="13" width="20.875" style="7" customWidth="1"/>
    <col min="14" max="14" width="29.25" style="7" customWidth="1"/>
    <col min="15" max="17" width="24.25" style="7" customWidth="1"/>
    <col min="18" max="18" width="20.75" style="7" customWidth="1"/>
    <col min="19" max="19" width="42.875" style="7" customWidth="1"/>
    <col min="20" max="20" width="26.625" style="7" customWidth="1"/>
    <col min="21" max="21" width="57.875" style="7" customWidth="1"/>
    <col min="22" max="22" width="41.875" style="7" customWidth="1"/>
    <col min="23" max="23" width="57.875" style="7" customWidth="1"/>
    <col min="24" max="24" width="63.75" style="7" customWidth="1"/>
    <col min="25" max="25" width="59.375" style="7" customWidth="1"/>
    <col min="26" max="26" width="18.875" style="7" customWidth="1"/>
    <col min="27" max="27" width="46.375" style="17" customWidth="1"/>
    <col min="28" max="16384" width="9.125" style="7" customWidth="1"/>
  </cols>
  <sheetData>
    <row r="1" ht="12.75" customHeight="1" customFormat="1">
      <c r="A1" t="s">
        <v>42</v>
      </c>
      <c r="B1" t="s">
        <v>31</v>
      </c>
      <c r="C1" t="s">
        <v>20</v>
      </c>
      <c r="D1" t="s">
        <v>51</v>
      </c>
      <c r="E1" t="s">
        <v>49</v>
      </c>
      <c r="F1" t="s">
        <v>45</v>
      </c>
      <c r="G1" t="s">
        <v>25</v>
      </c>
      <c r="H1" t="s">
        <v>26</v>
      </c>
      <c r="I1" t="s">
        <v>1</v>
      </c>
      <c r="J1" t="s">
        <v>52</v>
      </c>
      <c r="K1" t="s">
        <v>13</v>
      </c>
      <c r="L1" t="s">
        <v>8</v>
      </c>
      <c r="M1" t="s">
        <v>39</v>
      </c>
      <c r="N1" t="s">
        <v>2</v>
      </c>
      <c r="O1" t="s">
        <v>28</v>
      </c>
      <c r="P1" t="s">
        <v>35</v>
      </c>
      <c r="Q1" t="s">
        <v>46</v>
      </c>
      <c r="R1" t="s">
        <v>18</v>
      </c>
      <c r="S1" t="s">
        <v>47</v>
      </c>
      <c r="T1" t="s">
        <v>34</v>
      </c>
      <c r="U1" t="s">
        <v>41</v>
      </c>
      <c r="V1" t="s">
        <v>5</v>
      </c>
      <c r="W1" t="s">
        <v>50</v>
      </c>
      <c r="X1" t="s">
        <v>9</v>
      </c>
      <c r="Y1" t="s">
        <v>38</v>
      </c>
      <c r="Z1" t="s">
        <v>30</v>
      </c>
      <c r="AA1" t="s">
        <v>54</v>
      </c>
    </row>
    <row r="2" s="7" customFormat="1">
      <c r="A2" s="5">
        <v>1</v>
      </c>
      <c r="B2" s="5" t="s">
        <v>6</v>
      </c>
      <c r="C2" s="4" t="s">
        <v>44</v>
      </c>
      <c r="D2" s="4" t="s">
        <v>15</v>
      </c>
      <c r="E2" s="4" t="s">
        <v>12</v>
      </c>
      <c r="F2" s="4" t="s">
        <v>16</v>
      </c>
      <c r="G2" s="4" t="s">
        <v>37</v>
      </c>
      <c r="H2" s="4" t="s">
        <v>0</v>
      </c>
      <c r="I2" s="2" t="s">
        <v>3</v>
      </c>
      <c r="J2" s="2" t="s">
        <v>27</v>
      </c>
      <c r="K2" s="20">
        <v>11340580</v>
      </c>
      <c r="L2" s="15" t="str">
        <f ca="1" t="shared" si="0" ref="L2:L4">TEXT(TODAY(),"dd.mm.yyyy")</f>
        <v>22.05.2025</v>
      </c>
      <c r="M2" s="2" t="s">
        <v>17</v>
      </c>
      <c r="N2" s="2" t="s">
        <v>40</v>
      </c>
      <c r="O2" s="2" t="s">
        <v>4</v>
      </c>
      <c r="P2" s="2">
        <v>1600000181</v>
      </c>
      <c r="Q2" s="2">
        <v>1400000124</v>
      </c>
      <c r="R2" s="2" t="s">
        <v>29</v>
      </c>
      <c r="S2" s="2" t="s">
        <v>22</v>
      </c>
      <c r="T2" s="2" t="s">
        <v>29</v>
      </c>
      <c r="U2" s="6" t="e">
        <f>[2]Output!A2</f>
        <v>#REF!</v>
      </c>
      <c r="V2" s="8" t="e">
        <f t="shared" si="1" ref="V2:V4">U2&amp;" items were selected"</f>
        <v>#REF!</v>
      </c>
      <c r="W2" s="6" t="e">
        <f>[2]Output!B2</f>
        <v>#REF!</v>
      </c>
      <c r="X2" s="6" t="e">
        <f>[2]Output!C2</f>
        <v>#REF!</v>
      </c>
      <c r="Y2" s="8" t="e">
        <f t="shared" si="2" ref="Y2:Y4" xml:space="preserve"> "Document " &amp; W2 &amp; " was posted in company code " &amp; X2</f>
        <v>#REF!</v>
      </c>
      <c r="Z2" s="2" t="s">
        <v>19</v>
      </c>
      <c r="AA2" s="18">
        <v>1600000181</v>
      </c>
    </row>
    <row r="3" s="7" customFormat="1">
      <c r="A3" s="5">
        <v>2</v>
      </c>
      <c r="B3" s="5" t="s">
        <v>6</v>
      </c>
      <c r="C3" s="4" t="s">
        <v>44</v>
      </c>
      <c r="D3" s="4" t="s">
        <v>15</v>
      </c>
      <c r="E3" s="4" t="s">
        <v>12</v>
      </c>
      <c r="F3" s="4" t="s">
        <v>16</v>
      </c>
      <c r="G3" s="4" t="s">
        <v>37</v>
      </c>
      <c r="H3" s="4" t="s">
        <v>0</v>
      </c>
      <c r="I3" s="2" t="s">
        <v>3</v>
      </c>
      <c r="J3" s="2" t="s">
        <v>27</v>
      </c>
      <c r="K3" s="20">
        <v>11340580</v>
      </c>
      <c r="L3" s="15" t="str">
        <f ca="1" t="shared" si="0"/>
        <v>22.05.2025</v>
      </c>
      <c r="M3" s="2" t="s">
        <v>17</v>
      </c>
      <c r="N3" s="2" t="s">
        <v>40</v>
      </c>
      <c r="O3" s="2" t="s">
        <v>4</v>
      </c>
      <c r="P3" s="2">
        <v>1600000021</v>
      </c>
      <c r="Q3" s="2">
        <v>1400000013</v>
      </c>
      <c r="R3" s="2" t="s">
        <v>29</v>
      </c>
      <c r="S3" s="2" t="s">
        <v>22</v>
      </c>
      <c r="T3" s="2" t="s">
        <v>29</v>
      </c>
      <c r="U3" s="6" t="e">
        <f>[2]Output!A3</f>
        <v>#REF!</v>
      </c>
      <c r="V3" s="8" t="e">
        <f t="shared" si="1"/>
        <v>#REF!</v>
      </c>
      <c r="W3" s="6" t="e">
        <f>[2]Output!B3</f>
        <v>#REF!</v>
      </c>
      <c r="X3" s="6" t="e">
        <f>[2]Output!C3</f>
        <v>#REF!</v>
      </c>
      <c r="Y3" s="8" t="e">
        <f t="shared" si="2"/>
        <v>#REF!</v>
      </c>
      <c r="Z3" s="2" t="s">
        <v>19</v>
      </c>
      <c r="AA3" s="18">
        <v>1600000021</v>
      </c>
    </row>
    <row r="4" s="7" customFormat="1">
      <c r="A4" s="5">
        <v>3</v>
      </c>
      <c r="B4" s="5" t="s">
        <v>6</v>
      </c>
      <c r="C4" s="4" t="s">
        <v>44</v>
      </c>
      <c r="D4" s="4" t="s">
        <v>15</v>
      </c>
      <c r="E4" s="4" t="s">
        <v>12</v>
      </c>
      <c r="F4" s="4" t="s">
        <v>16</v>
      </c>
      <c r="G4" s="4" t="s">
        <v>37</v>
      </c>
      <c r="H4" s="4" t="s">
        <v>0</v>
      </c>
      <c r="I4" s="2" t="s">
        <v>3</v>
      </c>
      <c r="J4" s="2" t="s">
        <v>27</v>
      </c>
      <c r="K4" s="20">
        <v>11340580</v>
      </c>
      <c r="L4" s="15" t="str">
        <f ca="1" t="shared" si="0"/>
        <v>22.05.2025</v>
      </c>
      <c r="M4" s="2" t="s">
        <v>17</v>
      </c>
      <c r="N4" s="2" t="s">
        <v>40</v>
      </c>
      <c r="O4" s="2" t="s">
        <v>4</v>
      </c>
      <c r="P4" s="2">
        <v>1600000022</v>
      </c>
      <c r="Q4" s="2">
        <v>1400000014</v>
      </c>
      <c r="R4" s="2" t="s">
        <v>29</v>
      </c>
      <c r="S4" s="2" t="s">
        <v>22</v>
      </c>
      <c r="T4" s="2" t="s">
        <v>29</v>
      </c>
      <c r="U4" s="6" t="e">
        <f>[2]Output!A4</f>
        <v>#REF!</v>
      </c>
      <c r="V4" s="8" t="e">
        <f t="shared" si="1"/>
        <v>#REF!</v>
      </c>
      <c r="W4" s="6" t="e">
        <f>[2]Output!B4</f>
        <v>#REF!</v>
      </c>
      <c r="X4" s="6" t="e">
        <f>[2]Output!C4</f>
        <v>#REF!</v>
      </c>
      <c r="Y4" s="8" t="e">
        <f t="shared" si="2"/>
        <v>#REF!</v>
      </c>
      <c r="Z4" s="2" t="s">
        <v>19</v>
      </c>
      <c r="AA4" s="18">
        <v>1600000022</v>
      </c>
    </row>
    <row r="5" s="7" customFormat="1">
      <c r="A5" s="11"/>
      <c r="B5" s="1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0" t="s">
        <v>21</v>
      </c>
      <c r="Q5" s="10" t="s">
        <v>53</v>
      </c>
      <c r="R5" s="1"/>
      <c r="S5" s="1"/>
      <c r="T5" s="1"/>
      <c r="U5" s="6"/>
      <c r="V5" s="1"/>
      <c r="W5" s="1"/>
      <c r="X5" s="1"/>
      <c r="Y5" s="1"/>
      <c r="Z5" s="1"/>
      <c r="AA5" s="18" t="s">
        <v>21</v>
      </c>
    </row>
    <row r="6" s="7" customFormat="1">
      <c r="A6" s="11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9" t="e">
        <f>[1]Global!$AV$2</f>
        <v>#REF!</v>
      </c>
      <c r="Q6" s="9" t="e">
        <f>[3]Global!$AK$2</f>
        <v>#REF!</v>
      </c>
      <c r="R6" s="1"/>
      <c r="S6" s="1"/>
      <c r="T6" s="1"/>
      <c r="U6" s="1"/>
      <c r="V6" s="1"/>
      <c r="W6" s="1"/>
      <c r="X6" s="1"/>
      <c r="Y6" s="1"/>
      <c r="Z6" s="1"/>
      <c r="AA6" s="18" t="e">
        <f>[1]Global!$AV$2</f>
        <v>#REF!</v>
      </c>
    </row>
    <row r="7" s="7" customFormat="1">
      <c r="A7" s="11"/>
      <c r="B7" s="1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9" t="e">
        <f>[1]Global!$AV$3</f>
        <v>#REF!</v>
      </c>
      <c r="Q7" s="9" t="e">
        <f>[3]Global!$AK$3</f>
        <v>#REF!</v>
      </c>
      <c r="R7" s="1"/>
      <c r="S7" s="1"/>
      <c r="T7" s="1"/>
      <c r="U7" s="1"/>
      <c r="V7" s="1"/>
      <c r="W7" s="1"/>
      <c r="X7" s="1"/>
      <c r="Y7" s="1"/>
      <c r="Z7" s="1"/>
      <c r="AA7" s="18" t="e">
        <f>[1]Global!$AV$3</f>
        <v>#REF!</v>
      </c>
    </row>
    <row r="8" s="7" customFormat="1">
      <c r="A8" s="11"/>
      <c r="B8" s="1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9" t="e">
        <f>[1]Global!$AV$4</f>
        <v>#REF!</v>
      </c>
      <c r="Q8" s="9" t="e">
        <f>[3]Global!$AK$4</f>
        <v>#REF!</v>
      </c>
      <c r="R8" s="1"/>
      <c r="S8" s="1"/>
      <c r="T8" s="1"/>
      <c r="U8" s="1"/>
      <c r="V8" s="1"/>
      <c r="W8" s="1"/>
      <c r="X8" s="1"/>
      <c r="Y8" s="1"/>
      <c r="Z8" s="1"/>
      <c r="AA8" s="18" t="e">
        <f>[1]Global!$AV$4</f>
        <v>#REF!</v>
      </c>
    </row>
    <row r="9" s="7" customFormat="1">
      <c r="A9" s="11"/>
      <c r="B9" s="1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8"/>
    </row>
    <row r="10" s="7" customFormat="1">
      <c r="A10" s="11"/>
      <c r="B10" s="4" t="s">
        <v>48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2"/>
      <c r="Q10" s="2"/>
      <c r="R10" s="1"/>
      <c r="S10" s="1"/>
      <c r="T10" s="1"/>
      <c r="U10" s="1"/>
      <c r="V10" s="1"/>
      <c r="W10" s="1"/>
      <c r="X10" s="1"/>
      <c r="Y10" s="1"/>
      <c r="Z10" s="1"/>
      <c r="AA10" s="18"/>
    </row>
    <row r="11" s="7" customFormat="1">
      <c r="A11" s="11"/>
      <c r="B11" s="16" t="s">
        <v>24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8"/>
    </row>
    <row r="12" s="7" customFormat="1">
      <c r="A12" s="11"/>
      <c r="B12" s="14" t="s">
        <v>43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8"/>
    </row>
    <row r="13" s="7" customFormat="1">
      <c r="A13" s="11"/>
      <c r="B13" s="13" t="s">
        <v>11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8"/>
    </row>
    <row r="14" s="7" customFormat="1">
      <c r="A14" s="11"/>
      <c r="B14" s="12" t="s">
        <v>14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8"/>
    </row>
    <row r="15" s="7" customFormat="1">
      <c r="A15" s="11"/>
      <c r="B15" s="8" t="s">
        <v>32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8"/>
    </row>
    <row r="16" s="7" customFormat="1">
      <c r="A16" s="11"/>
      <c r="B16" s="21" t="s">
        <v>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8"/>
    </row>
    <row r="17" s="7" customFormat="1">
      <c r="A17" s="11"/>
      <c r="B17" s="5" t="s">
        <v>33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8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C4"/>
  <sheetViews>
    <sheetView workbookViewId="0">
      <selection activeCell="A2" sqref="A2"/>
    </sheetView>
  </sheetViews>
  <sheetFormatPr defaultColWidth="9.125" defaultRowHeight="14.25"/>
  <cols>
    <col min="1" max="1" width="19.125" style="7" customWidth="1"/>
    <col min="2" max="2" width="70.625" style="7" customWidth="1"/>
    <col min="3" max="3" width="73.75" style="7" customWidth="1"/>
    <col min="4" max="16384" width="9.125" style="7" customWidth="1"/>
  </cols>
  <sheetData>
    <row r="1" ht="12.75" customHeight="1" customFormat="1">
      <c r="A1" t="s">
        <v>10</v>
      </c>
      <c r="B1" t="s">
        <v>36</v>
      </c>
      <c r="C1" t="s">
        <v>23</v>
      </c>
    </row>
    <row r="2">
      <c r="A2" s="1">
        <v>2</v>
      </c>
      <c r="B2" s="1"/>
      <c r="C2" s="19"/>
    </row>
    <row r="3">
      <c r="A3" s="1">
        <v>2</v>
      </c>
      <c r="B3" s="1">
        <v>9000000043</v>
      </c>
      <c r="C3" s="19" t="s">
        <v>40</v>
      </c>
    </row>
    <row r="4">
      <c r="A4" s="1">
        <v>2</v>
      </c>
      <c r="B4" s="1">
        <v>9000000044</v>
      </c>
      <c r="C4" s="19" t="s">
        <v>40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