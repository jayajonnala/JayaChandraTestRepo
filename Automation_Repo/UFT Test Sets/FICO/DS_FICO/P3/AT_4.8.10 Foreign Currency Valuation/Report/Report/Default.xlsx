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DataTransfer 1" sheetId="3" r:id="rId3"/>
    <sheet name="TC3_Foreign Currency Value_p3" sheetId="4" r:id="rId4"/>
    <sheet name="TC2_Foreign Currency Value_p2" sheetId="5" r:id="rId5"/>
    <sheet name="TC1_Foreign Currency Value_p1" sheetId="6" r:id="rId6"/>
    <sheet name="AT {{1}RunTimeResultFolderC..00" sheetId="7" r:id="rId7"/>
  </sheets>
  <externalReferences>
    <externalReference r:id="rId11"/>
    <externalReference r:id="rId12"/>
    <externalReference r:id="rId13"/>
  </externalReferences>
  <calcPr calcId="40001"/>
</workbook>
</file>

<file path=xl/sharedStrings.xml><?xml version="1.0" encoding="utf-8"?>
<sst xmlns="http://schemas.openxmlformats.org/spreadsheetml/2006/main" uniqueCount="128">
  <si>
    <t/>
  </si>
  <si>
    <t>DT_SAPTRANSACTIONCODE</t>
  </si>
  <si>
    <t>DT_FBL3N_3010_TABLECELL_SINGLE_VALUE_1_OCC1</t>
  </si>
  <si>
    <t>40</t>
  </si>
  <si>
    <t>11611051</t>
  </si>
  <si>
    <t>DT_FBL3N_0120_CHECK_TEXT_OF_NO_NAME_OCC18</t>
  </si>
  <si>
    <t>DT_FBL3N_1010_POST_VALUATION_IMMEDIATELY</t>
  </si>
  <si>
    <t>DT_FBL3N_0120_CHECK_TEXT_OF_NO_NAME_OCC25</t>
  </si>
  <si>
    <t>DT_FBL3N_0120_CHECK_TEXT_OF_NO_NAME_OCC29</t>
  </si>
  <si>
    <t>FBL3N</t>
  </si>
  <si>
    <t>DT_FBL3N_3010_TABLECELL_SINGLE_VALUE_1</t>
  </si>
  <si>
    <t>DT_FBL3N_1000_GL_ACCOUNT_BALANCES</t>
  </si>
  <si>
    <t>Postings</t>
  </si>
  <si>
    <t>DT_FBL3N_0120_CHECK_TEXT_OF_NO_NAME_OCC3</t>
  </si>
  <si>
    <t>DT_FBL3N_0120_CHECK_TEXT_OF_NO_NAME_OCC7</t>
  </si>
  <si>
    <t>Document 2200000001/RS01 was posted in company code RS01</t>
  </si>
  <si>
    <t>Document 2200000002/RS01 was posted in company code RS01</t>
  </si>
  <si>
    <t>Document 2200000003/RS01 was posted in company code RS01</t>
  </si>
  <si>
    <t>Data Coming from another test</t>
  </si>
  <si>
    <t>5fb4f98a2b77149c24843022cefbb72c35ded6a1a816</t>
  </si>
  <si>
    <t>EUR/RSD</t>
  </si>
  <si>
    <t>DT_FBL3N_1000_VALUATION_KEY_DATE</t>
  </si>
  <si>
    <t>YS</t>
  </si>
  <si>
    <t>DT_FBL3N_0101_CHECK_GETCELLVALUE_OF_GRIDCELL_3_T_MSG</t>
  </si>
  <si>
    <t>DT_TODAY</t>
  </si>
  <si>
    <t>DT_FBL3N_0101_CHECK_GETCELLVALUE_OF_GRIDCELL_0_T_MSG_OUTPUT</t>
  </si>
  <si>
    <t>Document 2200000000/RS01 was posted in company code RS01</t>
  </si>
  <si>
    <t>Output Data</t>
  </si>
  <si>
    <t>DT_FBL3N_1000_VALUATION_KEY_DATE1</t>
  </si>
  <si>
    <t>DT_FBL3N_3010_TABLECELL_SINGLE_VALUE_0_OCC1</t>
  </si>
  <si>
    <t>DT_FBL3N_1000_OPEN_ITEMS_GL_ACCOUNTS</t>
  </si>
  <si>
    <t>DT_FBL3N_0120_CHECK_TEXT_OF_NO_NAME_OCC11</t>
  </si>
  <si>
    <t>DT_FBL3N_0120_CHECK_TEXT_OF_NO_NAME_OCC22</t>
  </si>
  <si>
    <t>DT_FBL3N_0101_CHECK_GETCELLVALUE_OF_GRIDCELL_2_T_MSG_OUTPUT</t>
  </si>
  <si>
    <t>Formulas</t>
  </si>
  <si>
    <t>200</t>
  </si>
  <si>
    <t>DT_FBL3N_0600_GRIDCELL_2_VARIANT_NAME</t>
  </si>
  <si>
    <t>Open Items: G/L Accounts</t>
  </si>
  <si>
    <t>DT_FBL3N_0120_CHECK_TEXT_OF_NO_NAME_OCC15</t>
  </si>
  <si>
    <t>DT_FBL3N_0120_CHECK_TEXT_OF_NO_NAME_OCC19</t>
  </si>
  <si>
    <t>DT_FBL3N_0120_CHECK_TEXT_OF_NO_NAME_OCC26</t>
  </si>
  <si>
    <t>DT_SAPSYSTEM</t>
  </si>
  <si>
    <t>DT_FBL3N_0201_CHECK_TEXT_OF_TABLECELL_RATE_2</t>
  </si>
  <si>
    <t>DT_FBL3N_0201_CHECK_TEXT_OF_TABLECELL_RELATION_2</t>
  </si>
  <si>
    <t>DT_FBL3N_0120_CHECK_TEXT_OF_NO_NAME_OCC4</t>
  </si>
  <si>
    <t>DT_FBL3N_0120_CHECK_TEXT_OF_NO_NAME_OCC8</t>
  </si>
  <si>
    <t>DT_FBL3N_0101_CHECK_GETCELLVALUE_OF_GRIDCELL_0_T_MSG</t>
  </si>
  <si>
    <t>DT_FBL3N_0101_CHECK_GETCELLVALUE_OF_GRIDCELL_3_T_MSG_OCC1</t>
  </si>
  <si>
    <t>Input Data</t>
  </si>
  <si>
    <t>DT_SAPLANGUAGE</t>
  </si>
  <si>
    <t>DT_SAPOPTIONS</t>
  </si>
  <si>
    <t>A001</t>
  </si>
  <si>
    <t>TCURMNT</t>
  </si>
  <si>
    <t>DT_FBL3N_0101_CHECK_GETCELLVALUE_OF_GRIDCELL_1__ICON</t>
  </si>
  <si>
    <t>SCENARIO</t>
  </si>
  <si>
    <t>DT_FBL3N_0120_OKCD</t>
  </si>
  <si>
    <t>CAD/RSD</t>
  </si>
  <si>
    <t>Output / Technical Settings</t>
  </si>
  <si>
    <t>DT_FBL3N_0120_CHECK_TEXT_OF_NO_NAME_OCC12</t>
  </si>
  <si>
    <t>22711601</t>
  </si>
  <si>
    <t>DT_FBL3N_0120_CHECK_TEXT_OF_NO_NAME_OCC30</t>
  </si>
  <si>
    <t>Verifications</t>
  </si>
  <si>
    <t>Execution Control Data</t>
  </si>
  <si>
    <t>DT_FBL3N_1000_COMPANY_CODE</t>
  </si>
  <si>
    <t>from p1</t>
  </si>
  <si>
    <t>DT_FBL3N_0120_CHECK_TEXT_OF_NO_NAME_OCC1</t>
  </si>
  <si>
    <t>DT_FBL3N_0100_SAPMCURRTC_WORKSETS</t>
  </si>
  <si>
    <t>DT_FBL3N_1000_OPEN_ITEMS_SUBLEDGER</t>
  </si>
  <si>
    <t>Open Items: Subledger</t>
  </si>
  <si>
    <t>DT_FBL3N_0120_CHECK_TEXT_OF_NO_NAME_OCC16</t>
  </si>
  <si>
    <t>DT_FBL3N_0101_CHECK_GETCELLVALUE_OF_GRIDCELL_2_T_MSG_OCC1</t>
  </si>
  <si>
    <t>DT_FBL3N_0120_CHECK_TEXT_OF_NO_NAME_OCC23</t>
  </si>
  <si>
    <t>DT_FBL3N_0120_CHECK_TEXT_OF_NO_NAME_OCC27</t>
  </si>
  <si>
    <t>DT_FBL3N_0120_CHECK_TEXT_OF_NO_NAME</t>
  </si>
  <si>
    <t>ZRSM_RSD</t>
  </si>
  <si>
    <t>1:1</t>
  </si>
  <si>
    <t>G/L Account Balances</t>
  </si>
  <si>
    <t>%space%          0,00</t>
  </si>
  <si>
    <t>DT_FBL3N_0120_CHECK_TEXT_OF_NO_NAME_OCC5</t>
  </si>
  <si>
    <t>DT_FBL3N_0120_CHECK_TEXT_OF_NO_NAME_OCC9</t>
  </si>
  <si>
    <t>DT_FBL3N_0101_CHECK_GETCELLVALUE_OF_GRIDCELL_2_T_MSG</t>
  </si>
  <si>
    <t>DT_FBL3N_0101_CHECK_GETCELLVALUE_OF_GRIDCELL_3__ICON</t>
  </si>
  <si>
    <t>EN</t>
  </si>
  <si>
    <t>FAGL_FCV</t>
  </si>
  <si>
    <t>DT_DATE</t>
  </si>
  <si>
    <t>AUTOFDS</t>
  </si>
  <si>
    <t>DT_FBL3N_0120_CHECK_TEXT_OF_NO_NAME_OCC13</t>
  </si>
  <si>
    <t>Post Valuation Immediately</t>
  </si>
  <si>
    <t>DT_FBL3N_0120_CHECK_TEXT_OF_NO_NAME_OCC20</t>
  </si>
  <si>
    <t>DT_FBL3N_0120_CHECK_TEXT_OF_NO_NAME_OCC31</t>
  </si>
  <si>
    <t>DT_FBL3N_0101_CHECK_GETCELLVALUE_OF_GRIDCELL_1_T_MSG_OUTPUT</t>
  </si>
  <si>
    <t>RS01</t>
  </si>
  <si>
    <t>from p2</t>
  </si>
  <si>
    <t>50</t>
  </si>
  <si>
    <t>DT_FBL3N_0120_CHECK_TEXT_OF_NO_NAME_OCC17</t>
  </si>
  <si>
    <t>DT_FBL3N_0101_CHECK_GETCELLVALUE_OF_GRIDCELL_0__ICON</t>
  </si>
  <si>
    <t>@5B\QInformation@</t>
  </si>
  <si>
    <t>DT_FBL3N_0101_CHECK_GETCELLVALUE_OF_GRIDCELL_1_T_MSG_OCC1</t>
  </si>
  <si>
    <t>DT_FBL3N_0120_CHECK_TEXT_OF_NO_NAME_OCC24</t>
  </si>
  <si>
    <t>DT_FBL3N_0120_CHECK_TEXT_OF_NO_NAME_OCC28</t>
  </si>
  <si>
    <t>DT_FBL3N_0101_CHECK_GETCELLVALUE_OF_GRIDCELL_3_T_MSG_OUTPUT</t>
  </si>
  <si>
    <t>DT_ENDING_DATE_PERIOD</t>
  </si>
  <si>
    <t>R1E - SAP RETAIL Pre-Production EUROPE</t>
  </si>
  <si>
    <t>Fixed Data</t>
  </si>
  <si>
    <t>DT_SAPPASSWORD</t>
  </si>
  <si>
    <t>DT_FBL3N_3010_TABLECELL_SINGLE_VALUE_0</t>
  </si>
  <si>
    <t>DT_FBL3N_0201_CHECK_TEXT_OF_TABLECELL_RATE_4</t>
  </si>
  <si>
    <t>DT_FBL3N_0201_CHECK_TEXT_OF_TABLECELL_RELATION_4</t>
  </si>
  <si>
    <t>DT_VALUATION_AREA</t>
  </si>
  <si>
    <t>DT_FBL3N_0120_CHECK_TEXT_OF_NO_NAME_OCC2</t>
  </si>
  <si>
    <t>DT_FBL3N_0120_CHECK_TEXT_OF_NO_NAME_OCC6</t>
  </si>
  <si>
    <t>ROW</t>
  </si>
  <si>
    <t>Login Information</t>
  </si>
  <si>
    <t>DT_SAPUSER</t>
  </si>
  <si>
    <t>DT_FBL3N_0800_FIND</t>
  </si>
  <si>
    <t>DT_FBL3N_0800_FIND_OCC1</t>
  </si>
  <si>
    <t>DT_FBL3N_0201_OKCD</t>
  </si>
  <si>
    <t>DT_FBL3N_1000_OUTPUT__TECHNICAL_SETTINGS</t>
  </si>
  <si>
    <t>DT_SAPCLIENT</t>
  </si>
  <si>
    <t>DT_FBL3N_0600_GRIDCELL_2_VARIANT_NAME_OCC1</t>
  </si>
  <si>
    <t>DT_CCODE</t>
  </si>
  <si>
    <t>DT_FBL3N_1000_POSTINGS</t>
  </si>
  <si>
    <t>DT_FBL3N_0120_CHECK_TEXT_OF_NO_NAME_OCC10</t>
  </si>
  <si>
    <t>DT_FBL3N_0120_CHECK_TEXT_OF_NO_NAME_OCC14</t>
  </si>
  <si>
    <t>DT_FBL3N_0101_CHECK_GETCELLVALUE_OF_GRIDCELL_0_T_MSG_OCC1</t>
  </si>
  <si>
    <t>DT_FBL3N_0101_CHECK_GETCELLVALUE_OF_GRIDCELL_1_T_MSG</t>
  </si>
  <si>
    <t>DT_FBL3N_0101_CHECK_GETCELLVALUE_OF_GRIDCELL_2__ICON</t>
  </si>
  <si>
    <t>DT_FBL3N_0120_CHECK_TEXT_OF_NO_NAME_OCC21</t>
  </si>
</sst>
</file>

<file path=xl/styles.xml><?xml version="1.0" encoding="utf-8"?>
<styleSheet xmlns="http://schemas.openxmlformats.org/spreadsheetml/2006/main">
  <numFmts count="1">
    <numFmt numFmtId="164" formatCode="dd\.mm\.yyyy"/>
  </numFmts>
  <fonts count="22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rgb="FF800000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4" fillId="7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7" borderId="1" xfId="0" applyFill="1" applyBorder="1" applyProtection="1">
      <protection locked="0"/>
    </xf>
    <xf numFmtId="14" fontId="1" fillId="8" borderId="1" xfId="0" applyNumberFormat="1" applyFill="1" applyBorder="1" applyProtection="1">
      <protection locked="0"/>
    </xf>
    <xf numFmtId="14" fontId="1" fillId="0" borderId="2" xfId="0" applyNumberFormat="1" applyBorder="1" applyProtection="1">
      <protection locked="0"/>
    </xf>
    <xf numFmtId="0" fontId="1" fillId="7" borderId="0" xfId="0" applyFill="1" applyBorder="1" applyProtection="1">
      <protection locked="0"/>
    </xf>
    <xf numFmtId="0" fontId="3" fillId="0" borderId="1" xfId="0" applyFont="1" applyBorder="1" applyProtection="1">
      <protection locked="0"/>
    </xf>
    <xf numFmtId="49" fontId="5" fillId="9" borderId="1" xfId="0" applyNumberFormat="1" applyFont="1" applyFill="1" applyBorder="1" applyProtection="1">
      <protection locked="0"/>
    </xf>
    <xf numFmtId="49" fontId="5" fillId="9" borderId="1" xfId="0" applyNumberFormat="1" applyFont="1" applyFill="1" applyBorder="1" applyAlignment="1" applyProtection="1">
      <alignment horizontal="right"/>
      <protection locked="0"/>
    </xf>
    <xf numFmtId="164" fontId="1" fillId="10" borderId="1" xfId="0" applyNumberFormat="1" applyFont="1" applyFill="1" applyBorder="1" applyProtection="1">
      <protection locked="0"/>
    </xf>
    <xf numFmtId="14" fontId="1" fillId="6" borderId="1" xfId="0" applyNumberFormat="1" applyFill="1" applyBorder="1" applyProtection="1">
      <protection locked="0"/>
    </xf>
    <xf numFmtId="0" fontId="4" fillId="3" borderId="1" xfId="0" applyFont="1" applyFill="1" applyBorder="1" applyProtection="1">
      <protection locked="0"/>
    </xf>
    <xf numFmtId="0" fontId="1" fillId="11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12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11" Type="http://schemas.openxmlformats.org/officeDocument/2006/relationships/externalLink" Target="externalLinks/externalLink1.xml" /><Relationship Id="rId12" Type="http://schemas.openxmlformats.org/officeDocument/2006/relationships/externalLink" Target="externalLinks/externalLink2.xml" /><Relationship Id="rId13" Type="http://schemas.openxmlformats.org/officeDocument/2006/relationships/externalLink" Target="externalLinks/externalLink3.xml" /></Relationships>
</file>

<file path=xl/externalLinks/_rels/externalLink1.xml.rels>&#65279;<?xml version="1.0" encoding="utf-8"?><Relationships xmlns="http://schemas.openxmlformats.org/package/2006/relationships"><Relationship Id="rId1" Type="http://schemas.microsoft.com/office/2006/relationships/xlExternalLinkPath/xlPathMissing" Target="DT_Foreign%20Currency%20Valuation_p1_TASE.xls" TargetMode="External" /></Relationships>
</file>

<file path=xl/externalLinks/_rels/externalLink2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FICO\DT_Foreign%20Currency%20Valuation_p2_TASE.xls" TargetMode="External" /></Relationships>
</file>

<file path=xl/externalLinks/_rels/externalLink3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FICO\DT_Foreign%20Currency%20Valuation_p3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C11"/>
  <sheetViews>
    <sheetView topLeftCell="Z1" workbookViewId="0">
      <selection activeCell="Z2" sqref="Z2"/>
    </sheetView>
  </sheetViews>
  <sheetFormatPr defaultColWidth="9.125" defaultRowHeight="14.25"/>
  <cols>
    <col min="1" max="1" width="9.125" style="8" customWidth="1"/>
    <col min="2" max="2" width="10.625" style="8" customWidth="1"/>
    <col min="3" max="3" width="38.125" style="8" customWidth="1"/>
    <col min="4" max="4" width="15" style="8" customWidth="1"/>
    <col min="5" max="5" width="13.625" style="8" customWidth="1"/>
    <col min="6" max="6" width="24.875" style="8" customWidth="1"/>
    <col min="7" max="7" width="18.625" style="8" customWidth="1"/>
    <col min="8" max="8" width="16.75" style="8" customWidth="1"/>
    <col min="9" max="9" width="27.125" style="8" customWidth="1"/>
    <col min="10" max="10" width="31.875" style="8" customWidth="1"/>
    <col min="11" max="12" width="43.75" style="14" customWidth="1"/>
    <col min="13" max="13" width="20.75" style="8" customWidth="1"/>
    <col min="14" max="14" width="42.125" style="8" customWidth="1"/>
    <col min="15" max="15" width="26.625" style="8" customWidth="1"/>
    <col min="16" max="16" width="48" style="8" customWidth="1"/>
    <col min="17" max="17" width="21.5" style="8" customWidth="1"/>
    <col min="18" max="18" width="41.125" style="8" customWidth="1"/>
    <col min="19" max="19" width="51.625" style="8" customWidth="1"/>
    <col min="20" max="20" width="55.875" style="8" customWidth="1"/>
    <col min="21" max="21" width="51.625" style="8" customWidth="1"/>
    <col min="22" max="22" width="55.875" style="8" customWidth="1"/>
    <col min="23" max="23" width="21.5" style="8" customWidth="1"/>
    <col min="24" max="24" width="43.125" style="8" customWidth="1"/>
    <col min="25" max="25" width="49" style="8" customWidth="1"/>
    <col min="26" max="27" width="37.75" style="8" customWidth="1"/>
    <col min="28" max="28" width="40.875" style="8" customWidth="1"/>
    <col min="29" max="30" width="49.625" style="8" customWidth="1"/>
    <col min="31" max="31" width="43.125" style="8" customWidth="1"/>
    <col min="32" max="32" width="39.75" style="8" customWidth="1"/>
    <col min="33" max="35" width="47.25" style="8" customWidth="1"/>
    <col min="36" max="36" width="26" style="8" customWidth="1"/>
    <col min="37" max="44" width="48" style="8" customWidth="1"/>
    <col min="45" max="54" width="49" style="8" customWidth="1"/>
    <col min="55" max="55" width="46.75" style="8" customWidth="1"/>
    <col min="56" max="56" width="60.25" style="8" customWidth="1"/>
    <col min="57" max="57" width="64.625" style="8" customWidth="1"/>
    <col min="58" max="58" width="67" style="8" customWidth="1"/>
    <col min="59" max="59" width="60.25" style="8" customWidth="1"/>
    <col min="60" max="60" width="64.625" style="8" customWidth="1"/>
    <col min="61" max="61" width="67" style="8" customWidth="1"/>
    <col min="62" max="62" width="60.25" style="8" customWidth="1"/>
    <col min="63" max="63" width="61.125" style="8" customWidth="1"/>
    <col min="64" max="64" width="67" style="8" customWidth="1"/>
    <col min="65" max="65" width="60.25" style="8" customWidth="1"/>
    <col min="66" max="66" width="61.125" style="8" customWidth="1"/>
    <col min="67" max="67" width="67" style="8" customWidth="1"/>
    <col min="68" max="79" width="49" style="8" customWidth="1"/>
    <col min="80" max="81" width="9.875" style="8" bestFit="1" customWidth="1"/>
    <col min="82" max="16384" width="9.125" style="8" customWidth="1"/>
  </cols>
  <sheetData>
    <row r="1" ht="12.75" customHeight="1" customFormat="1">
      <c r="A1" t="s">
        <v>111</v>
      </c>
      <c r="B1" t="s">
        <v>54</v>
      </c>
      <c r="C1" t="s">
        <v>41</v>
      </c>
      <c r="D1" t="s">
        <v>118</v>
      </c>
      <c r="E1" t="s">
        <v>113</v>
      </c>
      <c r="F1" t="s">
        <v>104</v>
      </c>
      <c r="G1" t="s">
        <v>49</v>
      </c>
      <c r="H1" t="s">
        <v>50</v>
      </c>
      <c r="I1" t="s">
        <v>1</v>
      </c>
      <c r="J1" t="s">
        <v>63</v>
      </c>
      <c r="K1" t="s">
        <v>105</v>
      </c>
      <c r="L1" t="s">
        <v>10</v>
      </c>
      <c r="M1" t="s">
        <v>114</v>
      </c>
      <c r="N1" t="s">
        <v>73</v>
      </c>
      <c r="O1" t="s">
        <v>115</v>
      </c>
      <c r="P1" t="s">
        <v>65</v>
      </c>
      <c r="Q1" t="s">
        <v>55</v>
      </c>
      <c r="R1" t="s">
        <v>66</v>
      </c>
      <c r="S1" t="s">
        <v>42</v>
      </c>
      <c r="T1" t="s">
        <v>43</v>
      </c>
      <c r="U1" t="s">
        <v>106</v>
      </c>
      <c r="V1" t="s">
        <v>107</v>
      </c>
      <c r="W1" t="s">
        <v>116</v>
      </c>
      <c r="X1" t="s">
        <v>36</v>
      </c>
      <c r="Y1" t="s">
        <v>119</v>
      </c>
      <c r="Z1" t="s">
        <v>21</v>
      </c>
      <c r="AA1" t="s">
        <v>28</v>
      </c>
      <c r="AB1" t="s">
        <v>67</v>
      </c>
      <c r="AC1" t="s">
        <v>29</v>
      </c>
      <c r="AD1" t="s">
        <v>2</v>
      </c>
      <c r="AE1" t="s">
        <v>30</v>
      </c>
      <c r="AF1" t="s">
        <v>11</v>
      </c>
      <c r="AG1" t="s">
        <v>117</v>
      </c>
      <c r="AH1" t="s">
        <v>108</v>
      </c>
      <c r="AI1" t="s">
        <v>120</v>
      </c>
      <c r="AJ1" t="s">
        <v>121</v>
      </c>
      <c r="AK1" t="s">
        <v>109</v>
      </c>
      <c r="AL1" t="s">
        <v>13</v>
      </c>
      <c r="AM1" t="s">
        <v>44</v>
      </c>
      <c r="AN1" t="s">
        <v>78</v>
      </c>
      <c r="AO1" t="s">
        <v>110</v>
      </c>
      <c r="AP1" t="s">
        <v>14</v>
      </c>
      <c r="AQ1" t="s">
        <v>45</v>
      </c>
      <c r="AR1" t="s">
        <v>79</v>
      </c>
      <c r="AS1" t="s">
        <v>122</v>
      </c>
      <c r="AT1" t="s">
        <v>31</v>
      </c>
      <c r="AU1" t="s">
        <v>58</v>
      </c>
      <c r="AV1" t="s">
        <v>86</v>
      </c>
      <c r="AW1" t="s">
        <v>123</v>
      </c>
      <c r="AX1" t="s">
        <v>38</v>
      </c>
      <c r="AY1" t="s">
        <v>69</v>
      </c>
      <c r="AZ1" t="s">
        <v>94</v>
      </c>
      <c r="BA1" t="s">
        <v>5</v>
      </c>
      <c r="BB1" t="s">
        <v>39</v>
      </c>
      <c r="BC1" t="s">
        <v>6</v>
      </c>
      <c r="BD1" t="s">
        <v>95</v>
      </c>
      <c r="BE1" t="s">
        <v>46</v>
      </c>
      <c r="BF1" t="s">
        <v>124</v>
      </c>
      <c r="BG1" t="s">
        <v>53</v>
      </c>
      <c r="BH1" t="s">
        <v>125</v>
      </c>
      <c r="BI1" t="s">
        <v>97</v>
      </c>
      <c r="BJ1" t="s">
        <v>126</v>
      </c>
      <c r="BK1" t="s">
        <v>80</v>
      </c>
      <c r="BL1" t="s">
        <v>70</v>
      </c>
      <c r="BM1" t="s">
        <v>81</v>
      </c>
      <c r="BN1" t="s">
        <v>23</v>
      </c>
      <c r="BO1" t="s">
        <v>47</v>
      </c>
      <c r="BP1" t="s">
        <v>88</v>
      </c>
      <c r="BQ1" t="s">
        <v>127</v>
      </c>
      <c r="BR1" t="s">
        <v>32</v>
      </c>
      <c r="BS1" t="s">
        <v>71</v>
      </c>
      <c r="BT1" t="s">
        <v>98</v>
      </c>
      <c r="BU1" t="s">
        <v>7</v>
      </c>
      <c r="BV1" t="s">
        <v>40</v>
      </c>
      <c r="BW1" t="s">
        <v>72</v>
      </c>
      <c r="BX1" t="s">
        <v>99</v>
      </c>
      <c r="BY1" t="s">
        <v>8</v>
      </c>
      <c r="BZ1" t="s">
        <v>60</v>
      </c>
      <c r="CA1" t="s">
        <v>89</v>
      </c>
      <c r="CB1" t="s">
        <v>84</v>
      </c>
      <c r="CC1" t="s">
        <v>24</v>
      </c>
    </row>
    <row r="2" s="8" customFormat="1">
      <c r="A2" s="1"/>
      <c r="B2" s="1"/>
      <c r="C2" s="22" t="s">
        <v>102</v>
      </c>
      <c r="D2" s="4" t="s">
        <v>35</v>
      </c>
      <c r="E2" s="4" t="s">
        <v>85</v>
      </c>
      <c r="F2" s="4" t="s">
        <v>19</v>
      </c>
      <c r="G2" s="4" t="s">
        <v>82</v>
      </c>
      <c r="H2" s="4" t="s">
        <v>0</v>
      </c>
      <c r="I2" s="3" t="s">
        <v>9</v>
      </c>
      <c r="J2" s="3" t="s">
        <v>91</v>
      </c>
      <c r="K2" s="9">
        <v>0</v>
      </c>
      <c r="L2" s="9">
        <v>1900001166</v>
      </c>
      <c r="M2" s="3">
        <f>K2</f>
        <v>0</v>
      </c>
      <c r="N2" s="16" t="s">
        <v>51</v>
      </c>
      <c r="O2" s="3">
        <f>L2</f>
        <v>1900001166</v>
      </c>
      <c r="P2" s="17" t="s">
        <v>51</v>
      </c>
      <c r="Q2" s="3" t="s">
        <v>52</v>
      </c>
      <c r="R2" s="3" t="s">
        <v>74</v>
      </c>
      <c r="S2" s="2" t="s">
        <v>56</v>
      </c>
      <c r="T2" s="2" t="s">
        <v>75</v>
      </c>
      <c r="U2" s="2" t="s">
        <v>20</v>
      </c>
      <c r="V2" s="2" t="s">
        <v>75</v>
      </c>
      <c r="W2" s="3" t="s">
        <v>83</v>
      </c>
      <c r="X2" s="3">
        <v>3</v>
      </c>
      <c r="Y2" s="3">
        <v>3</v>
      </c>
      <c r="Z2" s="12" t="e">
        <f>TEXT([3]Output!E2,"dd.mm.yyyy")</f>
        <v>#REF!</v>
      </c>
      <c r="AA2" s="12">
        <f ca="1">TODAY()</f>
        <v>45799</v>
      </c>
      <c r="AB2" s="7" t="s">
        <v>68</v>
      </c>
      <c r="AC2" s="3">
        <f t="shared" si="0" ref="AC2:AD2">K2</f>
        <v>0</v>
      </c>
      <c r="AD2" s="3">
        <f t="shared" si="0"/>
        <v>1900001166</v>
      </c>
      <c r="AE2" s="7" t="s">
        <v>37</v>
      </c>
      <c r="AF2" s="7" t="s">
        <v>76</v>
      </c>
      <c r="AG2" s="7" t="s">
        <v>57</v>
      </c>
      <c r="AH2" s="3" t="s">
        <v>22</v>
      </c>
      <c r="AI2" s="3" t="s">
        <v>91</v>
      </c>
      <c r="AJ2" s="7" t="s">
        <v>12</v>
      </c>
      <c r="AK2" s="2" t="s">
        <v>77</v>
      </c>
      <c r="AL2" s="2" t="s">
        <v>77</v>
      </c>
      <c r="AM2" s="2" t="s">
        <v>93</v>
      </c>
      <c r="AN2" s="2">
        <v>30389101</v>
      </c>
      <c r="AO2" s="2" t="s">
        <v>3</v>
      </c>
      <c r="AP2" s="2" t="s">
        <v>4</v>
      </c>
      <c r="AQ2" s="2" t="s">
        <v>3</v>
      </c>
      <c r="AR2" s="2">
        <v>30389101</v>
      </c>
      <c r="AS2" s="2" t="s">
        <v>93</v>
      </c>
      <c r="AT2" s="2" t="s">
        <v>4</v>
      </c>
      <c r="AU2" s="2" t="s">
        <v>3</v>
      </c>
      <c r="AV2" s="2">
        <v>30389201</v>
      </c>
      <c r="AW2" s="2" t="s">
        <v>93</v>
      </c>
      <c r="AX2" s="2" t="s">
        <v>59</v>
      </c>
      <c r="AY2" s="2" t="s">
        <v>93</v>
      </c>
      <c r="AZ2" s="2">
        <v>30389201</v>
      </c>
      <c r="BA2" s="2" t="s">
        <v>3</v>
      </c>
      <c r="BB2" s="2" t="s">
        <v>59</v>
      </c>
      <c r="BC2" s="3" t="s">
        <v>87</v>
      </c>
      <c r="BD2" s="2" t="s">
        <v>96</v>
      </c>
      <c r="BE2" s="6" t="e">
        <f>[3]Output!A2</f>
        <v>#REF!</v>
      </c>
      <c r="BF2" s="2" t="e">
        <f>BE2</f>
        <v>#REF!</v>
      </c>
      <c r="BG2" s="2" t="s">
        <v>96</v>
      </c>
      <c r="BH2" s="6" t="e">
        <f>[3]Output!B2</f>
        <v>#REF!</v>
      </c>
      <c r="BI2" s="2" t="e">
        <f>BH2</f>
        <v>#REF!</v>
      </c>
      <c r="BJ2" s="2" t="s">
        <v>96</v>
      </c>
      <c r="BK2" s="6" t="e">
        <f>[3]Output!C2</f>
        <v>#REF!</v>
      </c>
      <c r="BL2" s="2" t="e">
        <f>BK2</f>
        <v>#REF!</v>
      </c>
      <c r="BM2" s="2" t="s">
        <v>96</v>
      </c>
      <c r="BN2" s="6" t="e">
        <f>[3]Output!D2</f>
        <v>#REF!</v>
      </c>
      <c r="BO2" s="2" t="e">
        <f>BN2</f>
        <v>#REF!</v>
      </c>
      <c r="BP2" s="2" t="e">
        <f>MID(BE2,10,10)</f>
        <v>#REF!</v>
      </c>
      <c r="BQ2" s="2">
        <v>30389101</v>
      </c>
      <c r="BR2" s="2" t="s">
        <v>4</v>
      </c>
      <c r="BS2" s="2" t="e">
        <f>MID(BH2,10,10)</f>
        <v>#REF!</v>
      </c>
      <c r="BT2" s="2">
        <v>30389101</v>
      </c>
      <c r="BU2" s="2" t="s">
        <v>4</v>
      </c>
      <c r="BV2" s="2" t="e">
        <f>MID(BK2,10,10)</f>
        <v>#REF!</v>
      </c>
      <c r="BW2" s="2">
        <v>30389201</v>
      </c>
      <c r="BX2" s="2" t="s">
        <v>59</v>
      </c>
      <c r="BY2" s="2" t="e">
        <f>MID(BN2,10,10)</f>
        <v>#REF!</v>
      </c>
      <c r="BZ2" s="2">
        <v>30389201</v>
      </c>
      <c r="CA2" s="2" t="s">
        <v>59</v>
      </c>
      <c r="CB2" s="19">
        <f ca="1" t="shared" si="1" ref="CB2:CC2">TODAY()</f>
        <v>45799</v>
      </c>
      <c r="CC2" s="13">
        <f ca="1" t="shared" si="1"/>
        <v>45799</v>
      </c>
    </row>
    <row r="3" s="8" customFormat="1">
      <c r="A3" s="1"/>
      <c r="B3" s="1"/>
      <c r="C3" s="1"/>
      <c r="D3" s="1"/>
      <c r="E3" s="1"/>
      <c r="F3" s="1"/>
      <c r="G3" s="1"/>
      <c r="H3" s="1"/>
      <c r="I3" s="1"/>
      <c r="J3" s="1"/>
      <c r="K3" s="11" t="s">
        <v>64</v>
      </c>
      <c r="L3" s="11" t="s">
        <v>92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2">
        <f ca="1">DATE(YEAR(TODAY()),MONTH(TODAY())+1,1)-1</f>
        <v>45808</v>
      </c>
      <c r="AA3" s="12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0"/>
    </row>
    <row r="4" s="8" customFormat="1">
      <c r="A4" s="1"/>
      <c r="B4" s="1"/>
      <c r="C4" s="4" t="s">
        <v>112</v>
      </c>
      <c r="D4" s="1"/>
      <c r="E4" s="1"/>
      <c r="F4" s="1"/>
      <c r="G4" s="1"/>
      <c r="H4" s="1"/>
      <c r="I4" s="1"/>
      <c r="J4" s="1"/>
      <c r="K4" s="11" t="e">
        <f>[1]Global!$Z$2</f>
        <v>#REF!</v>
      </c>
      <c r="L4" s="11" t="e">
        <f>[2]Global!$Z$2</f>
        <v>#REF!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2"/>
      <c r="AA4" s="12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0"/>
    </row>
    <row r="5" s="8" customFormat="1">
      <c r="A5" s="1"/>
      <c r="B5" s="1"/>
      <c r="C5" s="3" t="s">
        <v>48</v>
      </c>
      <c r="D5" s="1"/>
      <c r="E5" s="1"/>
      <c r="F5" s="1"/>
      <c r="G5" s="1"/>
      <c r="H5" s="1"/>
      <c r="I5" s="1"/>
      <c r="J5" s="1"/>
      <c r="K5" s="11"/>
      <c r="L5" s="1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0"/>
    </row>
    <row r="6" s="8" customFormat="1">
      <c r="A6" s="1"/>
      <c r="B6" s="1"/>
      <c r="C6" s="21" t="s">
        <v>103</v>
      </c>
      <c r="D6" s="1"/>
      <c r="E6" s="1"/>
      <c r="F6" s="1"/>
      <c r="G6" s="1"/>
      <c r="H6" s="1"/>
      <c r="I6" s="1"/>
      <c r="J6" s="1"/>
      <c r="K6" s="11"/>
      <c r="L6" s="1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0"/>
    </row>
    <row r="7" s="8" customFormat="1">
      <c r="A7" s="1"/>
      <c r="B7" s="1"/>
      <c r="C7" s="6" t="s">
        <v>27</v>
      </c>
      <c r="D7" s="1"/>
      <c r="E7" s="1"/>
      <c r="F7" s="1"/>
      <c r="G7" s="1"/>
      <c r="H7" s="1"/>
      <c r="I7" s="1"/>
      <c r="J7" s="1"/>
      <c r="K7" s="11"/>
      <c r="L7" s="1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0"/>
    </row>
    <row r="8" s="8" customFormat="1">
      <c r="A8" s="1"/>
      <c r="B8" s="1"/>
      <c r="C8" s="18" t="s">
        <v>34</v>
      </c>
      <c r="D8" s="1"/>
      <c r="E8" s="1"/>
      <c r="F8" s="1"/>
      <c r="G8" s="1"/>
      <c r="H8" s="1"/>
      <c r="I8" s="1"/>
      <c r="J8" s="1"/>
      <c r="K8" s="11"/>
      <c r="L8" s="1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0"/>
    </row>
    <row r="9" s="8" customFormat="1">
      <c r="A9" s="1"/>
      <c r="B9" s="1"/>
      <c r="C9" s="2" t="s">
        <v>61</v>
      </c>
      <c r="D9" s="1"/>
      <c r="E9" s="1"/>
      <c r="F9" s="1"/>
      <c r="G9" s="1"/>
      <c r="H9" s="1"/>
      <c r="I9" s="1"/>
      <c r="J9" s="1"/>
      <c r="K9" s="11"/>
      <c r="L9" s="1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0"/>
    </row>
    <row r="10" s="8" customFormat="1">
      <c r="A10" s="1"/>
      <c r="B10" s="1"/>
      <c r="C10" s="20" t="s">
        <v>18</v>
      </c>
      <c r="D10" s="1"/>
      <c r="E10" s="1"/>
      <c r="F10" s="1"/>
      <c r="G10" s="1"/>
      <c r="H10" s="1"/>
      <c r="I10" s="1"/>
      <c r="J10" s="1"/>
      <c r="K10" s="11"/>
      <c r="L10" s="1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0"/>
    </row>
    <row r="11" s="8" customFormat="1">
      <c r="A11" s="1"/>
      <c r="B11" s="1"/>
      <c r="C11" s="23" t="s">
        <v>62</v>
      </c>
      <c r="D11" s="1"/>
      <c r="E11" s="1"/>
      <c r="F11" s="1"/>
      <c r="G11" s="1"/>
      <c r="H11" s="1"/>
      <c r="I11" s="1"/>
      <c r="J11" s="1"/>
      <c r="K11" s="11"/>
      <c r="L11" s="1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0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E3"/>
  <sheetViews>
    <sheetView workbookViewId="0">
      <selection activeCell="A2" sqref="A2"/>
    </sheetView>
  </sheetViews>
  <sheetFormatPr defaultColWidth="9.125" defaultRowHeight="14.25"/>
  <cols>
    <col min="1" max="16384" width="9.125" style="8" customWidth="1"/>
  </cols>
  <sheetData>
    <row r="1" ht="12.75" customHeight="1" customFormat="1">
      <c r="A1" t="s">
        <v>25</v>
      </c>
      <c r="B1" t="s">
        <v>90</v>
      </c>
      <c r="C1" t="s">
        <v>33</v>
      </c>
      <c r="D1" t="s">
        <v>100</v>
      </c>
      <c r="E1" t="s">
        <v>101</v>
      </c>
    </row>
    <row r="2">
      <c r="A2" s="1" t="s">
        <v>26</v>
      </c>
      <c r="B2" s="1" t="s">
        <v>15</v>
      </c>
      <c r="C2" s="1" t="s">
        <v>16</v>
      </c>
      <c r="D2" s="1" t="s">
        <v>17</v>
      </c>
      <c r="E2" s="13">
        <v>45501</v>
      </c>
    </row>
    <row r="3">
      <c r="A3" s="1"/>
      <c r="B3" s="15"/>
      <c r="C3" s="1"/>
      <c r="D3" s="1"/>
      <c r="E3" s="10"/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5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