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35 VIM" sheetId="4" r:id="rId4"/>
  </sheets>
  <calcPr calcId="40001"/>
</workbook>
</file>

<file path=xl/sharedStrings.xml><?xml version="1.0" encoding="utf-8"?>
<sst xmlns="http://schemas.openxmlformats.org/spreadsheetml/2006/main" uniqueCount="135">
  <si>
    <t/>
  </si>
  <si>
    <t>DT_SAPTRANSACTIONCODE</t>
  </si>
  <si>
    <t>22</t>
  </si>
  <si>
    <t>DT_OPTVIM_7AX2_0019_TABLECELL_LINE_NUMBER_0</t>
  </si>
  <si>
    <t>11</t>
  </si>
  <si>
    <t>DT_OPTVIM_7AX2_1220_TABLECELL_ITEM_0</t>
  </si>
  <si>
    <t>DT_OPTVIM_7AX2_2004_CHECK_GETCELLVALUE_OF_GRIDCELL_11_STATUS_OCC1</t>
  </si>
  <si>
    <t>DT_OPTVIM_7AX2_2004_GRIDCELL_11_BUSINESS_RULE_OCC1</t>
  </si>
  <si>
    <t>DT_OPTVIM_7AX2_2002_OPTVIM_BL_1RIDX_OCR_DATATAX_CODE</t>
  </si>
  <si>
    <t>04.04.02.35 VIM - PO Precontrole Issue - DLL</t>
  </si>
  <si>
    <t>Logon Information</t>
  </si>
  <si>
    <t>AUTOFAB</t>
  </si>
  <si>
    <t>DT_ADD_VALUE_ITEM</t>
  </si>
  <si>
    <t>=Output!C3</t>
  </si>
  <si>
    <t>DT_OPTVIM_7AX2_2002_VENDOR_REFERENCE1</t>
  </si>
  <si>
    <t>DT_OPTVIM_7AX2_2002_HANDLING_CHARGES</t>
  </si>
  <si>
    <t>DT_OPTVIM_7AX2_2002_TAX_RATE_1</t>
  </si>
  <si>
    <t>F</t>
  </si>
  <si>
    <t>J</t>
  </si>
  <si>
    <t>Fix</t>
  </si>
  <si>
    <t>DT_OPTVIM_7AX2_1105_DOCUMENT_ID</t>
  </si>
  <si>
    <t>DT_OPTVIM_7AX2_2004_CHECK_GETCELLVALUE_OF_GRIDCELL_11_STATUS</t>
  </si>
  <si>
    <t>DT_OPTVIM_7AX2_2002_DOCUMENT_DATE</t>
  </si>
  <si>
    <t>DT_OPTVIM_7AX2_2002_VAT_AMOUNT</t>
  </si>
  <si>
    <t>DT_OPTVIM_7AX2_2002_OPTVIM_BL_1RIDX_OCR_DATATAX_RATE</t>
  </si>
  <si>
    <t>DT_OPTVIM_7AX2_2002_BANK_NAME</t>
  </si>
  <si>
    <t>N</t>
  </si>
  <si>
    <t>Scenario</t>
  </si>
  <si>
    <t>Input Value</t>
  </si>
  <si>
    <t>AUTOFDLL</t>
  </si>
  <si>
    <t>DT_OPTVIM_7AX2_0002_CHECK_TEXT_OF_ARCH</t>
  </si>
  <si>
    <t>000000355471</t>
  </si>
  <si>
    <t>DT_OPTVIM_7AX2_1002_LINE_ITEMS</t>
  </si>
  <si>
    <t>DT_ADD_VALUE_ITEM2</t>
  </si>
  <si>
    <t>DT_OPTVIM_7AX2_2002_RECEPIENT_NAME</t>
  </si>
  <si>
    <t>DT_Row</t>
  </si>
  <si>
    <t>Formulas</t>
  </si>
  <si>
    <t>Data from other test</t>
  </si>
  <si>
    <t>200</t>
  </si>
  <si>
    <t>DT_OPTVIM_7AX2_2002_VENDOR_REFERENCE</t>
  </si>
  <si>
    <t>DT_EXPECTEDVALUE</t>
  </si>
  <si>
    <t>30</t>
  </si>
  <si>
    <t>DT_OPTVIM_7AX2_2002_FREIGHT_AMOUNT</t>
  </si>
  <si>
    <t>DT_OPTVIM_7AX2_2002_VENDOR_VAT_NO</t>
  </si>
  <si>
    <t>DT_OPTVIM_7AX2_2002_TAX_AMOUNT_1</t>
  </si>
  <si>
    <t>DT_SAPSYSTEM</t>
  </si>
  <si>
    <t>init-123</t>
  </si>
  <si>
    <t>=Output!C4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</si>
  <si>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</si>
  <si>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</si>
  <si>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</si>
  <si>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</si>
  <si>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</si>
  <si>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G</t>
  </si>
  <si>
    <t>K</t>
  </si>
  <si>
    <t>auto-555</t>
  </si>
  <si>
    <t>DT_SAPLANGUAGE</t>
  </si>
  <si>
    <t>DT_SAPOPTIONS</t>
  </si>
  <si>
    <t>DT_OPTVIM_7AX2_0002_ARCH</t>
  </si>
  <si>
    <t>2801713</t>
  </si>
  <si>
    <t>6213029</t>
  </si>
  <si>
    <t>DT_OPTVIM_7AX2_0010_CHECK_TEXT_OF_MESSTXT1</t>
  </si>
  <si>
    <t>S</t>
  </si>
  <si>
    <t>DT_OPTVIM_7AX2_2002_POSTING_DATE</t>
  </si>
  <si>
    <t>DT_OPTVIM_7AX2_2002_DOCHEADER_TEXT</t>
  </si>
  <si>
    <t>O</t>
  </si>
  <si>
    <t>04.04.02.35 VIM - PO Precontrole Issue - MI</t>
  </si>
  <si>
    <t>4</t>
  </si>
  <si>
    <t>DT_OPTVIM_7AX2_0600_GRIDCELL_4_COLUMN_NAME_OCC1</t>
  </si>
  <si>
    <t>DT_OPTVIM_7AX2_1000_GRIDCELL_0_EXECUTE</t>
  </si>
  <si>
    <t>04.04.02.35 VIM - PO Precontrole Issue - AB</t>
  </si>
  <si>
    <t>13</t>
  </si>
  <si>
    <t>20</t>
  </si>
  <si>
    <t>DT_OPTVIM_7AX2_0010_CHECK_TEXT_OF_MESSTXT1_OCC1</t>
  </si>
  <si>
    <t>DT_EXPECTEDVALUE_OCC1</t>
  </si>
  <si>
    <t>ICON_EXEC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</si>
  <si>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</si>
  <si>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</si>
  <si>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</si>
  <si>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</si>
  <si>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</si>
  <si>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Document Number 000049327158 Workflow ID 000307302561</t>
  </si>
  <si>
    <t>D</t>
  </si>
  <si>
    <t>Iovio03!</t>
  </si>
  <si>
    <t>/OPT/VIM_7AX2</t>
  </si>
  <si>
    <t>DT_OPTVIM_7AX2_0002_ADDL_DOCS_OLD</t>
  </si>
  <si>
    <t>DT_OPTVIM_7AX2_0600_GRIDCELL_4_COLUMN_NAME</t>
  </si>
  <si>
    <t>DT_OPTVIM_7AX2_2002_POSTING_DATE_OCC1</t>
  </si>
  <si>
    <t>DT_OPTVIM_7AX2_2002_EXPENSE_TYPE</t>
  </si>
  <si>
    <t>DT_OPTVIM_7AX2_2002_TAX_AMOUNT_2</t>
  </si>
  <si>
    <t>H</t>
  </si>
  <si>
    <t>L</t>
  </si>
  <si>
    <t>AUTOFICO</t>
  </si>
  <si>
    <t>EN</t>
  </si>
  <si>
    <t>DT_INCREMENT</t>
  </si>
  <si>
    <t>1</t>
  </si>
  <si>
    <t>@08\QProcessed@</t>
  </si>
  <si>
    <t>DT_OPTVIM_7AX2_2002_RECEPIENT_VAT_NO</t>
  </si>
  <si>
    <t>DT_OPTVIM_7AX2_2002_SUPPLY_DATE</t>
  </si>
  <si>
    <t>DT_OPTVIM_7AX2_2002_GROSS_INV_AMOUNT</t>
  </si>
  <si>
    <t>DT_OPTVIM_7AX2_2002_COMPANY_CODE</t>
  </si>
  <si>
    <t>DT_OPTVIM_7AX2_2002_REQUESTER_ID</t>
  </si>
  <si>
    <t>DT_OPTVIM_7AX2_2002_BANK_ACCOUNT</t>
  </si>
  <si>
    <t>21</t>
  </si>
  <si>
    <t>DT_CHECKDOC</t>
  </si>
  <si>
    <t>/n/OPT/VIM_WP</t>
  </si>
  <si>
    <t>DT_OPTVIM_7AX2_2004_GRIDCELL_11_BUSINESS_RULE</t>
  </si>
  <si>
    <t>10</t>
  </si>
  <si>
    <t>DT_ITEM_NUMBER_ROW</t>
  </si>
  <si>
    <t>DT_OPTVIM_7AX2_2002_BANK_NUMBER</t>
  </si>
  <si>
    <t>DT_OPTVIM_7AX2_2002_BANK_NUMBER_OCC1</t>
  </si>
  <si>
    <t>R1E - SAP RETAIL Pre-Production EUROPE</t>
  </si>
  <si>
    <t>DT_SAPPASSWORD</t>
  </si>
  <si>
    <t>=Output!C2</t>
  </si>
  <si>
    <t>DT_OPTVIM_7AX2_2002_PO_NUMBER</t>
  </si>
  <si>
    <t>DT_OPTVIM_7AX2_0010_CHECK_TEXT_OF_MESSTXT1_OUTPUT</t>
  </si>
  <si>
    <t>E</t>
  </si>
  <si>
    <t>I</t>
  </si>
  <si>
    <t>M</t>
  </si>
  <si>
    <t>Checks</t>
  </si>
  <si>
    <t>Output Value</t>
  </si>
  <si>
    <t>DT_SAPUSER</t>
  </si>
  <si>
    <t>S5</t>
  </si>
  <si>
    <t>DT_OPTVIM_7AX2_0002_OKCD</t>
  </si>
  <si>
    <t>DT_OPTVIM_7AX2_0002_ARCH1</t>
  </si>
  <si>
    <t>DT_OPTVIM_7AX2_2002_VENDOR_NAME</t>
  </si>
  <si>
    <t>DT_OPTVIM_7AX2_2002_PO_LIST</t>
  </si>
  <si>
    <t>DT_OPTVIM_7AX2_2002_FISCAL_REP_VAT_NO</t>
  </si>
  <si>
    <t>DT_SAPCLIENT</t>
  </si>
  <si>
    <t>2050104</t>
  </si>
  <si>
    <t>DT_OPTVIM_7AX2_0150_ALL_USERS_VIEW</t>
  </si>
  <si>
    <t>@0A\QException occured@</t>
  </si>
  <si>
    <t>DT_OPTVIM_7AX2_0002_ADDL_DOCS</t>
  </si>
  <si>
    <t>DT_OPTVIM_7AX2_2002_VENDOR_NUMBER</t>
  </si>
  <si>
    <t>DT_OPTVIM_7AX2_2002_IBAN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</si>
</sst>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6" borderId="1" xfId="0" applyNumberForma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Z11"/>
  <sheetViews>
    <sheetView workbookViewId="0">
      <pane xSplit="1" ySplit="0" topLeftCell="AJ2" activePane="topRight"/>
      <selection activeCell="AJ2" sqref="AJ2"/>
      <selection pane="topRight" activeCell="AJ2" sqref="AJ2"/>
    </sheetView>
  </sheetViews>
  <sheetFormatPr defaultColWidth="9.125" defaultRowHeight="14.25"/>
  <cols>
    <col min="1" max="1" width="9.125" style="9" customWidth="1"/>
    <col min="2" max="2" width="38.5" style="9" customWidth="1"/>
    <col min="3" max="3" width="38.125" style="9" customWidth="1"/>
    <col min="4" max="4" width="15" style="9" customWidth="1"/>
    <col min="5" max="5" width="13.625" style="9" customWidth="1"/>
    <col min="6" max="6" width="19.25" style="9" customWidth="1"/>
    <col min="7" max="7" width="18.625" style="9" customWidth="1"/>
    <col min="8" max="8" width="16.75" style="9" customWidth="1"/>
    <col min="9" max="9" width="27.125" style="9" customWidth="1"/>
    <col min="10" max="10" width="28.375" style="9" customWidth="1"/>
    <col min="11" max="11" width="34.375" style="9" customWidth="1"/>
    <col min="12" max="12" width="45" style="9" customWidth="1"/>
    <col min="13" max="13" width="15.75" style="9" customWidth="1"/>
    <col min="14" max="14" width="43.625" style="9" customWidth="1"/>
    <col min="15" max="15" width="49.875" style="9" customWidth="1"/>
    <col min="16" max="16" width="21.25" style="9" customWidth="1"/>
    <col min="17" max="17" width="49.625" style="9" customWidth="1"/>
    <col min="18" max="18" width="14.875" style="9" customWidth="1"/>
    <col min="19" max="19" width="55.5" style="9" customWidth="1"/>
    <col min="20" max="20" width="20.75" style="9" customWidth="1"/>
    <col min="21" max="21" width="28.25" style="9" customWidth="1"/>
    <col min="22" max="22" width="39.625" style="9" customWidth="1"/>
    <col min="23" max="23" width="26.625" style="9" customWidth="1"/>
    <col min="24" max="24" width="49.5" style="9" customWidth="1"/>
    <col min="25" max="25" width="55.375" style="9" customWidth="1"/>
    <col min="26" max="26" width="36.75" style="9" customWidth="1"/>
    <col min="27" max="27" width="44" style="9" customWidth="1"/>
    <col min="28" max="28" width="70.125" style="9" customWidth="1"/>
    <col min="29" max="29" width="51.75" style="9" customWidth="1"/>
    <col min="30" max="30" width="34" style="9" customWidth="1"/>
    <col min="31" max="31" width="41.125" style="9" customWidth="1"/>
    <col min="32" max="32" width="22.25" style="9" customWidth="1"/>
    <col min="33" max="33" width="23.75" style="9" customWidth="1"/>
    <col min="34" max="34" width="76" style="9" customWidth="1"/>
    <col min="35" max="35" width="57.625" style="9" customWidth="1"/>
    <col min="36" max="37" width="34.875" style="9" customWidth="1"/>
    <col min="38" max="38" width="29.375" style="9" customWidth="1"/>
    <col min="39" max="39" width="40" style="9" customWidth="1"/>
    <col min="40" max="40" width="37.625" style="9" customWidth="1"/>
    <col min="41" max="41" width="43.5" style="9" customWidth="1"/>
    <col min="42" max="42" width="45.375" style="9" customWidth="1"/>
    <col min="43" max="43" width="43" style="9" customWidth="1"/>
    <col min="44" max="44" width="40.5" style="9" customWidth="1"/>
    <col min="45" max="45" width="44.625" style="9" customWidth="1"/>
    <col min="46" max="46" width="42.875" style="9" customWidth="1"/>
    <col min="47" max="47" width="40.25" style="9" customWidth="1"/>
    <col min="48" max="48" width="37.875" style="9" customWidth="1"/>
    <col min="49" max="49" width="37.5" style="9" customWidth="1"/>
    <col min="50" max="50" width="29.25" style="9" customWidth="1"/>
    <col min="51" max="51" width="35.875" style="9" customWidth="1"/>
    <col min="52" max="52" width="41.5" style="9" customWidth="1"/>
    <col min="53" max="53" width="38.625" style="9" customWidth="1"/>
    <col min="54" max="54" width="37.75" style="9" customWidth="1"/>
    <col min="55" max="55" width="40.25" style="9" customWidth="1"/>
    <col min="56" max="56" width="30.75" style="9" customWidth="1"/>
    <col min="57" max="57" width="39.625" style="9" customWidth="1"/>
    <col min="58" max="58" width="36" style="9" customWidth="1"/>
    <col min="59" max="59" width="39.5" style="9" customWidth="1"/>
    <col min="60" max="60" width="35.875" style="9" customWidth="1"/>
    <col min="61" max="61" width="42.375" style="9" customWidth="1"/>
    <col min="62" max="62" width="60.875" style="9" customWidth="1"/>
    <col min="63" max="63" width="60.75" style="9" customWidth="1"/>
    <col min="64" max="64" width="42.875" style="9" customWidth="1"/>
    <col min="65" max="65" width="34.875" style="9" customWidth="1"/>
    <col min="66" max="66" width="37.875" style="9" customWidth="1"/>
    <col min="67" max="67" width="34.875" style="9" customWidth="1"/>
    <col min="68" max="68" width="37.875" style="9" customWidth="1"/>
    <col min="69" max="69" width="66.75" style="9" customWidth="1"/>
    <col min="70" max="70" width="36.625" style="9" customWidth="1"/>
    <col min="71" max="71" width="39.875" style="9" customWidth="1"/>
    <col min="72" max="72" width="35.5" style="9" customWidth="1"/>
    <col min="73" max="73" width="34.5" style="9" customWidth="1"/>
    <col min="74" max="74" width="38.25" style="9" customWidth="1"/>
    <col min="75" max="75" width="27.5" style="9" customWidth="1"/>
    <col min="76" max="76" width="37.25" style="9" customWidth="1"/>
    <col min="77" max="77" width="43.125" style="9" customWidth="1"/>
    <col min="78" max="78" width="40.875" style="9" customWidth="1"/>
    <col min="79" max="16384" width="9.125" style="9" customWidth="1"/>
  </cols>
  <sheetData>
    <row r="1" ht="12.75" customHeight="1" customFormat="1">
      <c r="A1" t="s">
        <v>35</v>
      </c>
      <c r="B1" t="s">
        <v>27</v>
      </c>
      <c r="C1" t="s">
        <v>45</v>
      </c>
      <c r="D1" t="s">
        <v>128</v>
      </c>
      <c r="E1" t="s">
        <v>121</v>
      </c>
      <c r="F1" t="s">
        <v>112</v>
      </c>
      <c r="G1" t="s">
        <v>56</v>
      </c>
      <c r="H1" t="s">
        <v>57</v>
      </c>
      <c r="I1" t="s">
        <v>1</v>
      </c>
      <c r="J1" t="s">
        <v>58</v>
      </c>
      <c r="K1" t="s">
        <v>85</v>
      </c>
      <c r="L1" t="s">
        <v>30</v>
      </c>
      <c r="M1" t="s">
        <v>94</v>
      </c>
      <c r="N1" t="s">
        <v>39</v>
      </c>
      <c r="O1" t="s">
        <v>3</v>
      </c>
      <c r="P1" t="s">
        <v>12</v>
      </c>
      <c r="Q1" t="s">
        <v>61</v>
      </c>
      <c r="R1" t="s">
        <v>104</v>
      </c>
      <c r="S1" t="s">
        <v>73</v>
      </c>
      <c r="T1" t="s">
        <v>40</v>
      </c>
      <c r="U1" t="s">
        <v>123</v>
      </c>
      <c r="V1" t="s">
        <v>130</v>
      </c>
      <c r="W1" t="s">
        <v>74</v>
      </c>
      <c r="X1" t="s">
        <v>86</v>
      </c>
      <c r="Y1" t="s">
        <v>68</v>
      </c>
      <c r="Z1" t="s">
        <v>20</v>
      </c>
      <c r="AA1" t="s">
        <v>69</v>
      </c>
      <c r="AB1" t="s">
        <v>21</v>
      </c>
      <c r="AC1" t="s">
        <v>106</v>
      </c>
      <c r="AD1" t="s">
        <v>32</v>
      </c>
      <c r="AE1" t="s">
        <v>5</v>
      </c>
      <c r="AF1" t="s">
        <v>33</v>
      </c>
      <c r="AG1" t="s">
        <v>108</v>
      </c>
      <c r="AH1" t="s">
        <v>6</v>
      </c>
      <c r="AI1" t="s">
        <v>7</v>
      </c>
      <c r="AJ1" t="s">
        <v>114</v>
      </c>
      <c r="AK1" t="s">
        <v>132</v>
      </c>
      <c r="AL1" t="s">
        <v>124</v>
      </c>
      <c r="AM1" t="s">
        <v>22</v>
      </c>
      <c r="AN1" t="s">
        <v>63</v>
      </c>
      <c r="AO1" t="s">
        <v>87</v>
      </c>
      <c r="AP1" t="s">
        <v>48</v>
      </c>
      <c r="AQ1" t="s">
        <v>99</v>
      </c>
      <c r="AR1" t="s">
        <v>42</v>
      </c>
      <c r="AS1" t="s">
        <v>14</v>
      </c>
      <c r="AT1" t="s">
        <v>15</v>
      </c>
      <c r="AU1" t="s">
        <v>133</v>
      </c>
      <c r="AV1" t="s">
        <v>88</v>
      </c>
      <c r="AW1" t="s">
        <v>125</v>
      </c>
      <c r="AX1" t="s">
        <v>76</v>
      </c>
      <c r="AY1" t="s">
        <v>77</v>
      </c>
      <c r="AZ1" t="s">
        <v>49</v>
      </c>
      <c r="BA1" t="s">
        <v>100</v>
      </c>
      <c r="BB1" t="s">
        <v>101</v>
      </c>
      <c r="BC1" t="s">
        <v>34</v>
      </c>
      <c r="BD1" t="s">
        <v>126</v>
      </c>
      <c r="BE1" t="s">
        <v>43</v>
      </c>
      <c r="BF1" t="s">
        <v>23</v>
      </c>
      <c r="BG1" t="s">
        <v>50</v>
      </c>
      <c r="BH1" t="s">
        <v>78</v>
      </c>
      <c r="BI1" t="s">
        <v>97</v>
      </c>
      <c r="BJ1" t="s">
        <v>8</v>
      </c>
      <c r="BK1" t="s">
        <v>24</v>
      </c>
      <c r="BL1" t="s">
        <v>127</v>
      </c>
      <c r="BM1" t="s">
        <v>16</v>
      </c>
      <c r="BN1" t="s">
        <v>44</v>
      </c>
      <c r="BO1" t="s">
        <v>51</v>
      </c>
      <c r="BP1" t="s">
        <v>89</v>
      </c>
      <c r="BQ1" t="s">
        <v>79</v>
      </c>
      <c r="BR1" t="s">
        <v>98</v>
      </c>
      <c r="BS1" t="s">
        <v>52</v>
      </c>
      <c r="BT1" t="s">
        <v>80</v>
      </c>
      <c r="BU1" t="s">
        <v>25</v>
      </c>
      <c r="BV1" t="s">
        <v>102</v>
      </c>
      <c r="BW1" t="s">
        <v>134</v>
      </c>
      <c r="BX1" t="s">
        <v>109</v>
      </c>
      <c r="BY1" t="s">
        <v>110</v>
      </c>
      <c r="BZ1" t="s">
        <v>64</v>
      </c>
    </row>
    <row r="2">
      <c r="A2" s="5">
        <v>1</v>
      </c>
      <c r="B2" s="5" t="s">
        <v>70</v>
      </c>
      <c r="C2" s="4" t="s">
        <v>111</v>
      </c>
      <c r="D2" s="4" t="s">
        <v>38</v>
      </c>
      <c r="E2" s="4" t="s">
        <v>11</v>
      </c>
      <c r="F2" s="4" t="s">
        <v>46</v>
      </c>
      <c r="G2" s="4" t="s">
        <v>93</v>
      </c>
      <c r="H2" s="4" t="s">
        <v>0</v>
      </c>
      <c r="I2" s="3" t="s">
        <v>84</v>
      </c>
      <c r="J2" s="3" t="s">
        <v>122</v>
      </c>
      <c r="K2" s="3" t="s">
        <v>59</v>
      </c>
      <c r="L2" s="3" t="s">
        <v>122</v>
      </c>
      <c r="M2" s="3" t="s">
        <v>2</v>
      </c>
      <c r="N2" s="7" t="str">
        <f>"VIM_AB_35_"&amp;M2</f>
        <v>VIM_AB_35_22</v>
      </c>
      <c r="O2" s="3" t="s">
        <v>72</v>
      </c>
      <c r="P2" s="3"/>
      <c r="Q2" s="6" t="s">
        <v>113</v>
      </c>
      <c r="R2" s="17" t="str">
        <f t="shared" si="0" ref="R2:R4">MID(Q2,17,12)</f>
        <v/>
      </c>
      <c r="S2" s="15" t="str">
        <f t="shared" si="1" ref="S2:S4">"Document Number "&amp;R2&amp;" Workflow ID"</f>
        <v>Document Number  Workflow ID</v>
      </c>
      <c r="T2" s="2" t="s">
        <v>62</v>
      </c>
      <c r="U2" s="3" t="s">
        <v>105</v>
      </c>
      <c r="V2" s="3" t="s">
        <v>67</v>
      </c>
      <c r="W2" s="3" t="s">
        <v>62</v>
      </c>
      <c r="X2" s="3" t="s">
        <v>67</v>
      </c>
      <c r="Y2" s="3" t="s">
        <v>67</v>
      </c>
      <c r="Z2" s="7" t="str">
        <f t="shared" si="2" ref="Z2:Z4">R2</f>
        <v/>
      </c>
      <c r="AA2" s="3" t="s">
        <v>75</v>
      </c>
      <c r="AB2" s="6" t="s">
        <v>131</v>
      </c>
      <c r="AC2" s="2" t="s">
        <v>4</v>
      </c>
      <c r="AD2" s="2" t="s">
        <v>95</v>
      </c>
      <c r="AE2" s="2" t="s">
        <v>107</v>
      </c>
      <c r="AF2" s="2"/>
      <c r="AG2" s="2" t="s">
        <v>41</v>
      </c>
      <c r="AH2" s="6" t="s">
        <v>96</v>
      </c>
      <c r="AI2" s="2" t="s">
        <v>4</v>
      </c>
      <c r="AJ2" s="1">
        <v>6400061834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20"/>
    </row>
    <row r="3">
      <c r="A3" s="5">
        <v>2</v>
      </c>
      <c r="B3" s="5" t="s">
        <v>9</v>
      </c>
      <c r="C3" s="4" t="s">
        <v>111</v>
      </c>
      <c r="D3" s="4" t="s">
        <v>38</v>
      </c>
      <c r="E3" s="4" t="s">
        <v>29</v>
      </c>
      <c r="F3" s="4" t="s">
        <v>55</v>
      </c>
      <c r="G3" s="4" t="s">
        <v>93</v>
      </c>
      <c r="H3" s="4" t="s">
        <v>0</v>
      </c>
      <c r="I3" s="3" t="s">
        <v>84</v>
      </c>
      <c r="J3" s="3" t="s">
        <v>122</v>
      </c>
      <c r="K3" s="3" t="s">
        <v>60</v>
      </c>
      <c r="L3" s="3" t="s">
        <v>122</v>
      </c>
      <c r="M3" s="3"/>
      <c r="N3" s="7" t="str">
        <f>"VIM_DLL_35_"&amp;M3</f>
        <v>VIM_DLL_35_</v>
      </c>
      <c r="O3" s="3" t="s">
        <v>72</v>
      </c>
      <c r="P3" s="3"/>
      <c r="Q3" s="6" t="s">
        <v>13</v>
      </c>
      <c r="R3" s="17" t="str">
        <f t="shared" si="0"/>
        <v/>
      </c>
      <c r="S3" s="15" t="str">
        <f t="shared" si="1"/>
        <v>Document Number  Workflow ID</v>
      </c>
      <c r="T3" s="2" t="s">
        <v>62</v>
      </c>
      <c r="U3" s="3" t="s">
        <v>105</v>
      </c>
      <c r="V3" s="3" t="s">
        <v>67</v>
      </c>
      <c r="W3" s="3" t="s">
        <v>62</v>
      </c>
      <c r="X3" s="3" t="s">
        <v>67</v>
      </c>
      <c r="Y3" s="3" t="s">
        <v>67</v>
      </c>
      <c r="Z3" s="7" t="str">
        <f t="shared" si="2"/>
        <v/>
      </c>
      <c r="AA3" s="3" t="s">
        <v>75</v>
      </c>
      <c r="AB3" s="6" t="s">
        <v>131</v>
      </c>
      <c r="AC3" s="2" t="s">
        <v>4</v>
      </c>
      <c r="AD3" s="2" t="s">
        <v>95</v>
      </c>
      <c r="AE3" s="2" t="s">
        <v>107</v>
      </c>
      <c r="AF3" s="2"/>
      <c r="AG3" s="2" t="s">
        <v>41</v>
      </c>
      <c r="AH3" s="6" t="s">
        <v>96</v>
      </c>
      <c r="AI3" s="2" t="s">
        <v>4</v>
      </c>
      <c r="AJ3" s="1">
        <v>6400042262</v>
      </c>
      <c r="AK3" s="1">
        <v>49318604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20"/>
    </row>
    <row r="4">
      <c r="A4" s="5">
        <v>3</v>
      </c>
      <c r="B4" s="5" t="s">
        <v>66</v>
      </c>
      <c r="C4" s="4" t="s">
        <v>111</v>
      </c>
      <c r="D4" s="4" t="s">
        <v>38</v>
      </c>
      <c r="E4" s="4" t="s">
        <v>92</v>
      </c>
      <c r="F4" s="4" t="s">
        <v>83</v>
      </c>
      <c r="G4" s="4" t="s">
        <v>93</v>
      </c>
      <c r="H4" s="4" t="s">
        <v>0</v>
      </c>
      <c r="I4" s="3" t="s">
        <v>84</v>
      </c>
      <c r="J4" s="3" t="s">
        <v>122</v>
      </c>
      <c r="K4" s="3" t="s">
        <v>129</v>
      </c>
      <c r="L4" s="3" t="s">
        <v>122</v>
      </c>
      <c r="M4" s="3" t="s">
        <v>71</v>
      </c>
      <c r="N4" s="7" t="str">
        <f>"VIM_MI_35_"&amp;M4</f>
        <v>VIM_MI_35_13</v>
      </c>
      <c r="O4" s="3" t="s">
        <v>72</v>
      </c>
      <c r="P4" s="3" t="s">
        <v>103</v>
      </c>
      <c r="Q4" s="6" t="s">
        <v>47</v>
      </c>
      <c r="R4" s="17" t="str">
        <f t="shared" si="0"/>
        <v/>
      </c>
      <c r="S4" s="15" t="str">
        <f t="shared" si="1"/>
        <v>Document Number  Workflow ID</v>
      </c>
      <c r="T4" s="2" t="s">
        <v>62</v>
      </c>
      <c r="U4" s="3" t="s">
        <v>105</v>
      </c>
      <c r="V4" s="3" t="s">
        <v>67</v>
      </c>
      <c r="W4" s="3" t="s">
        <v>62</v>
      </c>
      <c r="X4" s="3" t="s">
        <v>67</v>
      </c>
      <c r="Y4" s="3" t="s">
        <v>67</v>
      </c>
      <c r="Z4" s="7" t="str">
        <f t="shared" si="2"/>
        <v/>
      </c>
      <c r="AA4" s="3" t="s">
        <v>75</v>
      </c>
      <c r="AB4" s="6" t="s">
        <v>131</v>
      </c>
      <c r="AC4" s="2" t="s">
        <v>4</v>
      </c>
      <c r="AD4" s="2" t="s">
        <v>95</v>
      </c>
      <c r="AE4" s="2" t="s">
        <v>107</v>
      </c>
      <c r="AF4" s="2" t="s">
        <v>72</v>
      </c>
      <c r="AG4" s="2" t="s">
        <v>41</v>
      </c>
      <c r="AH4" s="6" t="s">
        <v>96</v>
      </c>
      <c r="AI4" s="2" t="s">
        <v>4</v>
      </c>
      <c r="AJ4" s="1">
        <v>6300091366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20"/>
    </row>
    <row r="5">
      <c r="A5" s="1"/>
      <c r="B5" s="1"/>
      <c r="C5" s="12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20"/>
    </row>
    <row r="6">
      <c r="A6" s="1"/>
      <c r="B6" s="1"/>
      <c r="C6" s="10" t="s">
        <v>36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>
        <v>6400042262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20"/>
    </row>
    <row r="7">
      <c r="A7" s="1"/>
      <c r="B7" s="1"/>
      <c r="C7" s="14" t="s">
        <v>119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31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>
        <v>6503310288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20"/>
    </row>
    <row r="8">
      <c r="A8" s="1"/>
      <c r="B8" s="1"/>
      <c r="C8" s="18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20"/>
    </row>
    <row r="9">
      <c r="A9" s="1"/>
      <c r="B9" s="1"/>
      <c r="C9" s="19" t="s">
        <v>120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f>LEN(Q7)</f>
        <v>12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20"/>
    </row>
    <row r="10">
      <c r="A10" s="1"/>
      <c r="B10" s="1"/>
      <c r="C10" s="13" t="s">
        <v>28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20"/>
    </row>
    <row r="11">
      <c r="A11" s="1"/>
      <c r="B11" s="1"/>
      <c r="C11" s="16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2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O13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39.25" style="9" bestFit="1" customWidth="1"/>
    <col min="3" max="3" width="59.875" style="9" bestFit="1" customWidth="1"/>
    <col min="4" max="16384" width="9.125" style="9" customWidth="1"/>
  </cols>
  <sheetData>
    <row r="1" ht="12.75" customHeight="1" customFormat="1">
      <c r="A1" t="s">
        <v>35</v>
      </c>
      <c r="B1" t="s">
        <v>27</v>
      </c>
      <c r="C1" t="s">
        <v>115</v>
      </c>
      <c r="D1" t="s">
        <v>82</v>
      </c>
      <c r="E1" t="s">
        <v>116</v>
      </c>
      <c r="F1" t="s">
        <v>17</v>
      </c>
      <c r="G1" t="s">
        <v>53</v>
      </c>
      <c r="H1" t="s">
        <v>90</v>
      </c>
      <c r="I1" t="s">
        <v>117</v>
      </c>
      <c r="J1" t="s">
        <v>18</v>
      </c>
      <c r="K1" t="s">
        <v>54</v>
      </c>
      <c r="L1" t="s">
        <v>91</v>
      </c>
      <c r="M1" t="s">
        <v>118</v>
      </c>
      <c r="N1" t="s">
        <v>26</v>
      </c>
      <c r="O1" t="s">
        <v>65</v>
      </c>
    </row>
    <row r="2">
      <c r="A2" s="5">
        <v>1</v>
      </c>
      <c r="B2" s="5" t="s">
        <v>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1"/>
    </row>
    <row r="3">
      <c r="A3" s="5">
        <v>2</v>
      </c>
      <c r="B3" s="5" t="s">
        <v>9</v>
      </c>
      <c r="C3" s="2" t="s">
        <v>81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1"/>
    </row>
    <row r="4">
      <c r="A4" s="5">
        <v>3</v>
      </c>
      <c r="B4" s="5" t="s">
        <v>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1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1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1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1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1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1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11"/>
    </row>
    <row r="1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11"/>
    </row>
    <row r="12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1"/>
    </row>
    <row r="13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1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