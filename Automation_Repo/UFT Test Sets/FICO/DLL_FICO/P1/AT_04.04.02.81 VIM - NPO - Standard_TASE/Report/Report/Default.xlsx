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81 VIM" sheetId="4" r:id="rId4"/>
  </sheets>
  <calcPr calcId="40001"/>
</workbook>
</file>

<file path=xl/sharedStrings.xml><?xml version="1.0" encoding="utf-8"?>
<sst xmlns="http://schemas.openxmlformats.org/spreadsheetml/2006/main" uniqueCount="168">
  <si>
    <t/>
  </si>
  <si>
    <t>DT_SAPTRANSACTIONCODE</t>
  </si>
  <si>
    <t>DT_OPTVIM_7AX2_2002_OPTVIM_BL_1RIDX_OCR_DATATAX_CODE</t>
  </si>
  <si>
    <t>DT_OPTVIM_7AX2_0002_CHECK_MESSAGEPARAMETER_OF_STATUSBAR</t>
  </si>
  <si>
    <t>DT_OPTVIM_7AX2_0100_OKCD</t>
  </si>
  <si>
    <t>AUTOFAB</t>
  </si>
  <si>
    <t>77</t>
  </si>
  <si>
    <t>=Output!C3</t>
  </si>
  <si>
    <t>=Output!D4</t>
  </si>
  <si>
    <t>RZ000009</t>
  </si>
  <si>
    <t>DT_OPTVIM_7AX2_2004_TABLECELL_COST_CTR_0</t>
  </si>
  <si>
    <t>DT_OPT_VIM_CHECK_1ST_APPROVER</t>
  </si>
  <si>
    <t>DT_OPTVIM_7AX2_2002_HANDLING_CHARGES</t>
  </si>
  <si>
    <t>DT_OPTVIM_7AX2_2002_TAX_RATE_1</t>
  </si>
  <si>
    <t>Automation testing - Bypass Potential Rent invoice as suggested by Adil Bensalem</t>
  </si>
  <si>
    <t>F</t>
  </si>
  <si>
    <t>J</t>
  </si>
  <si>
    <t>04.04.02.81 VIM - DLL</t>
  </si>
  <si>
    <t>04.04.02.81 VIM - DLL RGS</t>
  </si>
  <si>
    <t>04.04.02.81 VIM - MI RGS</t>
  </si>
  <si>
    <t>Verifications Date</t>
  </si>
  <si>
    <t>Data Coming from another test</t>
  </si>
  <si>
    <t>DT_OPTVIM_7AX2_2002_VAT_AMOUNT</t>
  </si>
  <si>
    <t>A1</t>
  </si>
  <si>
    <t>=Output!C7</t>
  </si>
  <si>
    <t>=Output!D8</t>
  </si>
  <si>
    <t>DT_OPTVIM_7AX2_1105_DOCUMENT_ID</t>
  </si>
  <si>
    <t>DT_OPT_VIM_CHECK_2ND_APPROVER</t>
  </si>
  <si>
    <t>DT_OPTVIM_7AX2_2002_DOCUMENT_DATE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</si>
  <si>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</si>
  <si>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</si>
  <si>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</si>
  <si>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</si>
  <si>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DT_OPTVIM_7AX2_2004_TABLECELL_EX_REA_OUTPUT</t>
  </si>
  <si>
    <t>N</t>
  </si>
  <si>
    <t>Scenario</t>
  </si>
  <si>
    <t>Output Data</t>
  </si>
  <si>
    <t>AUTOFDLL</t>
  </si>
  <si>
    <t>%blank%</t>
  </si>
  <si>
    <t>DT_OPTVIM_WP_1003_GRIDCELL_1_OPTION_SHORT_TEXT</t>
  </si>
  <si>
    <t>Posted</t>
  </si>
  <si>
    <t>DT_OPTVIM_7AX2_2002_RECEPIENT_NAME</t>
  </si>
  <si>
    <t>200</t>
  </si>
  <si>
    <t>ON</t>
  </si>
  <si>
    <t>DT_OPTVIM_7AX2_2002_VENDOR_REFERENCE</t>
  </si>
  <si>
    <t>ASRMAB05@DELHAIZE.COM</t>
  </si>
  <si>
    <t>30387221</t>
  </si>
  <si>
    <t>DT_OPTVIM_7AX2_1000_OKCD</t>
  </si>
  <si>
    <t>DT_OPTVIM_7AX2_1000_DOCUMENT_PROCESSING_NUMBER</t>
  </si>
  <si>
    <t>DT_OPTVIM_7AX2_2002_FREIGHT_AMOUNT</t>
  </si>
  <si>
    <t>DT_OPTVIM_7AX2_2002_VENDOR_VAT_NO</t>
  </si>
  <si>
    <t>DT_OPTVIM_7AX2_2002_TAX_AMOUNT_1</t>
  </si>
  <si>
    <t>Suspected Duplicate (NPO)</t>
  </si>
  <si>
    <t>DT_SAPSYSTEM</t>
  </si>
  <si>
    <t>init-123</t>
  </si>
  <si>
    <t>38</t>
  </si>
  <si>
    <t>DT_OPTVIM_7AX2_2002_REQUESTOR_EMAIL</t>
  </si>
  <si>
    <t>=Output!C4</t>
  </si>
  <si>
    <t>DT_OPT_VIM_CHECK_3RD_APPROVER</t>
  </si>
  <si>
    <t>DT_OPTVIM_7AX2_2002_DOCUMENT_CURRENCY</t>
  </si>
  <si>
    <t>DT_OPTVIM_7AX2_2002_VENDOR_TAX_NO</t>
  </si>
  <si>
    <t>DT_OPTVIM_7AX2_2002_TAX_RATE_2</t>
  </si>
  <si>
    <t>DT_OPTVIM_7AX2_2002_PAYMENT_TERMS</t>
  </si>
  <si>
    <t>000049327196</t>
  </si>
  <si>
    <t>G</t>
  </si>
  <si>
    <t>K</t>
  </si>
  <si>
    <t>Input Data</t>
  </si>
  <si>
    <t>auto-555</t>
  </si>
  <si>
    <t>DT_SAPLANGUAGE</t>
  </si>
  <si>
    <t>DT_SAPOPTIONS</t>
  </si>
  <si>
    <t>DT_OPTVIM_7AX2_0002_ARCH</t>
  </si>
  <si>
    <t>=Output!C8</t>
  </si>
  <si>
    <t>DT_OPTVIM_7AX2_0002_CHECK_MESSAGEPARAMETER_OF_STATUSBAR_OCC1</t>
  </si>
  <si>
    <t>DT_OPTVIM_7AX2_0002_CHECK_TEXT_OF_STATUSBAR</t>
  </si>
  <si>
    <t>DT_OPTVIM_7AX2_2002_POSTING_DATE</t>
  </si>
  <si>
    <t>DT_OPTVIM_7AX2_2002_DOCHEADER_TEXT</t>
  </si>
  <si>
    <t>O</t>
  </si>
  <si>
    <t>Row</t>
  </si>
  <si>
    <t>DT_OPTVIM_7AX2_2002_AUTOCALC</t>
  </si>
  <si>
    <t>4</t>
  </si>
  <si>
    <t>DT_OPTVIM_7AX2_1000_GRIDCELL_0_EXECUTE</t>
  </si>
  <si>
    <t>DT_OPTVIM_7AX2_0019_TABLECELL_AMOUNT_0</t>
  </si>
  <si>
    <t>Formulas Date</t>
  </si>
  <si>
    <t>Verifications</t>
  </si>
  <si>
    <t>Execution Control Data</t>
  </si>
  <si>
    <t>DT_OPTVIM_7AX2_1000_GRIDCELL_1_DOC_ID</t>
  </si>
  <si>
    <t>ICON_EXEC</t>
  </si>
  <si>
    <t>DT_OPTVIM_7AX2_2004_TABLECELL_GL_ACC_0</t>
  </si>
  <si>
    <t>DT_OPTVIM_7AX2_2002_PLANT</t>
  </si>
  <si>
    <t>DT_OPTVIM_7AX2_2002_TAX_AMOUNT</t>
  </si>
  <si>
    <t>DT_OPTVIM_7AX2_0019_OPTVIM_BL_M1_SUBSCREENSTC_INDEX_ITEMS</t>
  </si>
  <si>
    <t>DT_OPTVIM_7AX2_2002_CM_REF_DAT</t>
  </si>
  <si>
    <t>04.04.02.81 VIM - MI</t>
  </si>
  <si>
    <t>Iovio03!</t>
  </si>
  <si>
    <t>/OPT/VIM_7AX2</t>
  </si>
  <si>
    <t>DT_TAX__RATE</t>
  </si>
  <si>
    <t>82</t>
  </si>
  <si>
    <t>57</t>
  </si>
  <si>
    <t>DT_OPTVIM_7AX2_2002_EXPENSE_TYPE</t>
  </si>
  <si>
    <t>N3</t>
  </si>
  <si>
    <t>S0</t>
  </si>
  <si>
    <t>=Output!D2</t>
  </si>
  <si>
    <t>BZ000130</t>
  </si>
  <si>
    <t>DT_ACCOUNTING_POSTING_DATE</t>
  </si>
  <si>
    <t>DT_OPTVIM_7AX2_2002_POSTING_DATE_OCC1</t>
  </si>
  <si>
    <t>DT_OPTVIM_7AX2_2002_TAX_AMOUNT_2</t>
  </si>
  <si>
    <t>H</t>
  </si>
  <si>
    <t>L</t>
  </si>
  <si>
    <t>04.04.02.81 VIM - AB</t>
  </si>
  <si>
    <t>AUTOFICO</t>
  </si>
  <si>
    <t>EN</t>
  </si>
  <si>
    <t>=Output!D6</t>
  </si>
  <si>
    <t>1</t>
  </si>
  <si>
    <t>DT_OPTVIM_7AX2_2002_RECEPIENT_VAT_NO</t>
  </si>
  <si>
    <t>DT_OPTVIM_7AX2_2002_SUPPLY_DATE</t>
  </si>
  <si>
    <t>DT_INCREMENT</t>
  </si>
  <si>
    <t>000307431325</t>
  </si>
  <si>
    <t>P</t>
  </si>
  <si>
    <t>Formulas General</t>
  </si>
  <si>
    <t>DT_OPTVIM_7AX2_2002_GROSS_INV_AMOUNT</t>
  </si>
  <si>
    <t>DT_OPTVIM_7AX2_2002_REQUESTER_ID</t>
  </si>
  <si>
    <t>=X6</t>
  </si>
  <si>
    <t>DT_OPTVIM_7AX2_1000_GRIDCELL_0_EXECUTE_OCC1</t>
  </si>
  <si>
    <t>DT_OPTVIM_7AX2_2002_COMPANY_CODE</t>
  </si>
  <si>
    <t>DT_OPTVIM_7AX2_2002_BANK_ACCOUNT</t>
  </si>
  <si>
    <t>Potential Rent Invoice (NPO)</t>
  </si>
  <si>
    <t>DT_OPTVIM_7AX2_2004_BYPASS_COMMENTS</t>
  </si>
  <si>
    <t>04.04.02.81 VIM - AB RGS</t>
  </si>
  <si>
    <t>TE</t>
  </si>
  <si>
    <t>/n/opt/vim_va2</t>
  </si>
  <si>
    <t>DT_OPTVIM_7AX2_2000_CHECK_GETCELLVALUE_OF_GRIDCELL_0_OVERALL_STATUS_TEXT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</si>
  <si>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</si>
  <si>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</si>
  <si>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</si>
  <si>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</si>
  <si>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</si>
  <si>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DT_OPTVIM_7AX2_0002_ARCH_OCC1</t>
  </si>
  <si>
    <t>18</t>
  </si>
  <si>
    <t>ST</t>
  </si>
  <si>
    <t>=Output!C2</t>
  </si>
  <si>
    <t>=Output!D3</t>
  </si>
  <si>
    <t>DT_ACCOUNTING_HEADER_EMAIL</t>
  </si>
  <si>
    <t>DT_OPTVIM_WP_1003_GRIDCELL_1_OPTION_SHORT_TEXT_OCC1</t>
  </si>
  <si>
    <t>DT_OPTVIM_7AX2_1000_GRIDCELL_0_EXECUTE_2</t>
  </si>
  <si>
    <t>DT_OPTVIM_7AX2_2002_PO_NUMBER</t>
  </si>
  <si>
    <t>I</t>
  </si>
  <si>
    <t>M</t>
  </si>
  <si>
    <t>Login Information</t>
  </si>
  <si>
    <t>DT_SAPUSER</t>
  </si>
  <si>
    <t>S5</t>
  </si>
  <si>
    <t>DT_NET_AMOUNT</t>
  </si>
  <si>
    <t>=Output!C6</t>
  </si>
  <si>
    <t>=Output!D7</t>
  </si>
  <si>
    <t>/n/opt/vim_wp</t>
  </si>
  <si>
    <t>DT_OPTVIM_7AX2_9100_GH_IDX_APPLICATIONMS_IDX_HEADERZZKOSTL</t>
  </si>
  <si>
    <t>GZ000080</t>
  </si>
  <si>
    <t>DT_OPTVIM_7AX2_0002_ARCH1</t>
  </si>
  <si>
    <t>DT_OPTVIM_7AX2_2002_VENDOR_NAME</t>
  </si>
  <si>
    <t>DT_OPTVIM_7AX2_2002_PO_LIST</t>
  </si>
  <si>
    <t>DT_OPTVIM_7AX2_2002_FISCAL_REP_VAT_NO</t>
  </si>
  <si>
    <t>DT_OPTVIM_7AX2_2004_TABLECELL_EX_REA</t>
  </si>
  <si>
    <t>DT_SAPCLIENT</t>
  </si>
  <si>
    <t>DT_OPTVIM_7AX2_0002_ADDL_DOCS</t>
  </si>
  <si>
    <t>DT_INCREMENT_1</t>
  </si>
  <si>
    <t>DT_OPTVIM_7AX2_0150_ALL_USERS_VIEW</t>
  </si>
  <si>
    <t>DT_OPTVIM_7AX2_1000_GRIDCELL_0_EXECUTE_OCC2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</si>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</sst>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2" fillId="2" borderId="1" xfId="0" applyNumberFormat="1" applyFont="1" applyFill="1" applyBorder="1" applyAlignment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1" fillId="7" borderId="1" xfId="0" applyNumberFormat="1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49" fontId="3" fillId="5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Alignment="1" applyProtection="1">
      <alignment vertical="center"/>
      <protection locked="0"/>
    </xf>
    <xf numFmtId="0" fontId="1" fillId="0" borderId="1" xfId="0" applyBorder="1" applyAlignment="1" applyProtection="1">
      <alignment vertical="center"/>
      <protection locked="0"/>
    </xf>
    <xf numFmtId="0" fontId="1" fillId="3" borderId="1" xfId="0" applyFont="1" applyFill="1" applyBorder="1" applyProtection="1">
      <protection locked="0"/>
    </xf>
    <xf numFmtId="49" fontId="1" fillId="2" borderId="1" xfId="0" quotePrefix="1" applyNumberForma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G20"/>
  <sheetViews>
    <sheetView workbookViewId="0">
      <pane xSplit="1" ySplit="0" topLeftCell="CD2" activePane="topRight"/>
      <selection activeCell="CD2" sqref="CD2"/>
      <selection pane="topRight" activeCell="CD2" sqref="CD2"/>
    </sheetView>
  </sheetViews>
  <sheetFormatPr defaultColWidth="9.125" defaultRowHeight="14.25"/>
  <cols>
    <col min="1" max="1" width="9.125" style="17" customWidth="1"/>
    <col min="2" max="2" width="26.5" style="17" customWidth="1"/>
    <col min="3" max="3" width="38.125" style="17" customWidth="1"/>
    <col min="4" max="4" width="15" style="17" customWidth="1"/>
    <col min="5" max="5" width="13.625" style="17" customWidth="1"/>
    <col min="6" max="6" width="19.25" style="17" customWidth="1"/>
    <col min="7" max="7" width="18.625" style="17" customWidth="1"/>
    <col min="8" max="8" width="16.75" style="17" customWidth="1"/>
    <col min="9" max="9" width="27.125" style="17" customWidth="1"/>
    <col min="10" max="10" width="28.375" style="17" customWidth="1"/>
    <col min="11" max="11" width="34.375" style="17" customWidth="1"/>
    <col min="12" max="12" width="17.625" style="17" customWidth="1"/>
    <col min="13" max="13" width="15.375" style="17" customWidth="1"/>
    <col min="14" max="14" width="33.125" style="17" customWidth="1"/>
    <col min="15" max="15" width="34.25" style="17" customWidth="1"/>
    <col min="16" max="16" width="43" style="17" customWidth="1"/>
    <col min="17" max="17" width="15.75" style="17" customWidth="1"/>
    <col min="18" max="18" width="43.625" style="17" customWidth="1"/>
    <col min="19" max="19" width="41.5" style="17" customWidth="1"/>
    <col min="20" max="20" width="37.75" style="17" customWidth="1"/>
    <col min="21" max="21" width="37.875" style="17" customWidth="1"/>
    <col min="22" max="22" width="36" style="17" customWidth="1"/>
    <col min="23" max="23" width="60.875" style="17" customWidth="1"/>
    <col min="24" max="24" width="67.25" style="17" customWidth="1"/>
    <col min="25" max="25" width="73.125" style="17" customWidth="1"/>
    <col min="26" max="26" width="52.5" style="17" customWidth="1"/>
    <col min="27" max="27" width="28.25" style="17" customWidth="1"/>
    <col min="28" max="28" width="39.625" style="17" customWidth="1"/>
    <col min="29" max="29" width="42.125" style="17" customWidth="1"/>
    <col min="30" max="30" width="36.75" style="17" customWidth="1"/>
    <col min="31" max="31" width="44" style="17" customWidth="1"/>
    <col min="32" max="32" width="67" style="17" customWidth="1"/>
    <col min="33" max="33" width="32.375" style="17" customWidth="1"/>
    <col min="34" max="34" width="32.5" style="17" customWidth="1"/>
    <col min="35" max="35" width="60.375" style="17" customWidth="1"/>
    <col min="36" max="36" width="54.5" style="17" customWidth="1"/>
    <col min="37" max="37" width="46" style="17" customWidth="1"/>
    <col min="38" max="38" width="43.75" style="17" customWidth="1"/>
    <col min="39" max="40" width="46.625" style="17" customWidth="1"/>
    <col min="41" max="42" width="49.875" style="17" customWidth="1"/>
    <col min="43" max="43" width="28.25" style="17" customWidth="1"/>
    <col min="44" max="44" width="56.25" style="17" customWidth="1"/>
    <col min="45" max="45" width="84.5" style="17" customWidth="1"/>
    <col min="46" max="46" width="67.875" style="17" customWidth="1"/>
    <col min="47" max="47" width="68.25" style="17" customWidth="1"/>
    <col min="48" max="48" width="67.25" style="17" customWidth="1"/>
    <col min="49" max="49" width="29.375" style="17" customWidth="1"/>
    <col min="50" max="50" width="40" style="17" customWidth="1"/>
    <col min="51" max="51" width="37.625" style="17" customWidth="1"/>
    <col min="52" max="52" width="43.5" style="17" customWidth="1"/>
    <col min="53" max="53" width="45.375" style="17" customWidth="1"/>
    <col min="54" max="54" width="40.5" style="17" customWidth="1"/>
    <col min="55" max="55" width="42.875" style="17" customWidth="1"/>
    <col min="56" max="56" width="40.25" style="17" customWidth="1"/>
    <col min="57" max="57" width="37.5" style="17" customWidth="1"/>
    <col min="58" max="58" width="29.25" style="17" customWidth="1"/>
    <col min="59" max="59" width="34.875" style="17" customWidth="1"/>
    <col min="60" max="60" width="38.625" style="17" customWidth="1"/>
    <col min="61" max="61" width="40.25" style="17" customWidth="1"/>
    <col min="62" max="62" width="30.75" style="17" customWidth="1"/>
    <col min="63" max="63" width="39.625" style="17" customWidth="1"/>
    <col min="64" max="64" width="39.5" style="17" customWidth="1"/>
    <col min="65" max="65" width="35.875" style="17" customWidth="1"/>
    <col min="66" max="66" width="42.375" style="17" customWidth="1"/>
    <col min="67" max="67" width="60.75" style="17" customWidth="1"/>
    <col min="68" max="68" width="42.875" style="17" customWidth="1"/>
    <col min="69" max="69" width="34.875" style="17" customWidth="1"/>
    <col min="70" max="70" width="37.875" style="17" customWidth="1"/>
    <col min="71" max="71" width="34.875" style="17" customWidth="1"/>
    <col min="72" max="72" width="37.875" style="17" customWidth="1"/>
    <col min="73" max="73" width="66.75" style="17" customWidth="1"/>
    <col min="74" max="74" width="36.625" style="17" customWidth="1"/>
    <col min="75" max="75" width="39.875" style="17" customWidth="1"/>
    <col min="76" max="76" width="35.5" style="17" customWidth="1"/>
    <col min="77" max="77" width="34.5" style="17" customWidth="1"/>
    <col min="78" max="78" width="38.25" style="17" customWidth="1"/>
    <col min="79" max="79" width="27.5" style="17" customWidth="1"/>
    <col min="80" max="80" width="37.25" style="17" customWidth="1"/>
    <col min="81" max="81" width="43.125" style="17" customWidth="1"/>
    <col min="82" max="82" width="40.875" style="17" customWidth="1"/>
    <col min="83" max="16384" width="9.125" style="17" customWidth="1"/>
  </cols>
  <sheetData>
    <row r="1" ht="12.75" customHeight="1" customFormat="1">
      <c r="A1" t="s">
        <v>77</v>
      </c>
      <c r="B1" t="s">
        <v>35</v>
      </c>
      <c r="C1" t="s">
        <v>53</v>
      </c>
      <c r="D1" t="s">
        <v>161</v>
      </c>
      <c r="E1" t="s">
        <v>148</v>
      </c>
      <c r="F1" t="s">
        <v>135</v>
      </c>
      <c r="G1" t="s">
        <v>68</v>
      </c>
      <c r="H1" t="s">
        <v>69</v>
      </c>
      <c r="I1" t="s">
        <v>1</v>
      </c>
      <c r="J1" t="s">
        <v>70</v>
      </c>
      <c r="K1" t="s">
        <v>162</v>
      </c>
      <c r="L1" t="s">
        <v>150</v>
      </c>
      <c r="M1" t="s">
        <v>95</v>
      </c>
      <c r="N1" t="s">
        <v>78</v>
      </c>
      <c r="O1" t="s">
        <v>136</v>
      </c>
      <c r="P1" t="s">
        <v>119</v>
      </c>
      <c r="Q1" t="s">
        <v>163</v>
      </c>
      <c r="R1" t="s">
        <v>44</v>
      </c>
      <c r="S1" t="s">
        <v>56</v>
      </c>
      <c r="T1" t="s">
        <v>120</v>
      </c>
      <c r="U1" t="s">
        <v>98</v>
      </c>
      <c r="V1" t="s">
        <v>22</v>
      </c>
      <c r="W1" t="s">
        <v>2</v>
      </c>
      <c r="X1" t="s">
        <v>3</v>
      </c>
      <c r="Y1" t="s">
        <v>72</v>
      </c>
      <c r="Z1" t="s">
        <v>73</v>
      </c>
      <c r="AA1" t="s">
        <v>4</v>
      </c>
      <c r="AB1" t="s">
        <v>164</v>
      </c>
      <c r="AC1" t="s">
        <v>85</v>
      </c>
      <c r="AD1" t="s">
        <v>26</v>
      </c>
      <c r="AE1" t="s">
        <v>80</v>
      </c>
      <c r="AF1" t="s">
        <v>154</v>
      </c>
      <c r="AG1" t="s">
        <v>141</v>
      </c>
      <c r="AH1" t="s">
        <v>103</v>
      </c>
      <c r="AI1" t="s">
        <v>142</v>
      </c>
      <c r="AJ1" t="s">
        <v>39</v>
      </c>
      <c r="AK1" t="s">
        <v>143</v>
      </c>
      <c r="AL1" t="s">
        <v>87</v>
      </c>
      <c r="AM1" t="s">
        <v>10</v>
      </c>
      <c r="AN1" t="s">
        <v>81</v>
      </c>
      <c r="AO1" t="s">
        <v>122</v>
      </c>
      <c r="AP1" t="s">
        <v>165</v>
      </c>
      <c r="AQ1" t="s">
        <v>47</v>
      </c>
      <c r="AR1" t="s">
        <v>48</v>
      </c>
      <c r="AS1" t="s">
        <v>130</v>
      </c>
      <c r="AT1" t="s">
        <v>11</v>
      </c>
      <c r="AU1" t="s">
        <v>27</v>
      </c>
      <c r="AV1" t="s">
        <v>58</v>
      </c>
      <c r="AW1" t="s">
        <v>156</v>
      </c>
      <c r="AX1" t="s">
        <v>28</v>
      </c>
      <c r="AY1" t="s">
        <v>74</v>
      </c>
      <c r="AZ1" t="s">
        <v>104</v>
      </c>
      <c r="BA1" t="s">
        <v>59</v>
      </c>
      <c r="BB1" t="s">
        <v>49</v>
      </c>
      <c r="BC1" t="s">
        <v>12</v>
      </c>
      <c r="BD1" t="s">
        <v>166</v>
      </c>
      <c r="BE1" t="s">
        <v>157</v>
      </c>
      <c r="BF1" t="s">
        <v>88</v>
      </c>
      <c r="BG1" t="s">
        <v>144</v>
      </c>
      <c r="BH1" t="s">
        <v>123</v>
      </c>
      <c r="BI1" t="s">
        <v>41</v>
      </c>
      <c r="BJ1" t="s">
        <v>158</v>
      </c>
      <c r="BK1" t="s">
        <v>50</v>
      </c>
      <c r="BL1" t="s">
        <v>60</v>
      </c>
      <c r="BM1" t="s">
        <v>89</v>
      </c>
      <c r="BN1" t="s">
        <v>113</v>
      </c>
      <c r="BO1" t="s">
        <v>29</v>
      </c>
      <c r="BP1" t="s">
        <v>159</v>
      </c>
      <c r="BQ1" t="s">
        <v>13</v>
      </c>
      <c r="BR1" t="s">
        <v>51</v>
      </c>
      <c r="BS1" t="s">
        <v>61</v>
      </c>
      <c r="BT1" t="s">
        <v>105</v>
      </c>
      <c r="BU1" t="s">
        <v>90</v>
      </c>
      <c r="BV1" t="s">
        <v>114</v>
      </c>
      <c r="BW1" t="s">
        <v>62</v>
      </c>
      <c r="BX1" t="s">
        <v>91</v>
      </c>
      <c r="BY1" t="s">
        <v>30</v>
      </c>
      <c r="BZ1" t="s">
        <v>124</v>
      </c>
      <c r="CA1" t="s">
        <v>167</v>
      </c>
      <c r="CB1" t="s">
        <v>131</v>
      </c>
      <c r="CC1" t="s">
        <v>132</v>
      </c>
      <c r="CD1" t="s">
        <v>75</v>
      </c>
      <c r="CE1" t="s">
        <v>115</v>
      </c>
      <c r="CF1" t="s">
        <v>160</v>
      </c>
      <c r="CG1" t="s">
        <v>126</v>
      </c>
    </row>
    <row r="2">
      <c r="A2" s="1">
        <v>1</v>
      </c>
      <c r="B2" s="1" t="s">
        <v>108</v>
      </c>
      <c r="C2" s="5" t="s">
        <v>134</v>
      </c>
      <c r="D2" s="5" t="s">
        <v>42</v>
      </c>
      <c r="E2" s="5" t="s">
        <v>5</v>
      </c>
      <c r="F2" s="15" t="s">
        <v>54</v>
      </c>
      <c r="G2" s="5" t="s">
        <v>110</v>
      </c>
      <c r="H2" s="2" t="s">
        <v>0</v>
      </c>
      <c r="I2" s="2" t="s">
        <v>94</v>
      </c>
      <c r="J2" s="3" t="s">
        <v>149</v>
      </c>
      <c r="K2" s="24">
        <v>2801712</v>
      </c>
      <c r="L2" s="4">
        <v>1000</v>
      </c>
      <c r="M2" s="4">
        <v>9</v>
      </c>
      <c r="N2" s="3" t="s">
        <v>43</v>
      </c>
      <c r="O2" s="3" t="s">
        <v>149</v>
      </c>
      <c r="P2" s="19">
        <f t="shared" si="0" ref="P2:P4">L2+V2</f>
        <v>1090</v>
      </c>
      <c r="Q2" s="3" t="s">
        <v>96</v>
      </c>
      <c r="R2" s="9" t="str">
        <f>CONCATENATE("Stand appro17", Q2)</f>
        <v>Stand appro1782</v>
      </c>
      <c r="S2" s="3" t="s">
        <v>38</v>
      </c>
      <c r="T2" s="3" t="s">
        <v>38</v>
      </c>
      <c r="U2" s="3" t="s">
        <v>138</v>
      </c>
      <c r="V2" s="7">
        <f t="shared" si="1" ref="V2:V4">L2*(M2/100)</f>
        <v>90</v>
      </c>
      <c r="W2" s="3" t="s">
        <v>99</v>
      </c>
      <c r="X2" s="18" t="s">
        <v>139</v>
      </c>
      <c r="Y2" s="18" t="s">
        <v>101</v>
      </c>
      <c r="Z2" s="21" t="str">
        <f t="shared" si="2" ref="Z2:Z4">"Document Number "&amp;X2&amp;" Workflow ID "&amp;Y2</f>
        <v>Document Number =Output!C2 Workflow ID =Output!D2</v>
      </c>
      <c r="AA2" s="2" t="s">
        <v>153</v>
      </c>
      <c r="AB2" s="2" t="s">
        <v>79</v>
      </c>
      <c r="AC2" s="2" t="s">
        <v>38</v>
      </c>
      <c r="AD2" s="9" t="str">
        <f t="shared" si="3" ref="AD2:AD4">X2</f>
        <v>=Output!C2</v>
      </c>
      <c r="AE2" s="2" t="s">
        <v>86</v>
      </c>
      <c r="AF2" s="3" t="s">
        <v>155</v>
      </c>
      <c r="AG2" s="4"/>
      <c r="AH2" s="14"/>
      <c r="AI2" s="6" t="s">
        <v>112</v>
      </c>
      <c r="AJ2" s="6" t="s">
        <v>112</v>
      </c>
      <c r="AK2" s="3" t="s">
        <v>86</v>
      </c>
      <c r="AL2" s="3" t="s">
        <v>46</v>
      </c>
      <c r="AM2" s="7" t="str">
        <f t="shared" si="4" ref="AM2:AM4">AF2</f>
        <v>GZ000080</v>
      </c>
      <c r="AN2" s="7">
        <v>2000</v>
      </c>
      <c r="AO2" s="2" t="s">
        <v>86</v>
      </c>
      <c r="AP2" s="2" t="s">
        <v>86</v>
      </c>
      <c r="AQ2" s="2" t="s">
        <v>129</v>
      </c>
      <c r="AR2" s="9" t="str">
        <f t="shared" si="5" ref="AR2:AR4">X2</f>
        <v>=Output!C2</v>
      </c>
      <c r="AS2" s="22" t="s">
        <v>40</v>
      </c>
      <c r="AT2" s="8" t="str">
        <f>"Approve Invoice "&amp;X2&amp;" on behalf of VIM_CODER_GR  VIM_CODER_GR"</f>
        <v>Approve Invoice =Output!C2 on behalf of VIM_CODER_GR  VIM_CODER_GR</v>
      </c>
      <c r="AU2" s="8" t="str">
        <f>"Approve Invoice "&amp;X2&amp;" on behalf of ASRMAB01  SHOPPING CART &amp; PO"</f>
        <v>Approve Invoice =Output!C2 on behalf of ASRMAB01  SHOPPING CART &amp; PO</v>
      </c>
      <c r="AV2" s="8" t="str">
        <f>"Approve Invoice "&amp;X2&amp;" on behalf of ASRMAB03  PO &amp; INVOICE APPRO"</f>
        <v>Approve Invoice =Output!C2 on behalf of ASRMAB03  PO &amp; INVOICE APPRO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6"/>
    </row>
    <row r="3">
      <c r="A3" s="1">
        <v>2</v>
      </c>
      <c r="B3" s="1" t="s">
        <v>17</v>
      </c>
      <c r="C3" s="5" t="s">
        <v>134</v>
      </c>
      <c r="D3" s="5" t="s">
        <v>42</v>
      </c>
      <c r="E3" s="5" t="s">
        <v>37</v>
      </c>
      <c r="F3" s="5" t="s">
        <v>67</v>
      </c>
      <c r="G3" s="5" t="s">
        <v>110</v>
      </c>
      <c r="H3" s="2" t="s">
        <v>0</v>
      </c>
      <c r="I3" s="2" t="s">
        <v>94</v>
      </c>
      <c r="J3" s="3" t="s">
        <v>149</v>
      </c>
      <c r="K3" s="24">
        <v>49313693</v>
      </c>
      <c r="L3" s="4">
        <v>1000</v>
      </c>
      <c r="M3" s="4">
        <v>21</v>
      </c>
      <c r="N3" s="3" t="s">
        <v>43</v>
      </c>
      <c r="O3" s="3" t="s">
        <v>149</v>
      </c>
      <c r="P3" s="19">
        <f t="shared" si="0"/>
        <v>1210</v>
      </c>
      <c r="Q3" s="29"/>
      <c r="R3" s="9" t="str">
        <f xml:space="preserve"> CONCATENATE("Stand appro18",Q3)</f>
        <v>Stand appro18</v>
      </c>
      <c r="S3" s="3" t="s">
        <v>38</v>
      </c>
      <c r="T3" s="3" t="s">
        <v>38</v>
      </c>
      <c r="U3" s="3" t="s">
        <v>138</v>
      </c>
      <c r="V3" s="7">
        <f t="shared" si="1"/>
        <v>210</v>
      </c>
      <c r="W3" s="3" t="s">
        <v>100</v>
      </c>
      <c r="X3" s="18" t="s">
        <v>7</v>
      </c>
      <c r="Y3" s="18" t="s">
        <v>140</v>
      </c>
      <c r="Z3" s="21" t="str">
        <f t="shared" si="2"/>
        <v>Document Number =Output!C3 Workflow ID =Output!D3</v>
      </c>
      <c r="AA3" s="2" t="s">
        <v>153</v>
      </c>
      <c r="AB3" s="2" t="s">
        <v>79</v>
      </c>
      <c r="AC3" s="2" t="s">
        <v>38</v>
      </c>
      <c r="AD3" s="9" t="str">
        <f t="shared" si="3"/>
        <v>=Output!C3</v>
      </c>
      <c r="AE3" s="2" t="s">
        <v>86</v>
      </c>
      <c r="AF3" s="3" t="s">
        <v>102</v>
      </c>
      <c r="AG3" s="10"/>
      <c r="AH3" s="14"/>
      <c r="AI3" s="2" t="s">
        <v>112</v>
      </c>
      <c r="AJ3" s="2" t="s">
        <v>112</v>
      </c>
      <c r="AK3" s="3" t="s">
        <v>86</v>
      </c>
      <c r="AL3" s="3" t="s">
        <v>46</v>
      </c>
      <c r="AM3" s="7" t="str">
        <f t="shared" si="4"/>
        <v>BZ000130</v>
      </c>
      <c r="AN3" s="7">
        <v>1000</v>
      </c>
      <c r="AO3" s="2" t="s">
        <v>86</v>
      </c>
      <c r="AP3" s="2" t="s">
        <v>86</v>
      </c>
      <c r="AQ3" s="2" t="s">
        <v>129</v>
      </c>
      <c r="AR3" s="9" t="str">
        <f t="shared" si="5"/>
        <v>=Output!C3</v>
      </c>
      <c r="AS3" s="22" t="s">
        <v>40</v>
      </c>
      <c r="AT3" s="8" t="str">
        <f>"Approve Invoice "&amp;X3&amp;" on behalf of VIM_CODER_BE  VIM_CODER_BE"</f>
        <v>Approve Invoice =Output!C3 on behalf of VIM_CODER_BE  VIM_CODER_BE</v>
      </c>
      <c r="AU3" s="8" t="str">
        <f>"Approve Invoice "&amp;X3&amp;" on behalf of   ASRMDLL01"</f>
        <v>Approve Invoice =Output!C3 on behalf of   ASRMDLL01</v>
      </c>
      <c r="AV3" s="8" t="str">
        <f>"Approve Invoice "&amp;X3&amp;" on behalf of   ASRMDLL03"</f>
        <v>Approve Invoice =Output!C3 on behalf of   ASRMDLL03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>
        <v>4</v>
      </c>
      <c r="CF3" s="27" t="s">
        <v>125</v>
      </c>
      <c r="CG3" s="26" t="s">
        <v>14</v>
      </c>
    </row>
    <row r="4">
      <c r="A4" s="1">
        <v>3</v>
      </c>
      <c r="B4" s="1" t="s">
        <v>92</v>
      </c>
      <c r="C4" s="5" t="s">
        <v>134</v>
      </c>
      <c r="D4" s="5" t="s">
        <v>42</v>
      </c>
      <c r="E4" s="5" t="s">
        <v>109</v>
      </c>
      <c r="F4" s="5" t="s">
        <v>93</v>
      </c>
      <c r="G4" s="5" t="s">
        <v>110</v>
      </c>
      <c r="H4" s="2" t="s">
        <v>0</v>
      </c>
      <c r="I4" s="2" t="s">
        <v>94</v>
      </c>
      <c r="J4" s="3" t="s">
        <v>149</v>
      </c>
      <c r="K4" s="24">
        <v>1233836</v>
      </c>
      <c r="L4" s="4">
        <v>1000</v>
      </c>
      <c r="M4" s="4">
        <v>24</v>
      </c>
      <c r="N4" s="3" t="s">
        <v>43</v>
      </c>
      <c r="O4" s="3" t="s">
        <v>149</v>
      </c>
      <c r="P4" s="19">
        <f t="shared" si="0"/>
        <v>1240</v>
      </c>
      <c r="Q4" s="3" t="s">
        <v>55</v>
      </c>
      <c r="R4" s="9" t="str">
        <f>CONCATENATE("Stand appro17", Q4)</f>
        <v>Stand appro1738</v>
      </c>
      <c r="S4" s="3" t="s">
        <v>38</v>
      </c>
      <c r="T4" s="3" t="s">
        <v>38</v>
      </c>
      <c r="U4" s="3" t="s">
        <v>128</v>
      </c>
      <c r="V4" s="7">
        <f t="shared" si="1"/>
        <v>240</v>
      </c>
      <c r="W4" s="3" t="s">
        <v>23</v>
      </c>
      <c r="X4" s="18" t="s">
        <v>57</v>
      </c>
      <c r="Y4" s="18" t="s">
        <v>8</v>
      </c>
      <c r="Z4" s="21" t="str">
        <f t="shared" si="2"/>
        <v>Document Number =Output!C4 Workflow ID =Output!D4</v>
      </c>
      <c r="AA4" s="2" t="s">
        <v>153</v>
      </c>
      <c r="AB4" s="2" t="s">
        <v>79</v>
      </c>
      <c r="AC4" s="2" t="s">
        <v>38</v>
      </c>
      <c r="AD4" s="9" t="str">
        <f t="shared" si="3"/>
        <v>=Output!C4</v>
      </c>
      <c r="AE4" s="2" t="s">
        <v>86</v>
      </c>
      <c r="AF4" s="4"/>
      <c r="AG4" s="33" t="s">
        <v>45</v>
      </c>
      <c r="AH4" s="12">
        <f ca="1">TODAY()</f>
        <v>45958</v>
      </c>
      <c r="AI4" s="6" t="s">
        <v>112</v>
      </c>
      <c r="AJ4" s="6" t="s">
        <v>112</v>
      </c>
      <c r="AK4" s="3" t="s">
        <v>86</v>
      </c>
      <c r="AL4" s="3" t="s">
        <v>46</v>
      </c>
      <c r="AM4" s="7">
        <f t="shared" si="4"/>
        <v>0</v>
      </c>
      <c r="AN4" s="7">
        <v>2000</v>
      </c>
      <c r="AO4" s="2" t="s">
        <v>86</v>
      </c>
      <c r="AP4" s="2" t="s">
        <v>86</v>
      </c>
      <c r="AQ4" s="2" t="s">
        <v>129</v>
      </c>
      <c r="AR4" s="9" t="str">
        <f t="shared" si="5"/>
        <v>=Output!C4</v>
      </c>
      <c r="AS4" s="22" t="s">
        <v>40</v>
      </c>
      <c r="AT4" s="8" t="str">
        <f>"Approve Invoice "&amp;X4&amp;" on behalf of VIM_CODER_RO  VIM_CODER_RO"</f>
        <v>Approve Invoice =Output!C4 on behalf of VIM_CODER_RO  VIM_CODER_RO</v>
      </c>
      <c r="AU4" s="8" t="str">
        <f>"Approve Invoice "&amp;X4&amp;" on behalf of ASRMMI05  SHOPPING CART &amp; PO"</f>
        <v>Approve Invoice =Output!C4 on behalf of ASRMMI05  SHOPPING CART &amp; PO</v>
      </c>
      <c r="AV4" s="8" t="str">
        <f>"Approve Invoice "&amp;X4&amp;" on behalf of ASRMMI12  PO &amp; INVOICE APPRO"</f>
        <v>Approve Invoice =Output!C4 on behalf of ASRMMI12  PO &amp; INVOICE APPRO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6"/>
    </row>
    <row r="5">
      <c r="A5" s="1"/>
      <c r="B5" s="1"/>
      <c r="C5" s="5"/>
      <c r="D5" s="5"/>
      <c r="E5" s="5"/>
      <c r="F5" s="5"/>
      <c r="G5" s="5"/>
      <c r="H5" s="2"/>
      <c r="I5" s="2"/>
      <c r="J5" s="3"/>
      <c r="K5" s="24"/>
      <c r="L5" s="4"/>
      <c r="M5" s="4"/>
      <c r="N5" s="3"/>
      <c r="O5" s="3"/>
      <c r="P5" s="3"/>
      <c r="Q5" s="3"/>
      <c r="R5" s="9"/>
      <c r="S5" s="3"/>
      <c r="T5" s="3"/>
      <c r="U5" s="3"/>
      <c r="V5" s="4"/>
      <c r="W5" s="3"/>
      <c r="X5" s="18"/>
      <c r="Y5" s="18"/>
      <c r="Z5" s="21"/>
      <c r="AA5" s="2"/>
      <c r="AB5" s="2"/>
      <c r="AC5" s="2"/>
      <c r="AD5" s="9"/>
      <c r="AE5" s="2"/>
      <c r="AF5" s="4"/>
      <c r="AG5" s="10"/>
      <c r="AH5" s="12"/>
      <c r="AI5" s="6"/>
      <c r="AJ5" s="6"/>
      <c r="AK5" s="3"/>
      <c r="AL5" s="3"/>
      <c r="AM5" s="7"/>
      <c r="AN5" s="7"/>
      <c r="AO5" s="2"/>
      <c r="AP5" s="2"/>
      <c r="AQ5" s="2"/>
      <c r="AR5" s="9"/>
      <c r="AS5" s="22"/>
      <c r="AT5" s="8"/>
      <c r="AU5" s="8"/>
      <c r="AV5" s="8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6"/>
    </row>
    <row r="6">
      <c r="A6" s="1">
        <v>5</v>
      </c>
      <c r="B6" s="1" t="s">
        <v>127</v>
      </c>
      <c r="C6" s="5" t="s">
        <v>134</v>
      </c>
      <c r="D6" s="5" t="s">
        <v>42</v>
      </c>
      <c r="E6" s="5" t="s">
        <v>5</v>
      </c>
      <c r="F6" s="15" t="s">
        <v>54</v>
      </c>
      <c r="G6" s="5" t="s">
        <v>110</v>
      </c>
      <c r="H6" s="2" t="s">
        <v>0</v>
      </c>
      <c r="I6" s="2" t="s">
        <v>94</v>
      </c>
      <c r="J6" s="3" t="s">
        <v>149</v>
      </c>
      <c r="K6" s="24">
        <v>239027</v>
      </c>
      <c r="L6" s="4">
        <v>1000</v>
      </c>
      <c r="M6" s="4">
        <v>9</v>
      </c>
      <c r="N6" s="3" t="s">
        <v>43</v>
      </c>
      <c r="O6" s="3" t="s">
        <v>149</v>
      </c>
      <c r="P6" s="19">
        <f t="shared" si="6" ref="P6:P8">L6+V6</f>
        <v>1090</v>
      </c>
      <c r="Q6" s="3" t="s">
        <v>97</v>
      </c>
      <c r="R6" s="9" t="str">
        <f t="shared" si="7" ref="R6:R8">CONCATENATE("Stand appro17", Q6)</f>
        <v>Stand appro1757</v>
      </c>
      <c r="S6" s="3" t="s">
        <v>38</v>
      </c>
      <c r="T6" s="3" t="s">
        <v>38</v>
      </c>
      <c r="U6" s="3" t="s">
        <v>138</v>
      </c>
      <c r="V6" s="7">
        <f t="shared" si="8" ref="V6:V8">L6*(M6/100)</f>
        <v>90</v>
      </c>
      <c r="W6" s="3" t="s">
        <v>99</v>
      </c>
      <c r="X6" s="18" t="s">
        <v>151</v>
      </c>
      <c r="Y6" s="18" t="s">
        <v>111</v>
      </c>
      <c r="Z6" s="21" t="str">
        <f t="shared" si="9" ref="Z6:Z8">"Document Number "&amp;X6&amp;" Workflow ID "&amp;Y6</f>
        <v>Document Number =Output!C6 Workflow ID =Output!D6</v>
      </c>
      <c r="AA6" s="2" t="s">
        <v>153</v>
      </c>
      <c r="AB6" s="2" t="s">
        <v>79</v>
      </c>
      <c r="AC6" s="2" t="s">
        <v>38</v>
      </c>
      <c r="AD6" s="20" t="s">
        <v>121</v>
      </c>
      <c r="AE6" s="2" t="s">
        <v>86</v>
      </c>
      <c r="AF6" s="3" t="s">
        <v>155</v>
      </c>
      <c r="AG6" s="4"/>
      <c r="AH6" s="14"/>
      <c r="AI6" s="6" t="s">
        <v>112</v>
      </c>
      <c r="AJ6" s="6" t="s">
        <v>112</v>
      </c>
      <c r="AK6" s="3" t="s">
        <v>86</v>
      </c>
      <c r="AL6" s="3" t="s">
        <v>46</v>
      </c>
      <c r="AM6" s="7" t="str">
        <f t="shared" si="10" ref="AM6:AM8">AF6</f>
        <v>GZ000080</v>
      </c>
      <c r="AN6" s="7">
        <v>2000</v>
      </c>
      <c r="AO6" s="2" t="s">
        <v>86</v>
      </c>
      <c r="AP6" s="2" t="s">
        <v>86</v>
      </c>
      <c r="AQ6" s="2" t="s">
        <v>129</v>
      </c>
      <c r="AR6" s="9" t="str">
        <f t="shared" si="11" ref="AR6:AR8">X6</f>
        <v>=Output!C6</v>
      </c>
      <c r="AS6" s="22" t="s">
        <v>40</v>
      </c>
      <c r="AT6" s="8" t="str">
        <f>"Approve Invoice "&amp;X6&amp;" on behalf of VIM_CODER_GR  VIM_CODER_GR"</f>
        <v>Approve Invoice =Output!C6 on behalf of VIM_CODER_GR  VIM_CODER_GR</v>
      </c>
      <c r="AU6" s="8" t="str">
        <f>"Approve Invoice "&amp;X6&amp;" on behalf of SHOPPING CART &amp; PO CREATOR"</f>
        <v>Approve Invoice =Output!C6 on behalf of SHOPPING CART &amp; PO CREATOR</v>
      </c>
      <c r="AV6" s="8" t="str">
        <f>"Approve Invoice "&amp;X6&amp;" on behalf of PO &amp; INVOICE APPROVER  SRM"</f>
        <v>Approve Invoice =Output!C6 on behalf of PO &amp; INVOICE APPROVER  SRM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6"/>
    </row>
    <row r="7">
      <c r="A7" s="1">
        <v>6</v>
      </c>
      <c r="B7" s="1" t="s">
        <v>18</v>
      </c>
      <c r="C7" s="5" t="s">
        <v>134</v>
      </c>
      <c r="D7" s="5" t="s">
        <v>42</v>
      </c>
      <c r="E7" s="5" t="s">
        <v>37</v>
      </c>
      <c r="F7" s="5" t="s">
        <v>67</v>
      </c>
      <c r="G7" s="5" t="s">
        <v>110</v>
      </c>
      <c r="H7" s="2" t="s">
        <v>0</v>
      </c>
      <c r="I7" s="2" t="s">
        <v>94</v>
      </c>
      <c r="J7" s="3" t="s">
        <v>149</v>
      </c>
      <c r="K7" s="24">
        <v>239026</v>
      </c>
      <c r="L7" s="4">
        <v>1000</v>
      </c>
      <c r="M7" s="4">
        <v>21</v>
      </c>
      <c r="N7" s="3" t="s">
        <v>43</v>
      </c>
      <c r="O7" s="3" t="s">
        <v>149</v>
      </c>
      <c r="P7" s="19">
        <f t="shared" si="6"/>
        <v>1210</v>
      </c>
      <c r="Q7" s="3" t="s">
        <v>6</v>
      </c>
      <c r="R7" s="9" t="str">
        <f t="shared" si="7"/>
        <v>Stand appro1777</v>
      </c>
      <c r="S7" s="3" t="s">
        <v>38</v>
      </c>
      <c r="T7" s="3" t="s">
        <v>38</v>
      </c>
      <c r="U7" s="3" t="s">
        <v>138</v>
      </c>
      <c r="V7" s="7">
        <f t="shared" si="8"/>
        <v>210</v>
      </c>
      <c r="W7" s="3" t="s">
        <v>100</v>
      </c>
      <c r="X7" s="18" t="s">
        <v>24</v>
      </c>
      <c r="Y7" s="18" t="s">
        <v>152</v>
      </c>
      <c r="Z7" s="21" t="str">
        <f t="shared" si="9"/>
        <v>Document Number =Output!C7 Workflow ID =Output!D7</v>
      </c>
      <c r="AA7" s="2" t="s">
        <v>153</v>
      </c>
      <c r="AB7" s="2" t="s">
        <v>79</v>
      </c>
      <c r="AC7" s="2" t="s">
        <v>38</v>
      </c>
      <c r="AD7" s="9" t="str">
        <f t="shared" si="12" ref="AD7:AD8">X7</f>
        <v>=Output!C7</v>
      </c>
      <c r="AE7" s="2" t="s">
        <v>86</v>
      </c>
      <c r="AF7" s="3" t="s">
        <v>102</v>
      </c>
      <c r="AG7" s="10"/>
      <c r="AH7" s="14"/>
      <c r="AI7" s="2" t="s">
        <v>112</v>
      </c>
      <c r="AJ7" s="2" t="s">
        <v>112</v>
      </c>
      <c r="AK7" s="3" t="s">
        <v>86</v>
      </c>
      <c r="AL7" s="3" t="s">
        <v>46</v>
      </c>
      <c r="AM7" s="7" t="str">
        <f t="shared" si="10"/>
        <v>BZ000130</v>
      </c>
      <c r="AN7" s="7">
        <v>2000</v>
      </c>
      <c r="AO7" s="2" t="s">
        <v>86</v>
      </c>
      <c r="AP7" s="2" t="s">
        <v>86</v>
      </c>
      <c r="AQ7" s="2" t="s">
        <v>129</v>
      </c>
      <c r="AR7" s="9" t="str">
        <f t="shared" si="11"/>
        <v>=Output!C7</v>
      </c>
      <c r="AS7" s="22" t="s">
        <v>40</v>
      </c>
      <c r="AT7" s="8" t="str">
        <f>"Approve Invoice "&amp;X7&amp;" on behalf of VIM_CODER_BE  VIM_CODER_BE"</f>
        <v>Approve Invoice =Output!C7 on behalf of VIM_CODER_BE  VIM_CODER_BE</v>
      </c>
      <c r="AU7" s="8" t="str">
        <f>"Approve Invoice "&amp;X7&amp;" on behalf of   ASRMDLL01"</f>
        <v>Approve Invoice =Output!C7 on behalf of   ASRMDLL01</v>
      </c>
      <c r="AV7" s="8" t="str">
        <f>"Approve Invoice "&amp;X7&amp;" on behalf of   ASRMDLL03"</f>
        <v>Approve Invoice =Output!C7 on behalf of   ASRMDLL03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6"/>
    </row>
    <row r="8">
      <c r="A8" s="1">
        <v>7</v>
      </c>
      <c r="B8" s="1" t="s">
        <v>19</v>
      </c>
      <c r="C8" s="5" t="s">
        <v>134</v>
      </c>
      <c r="D8" s="5" t="s">
        <v>42</v>
      </c>
      <c r="E8" s="5" t="s">
        <v>109</v>
      </c>
      <c r="F8" s="5" t="s">
        <v>93</v>
      </c>
      <c r="G8" s="5" t="s">
        <v>110</v>
      </c>
      <c r="H8" s="2" t="s">
        <v>0</v>
      </c>
      <c r="I8" s="2" t="s">
        <v>94</v>
      </c>
      <c r="J8" s="3" t="s">
        <v>149</v>
      </c>
      <c r="K8" s="24">
        <v>664579</v>
      </c>
      <c r="L8" s="4">
        <v>1000</v>
      </c>
      <c r="M8" s="4">
        <v>23</v>
      </c>
      <c r="N8" s="3" t="s">
        <v>43</v>
      </c>
      <c r="O8" s="3" t="s">
        <v>149</v>
      </c>
      <c r="P8" s="19">
        <f t="shared" si="6"/>
        <v>1230</v>
      </c>
      <c r="Q8" s="3" t="s">
        <v>137</v>
      </c>
      <c r="R8" s="9" t="str">
        <f t="shared" si="7"/>
        <v>Stand appro1718</v>
      </c>
      <c r="S8" s="3" t="s">
        <v>38</v>
      </c>
      <c r="T8" s="3" t="s">
        <v>38</v>
      </c>
      <c r="U8" s="3" t="s">
        <v>138</v>
      </c>
      <c r="V8" s="7">
        <f t="shared" si="8"/>
        <v>230</v>
      </c>
      <c r="W8" s="3" t="s">
        <v>23</v>
      </c>
      <c r="X8" s="18" t="s">
        <v>71</v>
      </c>
      <c r="Y8" s="18" t="s">
        <v>25</v>
      </c>
      <c r="Z8" s="21" t="str">
        <f t="shared" si="9"/>
        <v>Document Number =Output!C8 Workflow ID =Output!D8</v>
      </c>
      <c r="AA8" s="2" t="s">
        <v>153</v>
      </c>
      <c r="AB8" s="2" t="s">
        <v>79</v>
      </c>
      <c r="AC8" s="2" t="s">
        <v>38</v>
      </c>
      <c r="AD8" s="9" t="str">
        <f t="shared" si="12"/>
        <v>=Output!C8</v>
      </c>
      <c r="AE8" s="2" t="s">
        <v>86</v>
      </c>
      <c r="AF8" s="4" t="s">
        <v>9</v>
      </c>
      <c r="AG8" s="10"/>
      <c r="AH8" s="12">
        <f ca="1">TODAY()</f>
        <v>45958</v>
      </c>
      <c r="AI8" s="6" t="s">
        <v>112</v>
      </c>
      <c r="AJ8" s="6" t="s">
        <v>112</v>
      </c>
      <c r="AK8" s="3" t="s">
        <v>86</v>
      </c>
      <c r="AL8" s="3" t="s">
        <v>46</v>
      </c>
      <c r="AM8" s="7" t="str">
        <f t="shared" si="10"/>
        <v>RZ000009</v>
      </c>
      <c r="AN8" s="7">
        <v>2000</v>
      </c>
      <c r="AO8" s="2" t="s">
        <v>86</v>
      </c>
      <c r="AP8" s="2" t="s">
        <v>86</v>
      </c>
      <c r="AQ8" s="2" t="s">
        <v>129</v>
      </c>
      <c r="AR8" s="9" t="str">
        <f t="shared" si="11"/>
        <v>=Output!C8</v>
      </c>
      <c r="AS8" s="22" t="s">
        <v>40</v>
      </c>
      <c r="AT8" s="8" t="str">
        <f>"Approve Invoice "&amp;X8&amp;" on behalf of VIM_CODER_RO  VIM_CODER_RO"</f>
        <v>Approve Invoice =Output!C8 on behalf of VIM_CODER_RO  VIM_CODER_RO</v>
      </c>
      <c r="AU8" s="8" t="str">
        <f>"Approve Invoice "&amp;X8&amp;" on behalf of SHOPPING CART &amp; PO CREATOR"</f>
        <v>Approve Invoice =Output!C8 on behalf of SHOPPING CART &amp; PO CREATOR</v>
      </c>
      <c r="AV8" s="8" t="str">
        <f>"Approve Invoice "&amp;X8&amp;" on behalf of PO &amp; INVOICE APPROVER  SRM"</f>
        <v>Approve Invoice =Output!C8 on behalf of PO &amp; INVOICE APPROVER  SRM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6"/>
    </row>
    <row r="9">
      <c r="A9" s="11"/>
      <c r="B9" s="11"/>
      <c r="C9" s="1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6"/>
    </row>
    <row r="10">
      <c r="A10" s="11"/>
      <c r="B10" s="11"/>
      <c r="C10" s="1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6"/>
    </row>
    <row r="11">
      <c r="A11" s="11"/>
      <c r="B11" s="28" t="s">
        <v>147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6"/>
    </row>
    <row r="12">
      <c r="A12" s="11"/>
      <c r="B12" s="4" t="s">
        <v>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6"/>
    </row>
    <row r="13">
      <c r="A13" s="11"/>
      <c r="B13" s="34" t="s">
        <v>133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6"/>
    </row>
    <row r="14">
      <c r="A14" s="11"/>
      <c r="B14" s="31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6"/>
    </row>
    <row r="15">
      <c r="A15" s="11"/>
      <c r="B15" s="12" t="s">
        <v>82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6"/>
    </row>
    <row r="16">
      <c r="A16" s="11"/>
      <c r="B16" s="7" t="s">
        <v>118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6"/>
    </row>
    <row r="17">
      <c r="A17" s="11"/>
      <c r="B17" s="8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6"/>
    </row>
    <row r="18">
      <c r="A18" s="11"/>
      <c r="B18" s="30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6"/>
    </row>
    <row r="19">
      <c r="A19" s="11"/>
      <c r="B19" s="23" t="s">
        <v>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6"/>
    </row>
    <row r="20">
      <c r="A20" s="11"/>
      <c r="B20" s="32" t="s">
        <v>84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P11"/>
  <sheetViews>
    <sheetView topLeftCell="C1" workbookViewId="0">
      <selection activeCell="C2" sqref="C2"/>
    </sheetView>
  </sheetViews>
  <sheetFormatPr defaultColWidth="9.125" defaultRowHeight="14.25"/>
  <cols>
    <col min="1" max="1" width="9.125" style="17" customWidth="1"/>
    <col min="2" max="2" width="24" style="17" bestFit="1" customWidth="1"/>
    <col min="3" max="3" width="77.5" style="17" bestFit="1" customWidth="1"/>
    <col min="4" max="4" width="75" style="17" bestFit="1" customWidth="1"/>
    <col min="5" max="16384" width="9.125" style="17" customWidth="1"/>
  </cols>
  <sheetData>
    <row r="1" ht="12.75" customHeight="1" customFormat="1">
      <c r="A1" t="s">
        <v>77</v>
      </c>
      <c r="B1" t="s">
        <v>35</v>
      </c>
      <c r="C1" t="s">
        <v>31</v>
      </c>
      <c r="D1" t="s">
        <v>32</v>
      </c>
      <c r="E1" t="s">
        <v>33</v>
      </c>
      <c r="F1" t="s">
        <v>15</v>
      </c>
      <c r="G1" t="s">
        <v>64</v>
      </c>
      <c r="H1" t="s">
        <v>106</v>
      </c>
      <c r="I1" t="s">
        <v>145</v>
      </c>
      <c r="J1" t="s">
        <v>16</v>
      </c>
      <c r="K1" t="s">
        <v>65</v>
      </c>
      <c r="L1" t="s">
        <v>107</v>
      </c>
      <c r="M1" t="s">
        <v>146</v>
      </c>
      <c r="N1" t="s">
        <v>34</v>
      </c>
      <c r="O1" t="s">
        <v>76</v>
      </c>
      <c r="P1" t="s">
        <v>117</v>
      </c>
    </row>
    <row r="2">
      <c r="A2" s="1">
        <v>1</v>
      </c>
      <c r="B2" s="1" t="s">
        <v>108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5"/>
    </row>
    <row r="3">
      <c r="A3" s="1">
        <v>2</v>
      </c>
      <c r="B3" s="1" t="s">
        <v>17</v>
      </c>
      <c r="C3" s="2" t="s">
        <v>63</v>
      </c>
      <c r="D3" s="2" t="s">
        <v>116</v>
      </c>
      <c r="E3" s="2" t="s">
        <v>52</v>
      </c>
      <c r="F3" s="2"/>
      <c r="G3" s="2"/>
      <c r="H3" s="2"/>
      <c r="I3" s="2"/>
      <c r="J3" s="2"/>
      <c r="K3" s="2"/>
      <c r="L3" s="2"/>
      <c r="M3" s="2"/>
      <c r="N3" s="2"/>
      <c r="O3" s="2"/>
      <c r="P3" s="25"/>
    </row>
    <row r="4">
      <c r="A4" s="1">
        <v>3</v>
      </c>
      <c r="B4" s="1" t="s">
        <v>92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5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5"/>
    </row>
    <row r="6">
      <c r="A6" s="1">
        <v>5</v>
      </c>
      <c r="B6" s="1" t="s">
        <v>127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5"/>
    </row>
    <row r="7">
      <c r="A7" s="1">
        <v>6</v>
      </c>
      <c r="B7" s="1" t="s">
        <v>18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5"/>
    </row>
    <row r="8">
      <c r="A8" s="1">
        <v>7</v>
      </c>
      <c r="B8" s="1" t="s">
        <v>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5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5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5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5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