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17 VIM" sheetId="5" r:id="rId5"/>
  </sheets>
  <calcPr calcId="40001"/>
</workbook>
</file>

<file path=xl/sharedStrings.xml><?xml version="1.0" encoding="utf-8"?>
<sst xmlns="http://schemas.openxmlformats.org/spreadsheetml/2006/main" uniqueCount="179">
  <si>
    <t>B</t>
  </si>
  <si>
    <t/>
  </si>
  <si>
    <t>DT_SAPTRANSACTIONCODE</t>
  </si>
  <si>
    <t>15</t>
  </si>
  <si>
    <t>=(U4*(1+V4/100))-U4</t>
  </si>
  <si>
    <t>DT_OPTVIM_7AX2_2002_OPTVIM_BL_1RIDX_OCR_DATATAX_CODE</t>
  </si>
  <si>
    <t>DT_OPTVIM_7AX2_0002_CHECK_MESSAGEPARAMETER_OF_STATUSBAR</t>
  </si>
  <si>
    <t>DT_OPTVIM_7AX2_0100_OKCD</t>
  </si>
  <si>
    <t>DT_OPTVIM_7AX2_2002_REQUESTER_ID1</t>
  </si>
  <si>
    <t>AUTOFAB</t>
  </si>
  <si>
    <t>57c02dd06d0853ebd590c050</t>
  </si>
  <si>
    <t>=Output!C3</t>
  </si>
  <si>
    <t>DT_OPTVIM_7AX2_2004_TABLECELL_COST_CTR_0</t>
  </si>
  <si>
    <t>RZ000009</t>
  </si>
  <si>
    <t>DT_OPT_VIM_CHECK_1ST_APPROVER</t>
  </si>
  <si>
    <t>DT_CHECK_INVOICE_CREATED</t>
  </si>
  <si>
    <t>DT_OPTVIM_7AX2_2002_VENDOR_REFERENCE1</t>
  </si>
  <si>
    <t>DT_OPTVIM_7AX2_2002_HANDLING_CHARGES</t>
  </si>
  <si>
    <t>DT_OPTVIM_7AX2_2002_TAX_RATE_1</t>
  </si>
  <si>
    <t>F</t>
  </si>
  <si>
    <t>J</t>
  </si>
  <si>
    <t>Verifications Date</t>
  </si>
  <si>
    <t>Data Coming from another test</t>
  </si>
  <si>
    <t>DT_OPTVIM_7AX2_2002_VAT_AMOUNT</t>
  </si>
  <si>
    <t>=(U6*(1+V6/100))-U6</t>
  </si>
  <si>
    <t>2000</t>
  </si>
  <si>
    <t>DT_TAX_VALUE_PERCENTAGE</t>
  </si>
  <si>
    <t>NA</t>
  </si>
  <si>
    <t>=Output!C7</t>
  </si>
  <si>
    <t>DT_WORKFLOW_ID</t>
  </si>
  <si>
    <t>DT_OPTVIM_7AX2_1105_DOCUMENT_ID</t>
  </si>
  <si>
    <t>DT_OPT_VIM_CHECK_2ND_APPROVER</t>
  </si>
  <si>
    <t>DT_OPTVIM_7AX2_2002_DOCUMENT_DATE</t>
  </si>
  <si>
    <t>DT_OPTVIM_7AX2_2002_OPTVIM_BL_1RIDX_OCR_DATATAX_RATE</t>
  </si>
  <si>
    <t>DT_OPTVIM_7AX2_2002_BANK_NAME</t>
  </si>
  <si>
    <t>CR</t>
  </si>
  <si>
    <t>DT_OPTVIM_7AX2_0002_CHECK_MESSAGEPARAMETER_OF_STATUSBAR_OUTPUT</t>
  </si>
  <si>
    <t>N</t>
  </si>
  <si>
    <t>Output Data</t>
  </si>
  <si>
    <t>AUTOFDLL</t>
  </si>
  <si>
    <t>%blank%</t>
  </si>
  <si>
    <t>DT_OPTVIM_WP_1003_GRIDCELL_1_OPTION_SHORT_TEXT</t>
  </si>
  <si>
    <t>DT_OPTVIM_7AX2_1000_GRIDCELL_0_EXECUTE_OCC3</t>
  </si>
  <si>
    <t>DT_GET_INVOICE_NUMBER</t>
  </si>
  <si>
    <t>Posted</t>
  </si>
  <si>
    <t>DT_OPTVIM_7AX2_2002_RECEPIENT_NAME</t>
  </si>
  <si>
    <t>200</t>
  </si>
  <si>
    <t>DT_OPTVIM_7AX2_2002_VENDOR_REFERENCE</t>
  </si>
  <si>
    <t>DT_OPTVIM_7AX2_2002_TAX_AMOUNT_1</t>
  </si>
  <si>
    <t>30387221</t>
  </si>
  <si>
    <t>DT_OPTVIM_7AX2_1000_DOCUMENT_PROCESSING_NUMBER</t>
  </si>
  <si>
    <t>DT_OPTVIM_7AX2_2002_FREIGHT_AMOUNT</t>
  </si>
  <si>
    <t>DT_OPTVIM_7AX2_2002_VENDOR_VAT_NO</t>
  </si>
  <si>
    <t>DT_OPTVIM_7AX2_2002_VAT_AMOUNT1</t>
  </si>
  <si>
    <t>DT_SAPSYSTEM</t>
  </si>
  <si>
    <t>init-123</t>
  </si>
  <si>
    <t>DT_OPTVIM_7AX2_2002_REQUESTOR_EMAIL</t>
  </si>
  <si>
    <t>N6</t>
  </si>
  <si>
    <t>=Output!C4</t>
  </si>
  <si>
    <t>DT_OPT_VIM_CHECK_3RD_APPROVER</t>
  </si>
  <si>
    <t>DT_OPTVIM_WP_1003_GRIDCELL_2_OPTION_SHORT_TEXT</t>
  </si>
  <si>
    <t>DT_OPTVIM_7AX2_2002_DOCUMENT_CURRENCY</t>
  </si>
  <si>
    <t>DT_OPTVIM_7AX2_2002_VENDOR_TAX_NO</t>
  </si>
  <si>
    <t>DT_OPTVIM_7AX2_2002_TAX_RATE_2</t>
  </si>
  <si>
    <t>DT_OPTVIM_7AX2_2002_PAYMENT_TERMS</t>
  </si>
  <si>
    <t>G</t>
  </si>
  <si>
    <t>K</t>
  </si>
  <si>
    <t>04.04.02.82 VIM - NPO - MI</t>
  </si>
  <si>
    <t>Input Data</t>
  </si>
  <si>
    <t>auto-555</t>
  </si>
  <si>
    <t>DT_SAPLANGUAGE</t>
  </si>
  <si>
    <t>DT_SAPOPTIONS</t>
  </si>
  <si>
    <t>DT_OPTVIM_7AX2_0002_ARCH</t>
  </si>
  <si>
    <t>0</t>
  </si>
  <si>
    <t>X0</t>
  </si>
  <si>
    <t>=Output!C8</t>
  </si>
  <si>
    <t>DT_OPTVIM_7AX2_0002_CHECK_TEXT_OF_STATUSBAR</t>
  </si>
  <si>
    <t>DT_OPTVIM_7AX2_0150_PERSONAL_VIEW</t>
  </si>
  <si>
    <t>DT_OPTVIM_7AX2_2002_POSTING_DATE</t>
  </si>
  <si>
    <t>DT_OPTVIM_7AX2_2002_REQUESTOR_EMAIL1</t>
  </si>
  <si>
    <t>DT_OPTVIM_7AX2_2002_DOCHEADER_TEXT</t>
  </si>
  <si>
    <t>DT_OPTVIM_7AX2_0002_CHECK_MESSAGEPARAMETER_OF_STATUSBAR_OCC1</t>
  </si>
  <si>
    <t>O</t>
  </si>
  <si>
    <t>04.04.02.82 VIM - NPO - AB</t>
  </si>
  <si>
    <t>DT_OPTVIM_7AX2_0019_TABLECELL_AMOUNT_0</t>
  </si>
  <si>
    <t>4</t>
  </si>
  <si>
    <t>DT_OPTVIM_7AX2_1000_GRIDCELL_0_EXECUTE</t>
  </si>
  <si>
    <t>Document 1900013614 was posted in company code RO02</t>
  </si>
  <si>
    <t>CS</t>
  </si>
  <si>
    <t>Formulas Date</t>
  </si>
  <si>
    <t>Verifications</t>
  </si>
  <si>
    <t>Execution Control Data</t>
  </si>
  <si>
    <t>239026</t>
  </si>
  <si>
    <t>666243</t>
  </si>
  <si>
    <t>17</t>
  </si>
  <si>
    <t>24</t>
  </si>
  <si>
    <t>DT_OPTVIM_7AX2_1000_GRIDCELL_1_DOC_ID</t>
  </si>
  <si>
    <t>ICON_EXEC</t>
  </si>
  <si>
    <t>DT_OPTVIM_7AX2_2004_TABLECELL_GL_ACC_0</t>
  </si>
  <si>
    <t>ASRMMI05@DELHAIZE.COM</t>
  </si>
  <si>
    <t>DT_DOC</t>
  </si>
  <si>
    <t>DT_OPTVIM_7AX2_2002_GROSS_INV_AMOUNT1</t>
  </si>
  <si>
    <t>DT_OPTVIM_7AX2_2002_PLANT</t>
  </si>
  <si>
    <t>DT_OPTVIM_7AX2_2002_TAX_AMOUNT</t>
  </si>
  <si>
    <t>DT_OPTVIM_7AX2_0019_OPTVIM_BL_M1_SUBSCREENSTC_INDEX_ITEMS</t>
  </si>
  <si>
    <t>DT_OPTVIM_7AX2_2002_CM_REF_DAT</t>
  </si>
  <si>
    <t>Document Number 000049326850 Workflow ID 000307374256</t>
  </si>
  <si>
    <t>D</t>
  </si>
  <si>
    <t>Iovio03!</t>
  </si>
  <si>
    <t>/OPT/VIM_7AX2</t>
  </si>
  <si>
    <t>DT_OPTVIM_7AX2_0002_ADDL_DOCS_OLD</t>
  </si>
  <si>
    <t>DT_OPTVIM_7AX2_2002_EXPENSE_TYPE</t>
  </si>
  <si>
    <t>BZ000130</t>
  </si>
  <si>
    <t>DT_ACCOUNTING_POSTING_DATE</t>
  </si>
  <si>
    <t>DT_OPTVIM_WP_1003_GRIDCELL_2_OPTION_SHORT_TEXT_OCC1</t>
  </si>
  <si>
    <t>DT_OPTVIM_7AX2_0100_OKCD_OCC1</t>
  </si>
  <si>
    <t>DT_OPTVIM_7AX2_2002_POSTING_DATE_OCC1</t>
  </si>
  <si>
    <t>DT_OPTVIM_7AX2_2002_TAX_AMOUNT_11</t>
  </si>
  <si>
    <t>DT_OPTVIM_7AX2_2002_TAX_AMOUNT_2</t>
  </si>
  <si>
    <t>H</t>
  </si>
  <si>
    <t>L</t>
  </si>
  <si>
    <t>04.04.02.82 VIM - NPO - DLL</t>
  </si>
  <si>
    <t>AUTOFICO</t>
  </si>
  <si>
    <t>EN</t>
  </si>
  <si>
    <t>DT_INCREMENT</t>
  </si>
  <si>
    <t>1</t>
  </si>
  <si>
    <t xml:space="preserve">GZ000080 </t>
  </si>
  <si>
    <t>DT_OPTVIM_7AX2_2002_RECEPIENT_VAT_NO</t>
  </si>
  <si>
    <t>DT_OPTVIM_7AX2_2002_SUPPLY_DATE</t>
  </si>
  <si>
    <t>Formulas General</t>
  </si>
  <si>
    <t>DT_OPTVIM_7AX2_2002_GROSS_INV_AMOUNT</t>
  </si>
  <si>
    <t>DT_OPTVIM_7AX2_2002_REQUESTER_ID</t>
  </si>
  <si>
    <t>DT_OPTVIM_7AX2_1000_GRIDCELL_0_EXECUTE_OCC1</t>
  </si>
  <si>
    <t>DT_OPTVIM_7AX2_2002_COMPANY_CODE</t>
  </si>
  <si>
    <t>DT_OPTVIM_7AX2_2002_BANK_ACCOUNT</t>
  </si>
  <si>
    <t>CT</t>
  </si>
  <si>
    <t>A</t>
  </si>
  <si>
    <t>239027</t>
  </si>
  <si>
    <t>32</t>
  </si>
  <si>
    <t>TE</t>
  </si>
  <si>
    <t>21</t>
  </si>
  <si>
    <t>RS000001</t>
  </si>
  <si>
    <t>DT_HEADER_EMAIL</t>
  </si>
  <si>
    <t>DT_OPTVIM_7AX2_2004_TABLECELL_COST_CTR_0_OCC1</t>
  </si>
  <si>
    <t>Document 1900013614 was posted in company code BE10</t>
  </si>
  <si>
    <t>/n/opt/vim_va2</t>
  </si>
  <si>
    <t>DT_OPTVIM_7AX2_2000_CHECK_GETCELLVALUE_OF_GRIDCELL_0_OVERALL_STATUS_TEXT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</si>
  <si>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</si>
  <si>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</si>
  <si>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</si>
  <si>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</si>
  <si>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</si>
  <si>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ST</t>
  </si>
  <si>
    <t>=Output!C2</t>
  </si>
  <si>
    <t>DT_OPTVIM_WP_1003_GRIDCELL_1_OPTION_SHORT_TEXT_OCC1</t>
  </si>
  <si>
    <t>DT_OPTVIM_7AX2_2002_PO_NUMBER</t>
  </si>
  <si>
    <t>E</t>
  </si>
  <si>
    <t>I</t>
  </si>
  <si>
    <t>M</t>
  </si>
  <si>
    <t>Login Information</t>
  </si>
  <si>
    <t>DT_SAPUSER</t>
  </si>
  <si>
    <t>S5</t>
  </si>
  <si>
    <t>=Output!C6</t>
  </si>
  <si>
    <t>/n/opt/vim_wp</t>
  </si>
  <si>
    <t>2</t>
  </si>
  <si>
    <t>DT_INVOICE_NUMBER</t>
  </si>
  <si>
    <t>DT_WORKFLOW</t>
  </si>
  <si>
    <t>DT_OPTVIM_7AX2_0002_ARCH1</t>
  </si>
  <si>
    <t>DT_OPTVIM_7AX2_2002_EXPENSE_TYPE1</t>
  </si>
  <si>
    <t>DT_OPTVIM_7AX2_2002_VENDOR_NAME</t>
  </si>
  <si>
    <t>DT_OPTVIM_7AX2_2002_PO_LIST</t>
  </si>
  <si>
    <t>DT_OPTVIM_7AX2_2002_FISCAL_REP_VAT_NO</t>
  </si>
  <si>
    <t>DT_SAPCLIENT</t>
  </si>
  <si>
    <t>DT_INCREMENT_1</t>
  </si>
  <si>
    <t>DT_DOCUMENT_NUMBER</t>
  </si>
  <si>
    <t>DT_OPTVIM_7AX2_1000_GRIDCELL_0_EXECUTE_OCC2</t>
  </si>
  <si>
    <t>DT_OPTVIM_7AX2_0002_ADDL_DOCS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</si>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</sst>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53"/>
      <name val="Mic Shell Dlg"/>
      <charset val="1"/>
    </font>
    <font>
      <u/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Alignment="1" applyProtection="1">
      <alignment horizontal="left"/>
      <protection locked="0"/>
    </xf>
    <xf numFmtId="0" fontId="4" fillId="2" borderId="1" xfId="0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Protection="1">
      <protection locked="0"/>
    </xf>
    <xf numFmtId="49" fontId="1" fillId="6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3" fillId="0" borderId="2" xfId="0" applyFont="1" applyFill="1" applyBorder="1" applyProtection="1">
      <protection locked="0"/>
    </xf>
    <xf numFmtId="0" fontId="5" fillId="2" borderId="1" xfId="0" applyFont="1" applyFill="1" applyBorder="1" applyAlignment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V20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9.125" style="16" customWidth="1"/>
    <col min="2" max="2" width="26.5" style="16" customWidth="1"/>
    <col min="3" max="3" width="38.125" style="16" customWidth="1"/>
    <col min="4" max="4" width="15" style="16" customWidth="1"/>
    <col min="5" max="5" width="13.625" style="16" customWidth="1"/>
    <col min="6" max="6" width="25" style="16" customWidth="1"/>
    <col min="7" max="7" width="18.625" style="16" customWidth="1"/>
    <col min="8" max="8" width="16.75" style="16" customWidth="1"/>
    <col min="9" max="9" width="27.125" style="16" customWidth="1"/>
    <col min="10" max="10" width="28.375" style="16" customWidth="1"/>
    <col min="11" max="11" width="34.375" style="16" customWidth="1"/>
    <col min="12" max="13" width="43" style="34" customWidth="1"/>
    <col min="14" max="14" width="15.75" style="16" customWidth="1"/>
    <col min="15" max="15" width="43.625" style="16" customWidth="1"/>
    <col min="16" max="16" width="37.875" style="16" customWidth="1"/>
    <col min="17" max="17" width="41.5" style="16" customWidth="1"/>
    <col min="18" max="18" width="37.75" style="16" customWidth="1"/>
    <col min="19" max="19" width="36" style="16" customWidth="1"/>
    <col min="20" max="20" width="37.875" style="16" customWidth="1"/>
    <col min="21" max="22" width="44.75" style="16" customWidth="1"/>
    <col min="23" max="23" width="62.75" style="16" customWidth="1"/>
    <col min="24" max="24" width="67.25" style="16" customWidth="1"/>
    <col min="25" max="25" width="29.5" style="16" customWidth="1"/>
    <col min="26" max="26" width="68.25" style="16" customWidth="1"/>
    <col min="27" max="27" width="54.25" style="16" customWidth="1"/>
    <col min="28" max="28" width="28.25" style="16" customWidth="1"/>
    <col min="29" max="29" width="39" style="16" customWidth="1"/>
    <col min="30" max="30" width="42.125" style="16" customWidth="1"/>
    <col min="31" max="31" width="53.625" style="16" customWidth="1"/>
    <col min="32" max="32" width="44" style="16" customWidth="1"/>
    <col min="33" max="33" width="43.75" style="16" customWidth="1"/>
    <col min="34" max="34" width="46.625" style="16" customWidth="1"/>
    <col min="35" max="35" width="27.5" style="16" customWidth="1"/>
    <col min="36" max="36" width="32.5" style="16" customWidth="1"/>
    <col min="37" max="37" width="52.5" style="16" customWidth="1"/>
    <col min="38" max="38" width="54.5" style="16" customWidth="1"/>
    <col min="39" max="39" width="60.375" style="16" customWidth="1"/>
    <col min="40" max="40" width="69.5" style="16" customWidth="1"/>
    <col min="41" max="41" width="68.75" style="16" customWidth="1"/>
    <col min="42" max="42" width="66.75" style="16" customWidth="1"/>
    <col min="43" max="45" width="49.875" style="16" customWidth="1"/>
    <col min="46" max="46" width="54.5" style="16" customWidth="1"/>
    <col min="47" max="48" width="60.375" style="16" customWidth="1"/>
    <col min="49" max="49" width="32.125" style="16" customWidth="1"/>
    <col min="50" max="50" width="60.375" style="16" customWidth="1"/>
    <col min="51" max="51" width="34.125" style="16" customWidth="1"/>
    <col min="52" max="52" width="56.25" style="16" customWidth="1"/>
    <col min="53" max="53" width="84.5" style="16" customWidth="1"/>
    <col min="54" max="54" width="13" style="27" customWidth="1"/>
    <col min="55" max="55" width="15.5" style="27" customWidth="1"/>
    <col min="56" max="56" width="29.375" style="16" customWidth="1"/>
    <col min="57" max="57" width="34.875" style="16" bestFit="1" customWidth="1"/>
    <col min="58" max="58" width="40" style="16" customWidth="1"/>
    <col min="59" max="59" width="37.625" style="16" customWidth="1"/>
    <col min="60" max="60" width="43.5" style="16" customWidth="1"/>
    <col min="61" max="61" width="45.375" style="16" customWidth="1"/>
    <col min="62" max="62" width="44" style="16" customWidth="1"/>
    <col min="63" max="63" width="40.5" style="16" customWidth="1"/>
    <col min="64" max="64" width="44.625" style="16" customWidth="1"/>
    <col min="65" max="65" width="42.875" style="16" customWidth="1"/>
    <col min="66" max="66" width="40.25" style="16" customWidth="1"/>
    <col min="67" max="67" width="38.875" style="16" customWidth="1"/>
    <col min="68" max="68" width="37.5" style="16" customWidth="1"/>
    <col min="69" max="69" width="29.25" style="16" customWidth="1"/>
    <col min="70" max="70" width="34.875" style="16" customWidth="1"/>
    <col min="71" max="71" width="42.5" style="16" customWidth="1"/>
    <col min="72" max="72" width="38.625" style="16" customWidth="1"/>
    <col min="73" max="73" width="38.75" style="16" customWidth="1"/>
    <col min="74" max="74" width="40.25" style="16" customWidth="1"/>
    <col min="75" max="75" width="30.75" style="16" customWidth="1"/>
    <col min="76" max="76" width="39.625" style="16" customWidth="1"/>
    <col min="77" max="77" width="37" style="16" customWidth="1"/>
    <col min="78" max="78" width="39.5" style="16" customWidth="1"/>
    <col min="79" max="79" width="35.875" style="16" customWidth="1"/>
    <col min="80" max="80" width="42.375" style="16" customWidth="1"/>
    <col min="81" max="81" width="60.75" style="16" customWidth="1"/>
    <col min="82" max="82" width="42.875" style="16" customWidth="1"/>
    <col min="83" max="83" width="34.875" style="16" customWidth="1"/>
    <col min="84" max="84" width="38.875" style="16" customWidth="1"/>
    <col min="85" max="85" width="34.875" style="16" customWidth="1"/>
    <col min="86" max="86" width="37.875" style="16" customWidth="1"/>
    <col min="87" max="87" width="66.75" style="16" customWidth="1"/>
    <col min="88" max="88" width="36.625" style="16" customWidth="1"/>
    <col min="89" max="89" width="39.875" style="16" customWidth="1"/>
    <col min="90" max="90" width="35.5" style="16" customWidth="1"/>
    <col min="91" max="91" width="34.5" style="16" customWidth="1"/>
    <col min="92" max="92" width="38.25" style="16" customWidth="1"/>
    <col min="93" max="93" width="27.5" style="16" customWidth="1"/>
    <col min="94" max="94" width="37.25" style="16" customWidth="1"/>
    <col min="95" max="95" width="43.125" style="16" customWidth="1"/>
    <col min="96" max="96" width="40.875" style="16" customWidth="1"/>
    <col min="97" max="97" width="73.125" style="27" customWidth="1"/>
    <col min="98" max="16384" width="9.125" style="16" customWidth="1"/>
  </cols>
  <sheetData>
    <row r="1" ht="12.75" customHeight="1" customFormat="1">
      <c r="A1" t="s">
        <v>136</v>
      </c>
      <c r="B1" t="s">
        <v>0</v>
      </c>
      <c r="C1" t="s">
        <v>54</v>
      </c>
      <c r="D1" t="s">
        <v>172</v>
      </c>
      <c r="E1" t="s">
        <v>160</v>
      </c>
      <c r="F1" t="s">
        <v>151</v>
      </c>
      <c r="G1" t="s">
        <v>70</v>
      </c>
      <c r="H1" t="s">
        <v>71</v>
      </c>
      <c r="I1" t="s">
        <v>2</v>
      </c>
      <c r="J1" t="s">
        <v>72</v>
      </c>
      <c r="K1" t="s">
        <v>110</v>
      </c>
      <c r="L1" t="s">
        <v>130</v>
      </c>
      <c r="M1" t="s">
        <v>124</v>
      </c>
      <c r="N1" t="s">
        <v>173</v>
      </c>
      <c r="O1" t="s">
        <v>47</v>
      </c>
      <c r="P1" t="s">
        <v>111</v>
      </c>
      <c r="Q1" t="s">
        <v>56</v>
      </c>
      <c r="R1" t="s">
        <v>131</v>
      </c>
      <c r="S1" t="s">
        <v>23</v>
      </c>
      <c r="T1" t="s">
        <v>48</v>
      </c>
      <c r="U1" t="s">
        <v>84</v>
      </c>
      <c r="V1" t="s">
        <v>26</v>
      </c>
      <c r="W1" t="s">
        <v>5</v>
      </c>
      <c r="X1" t="s">
        <v>6</v>
      </c>
      <c r="Y1" t="s">
        <v>174</v>
      </c>
      <c r="Z1" t="s">
        <v>29</v>
      </c>
      <c r="AA1" t="s">
        <v>76</v>
      </c>
      <c r="AB1" t="s">
        <v>7</v>
      </c>
      <c r="AC1" t="s">
        <v>77</v>
      </c>
      <c r="AD1" t="s">
        <v>96</v>
      </c>
      <c r="AE1" t="s">
        <v>30</v>
      </c>
      <c r="AF1" t="s">
        <v>86</v>
      </c>
      <c r="AG1" t="s">
        <v>98</v>
      </c>
      <c r="AH1" t="s">
        <v>12</v>
      </c>
      <c r="AI1" t="s">
        <v>142</v>
      </c>
      <c r="AJ1" t="s">
        <v>113</v>
      </c>
      <c r="AK1" t="s">
        <v>143</v>
      </c>
      <c r="AL1" t="s">
        <v>41</v>
      </c>
      <c r="AM1" t="s">
        <v>154</v>
      </c>
      <c r="AN1" t="s">
        <v>14</v>
      </c>
      <c r="AO1" t="s">
        <v>31</v>
      </c>
      <c r="AP1" t="s">
        <v>59</v>
      </c>
      <c r="AQ1" t="s">
        <v>132</v>
      </c>
      <c r="AR1" t="s">
        <v>175</v>
      </c>
      <c r="AS1" t="s">
        <v>42</v>
      </c>
      <c r="AT1" t="s">
        <v>60</v>
      </c>
      <c r="AU1" t="s">
        <v>114</v>
      </c>
      <c r="AV1" t="s">
        <v>43</v>
      </c>
      <c r="AW1" t="s">
        <v>165</v>
      </c>
      <c r="AX1" t="s">
        <v>15</v>
      </c>
      <c r="AY1" t="s">
        <v>115</v>
      </c>
      <c r="AZ1" t="s">
        <v>50</v>
      </c>
      <c r="BA1" t="s">
        <v>146</v>
      </c>
      <c r="BB1" t="s">
        <v>100</v>
      </c>
      <c r="BC1" t="s">
        <v>166</v>
      </c>
      <c r="BD1" t="s">
        <v>167</v>
      </c>
      <c r="BE1" t="s">
        <v>176</v>
      </c>
      <c r="BF1" t="s">
        <v>32</v>
      </c>
      <c r="BG1" t="s">
        <v>78</v>
      </c>
      <c r="BH1" t="s">
        <v>116</v>
      </c>
      <c r="BI1" t="s">
        <v>61</v>
      </c>
      <c r="BJ1" t="s">
        <v>101</v>
      </c>
      <c r="BK1" t="s">
        <v>51</v>
      </c>
      <c r="BL1" t="s">
        <v>16</v>
      </c>
      <c r="BM1" t="s">
        <v>17</v>
      </c>
      <c r="BN1" t="s">
        <v>177</v>
      </c>
      <c r="BO1" t="s">
        <v>168</v>
      </c>
      <c r="BP1" t="s">
        <v>169</v>
      </c>
      <c r="BQ1" t="s">
        <v>102</v>
      </c>
      <c r="BR1" t="s">
        <v>155</v>
      </c>
      <c r="BS1" t="s">
        <v>79</v>
      </c>
      <c r="BT1" t="s">
        <v>133</v>
      </c>
      <c r="BU1" t="s">
        <v>8</v>
      </c>
      <c r="BV1" t="s">
        <v>45</v>
      </c>
      <c r="BW1" t="s">
        <v>170</v>
      </c>
      <c r="BX1" t="s">
        <v>52</v>
      </c>
      <c r="BY1" t="s">
        <v>53</v>
      </c>
      <c r="BZ1" t="s">
        <v>62</v>
      </c>
      <c r="CA1" t="s">
        <v>103</v>
      </c>
      <c r="CB1" t="s">
        <v>127</v>
      </c>
      <c r="CC1" t="s">
        <v>33</v>
      </c>
      <c r="CD1" t="s">
        <v>171</v>
      </c>
      <c r="CE1" t="s">
        <v>18</v>
      </c>
      <c r="CF1" t="s">
        <v>117</v>
      </c>
      <c r="CG1" t="s">
        <v>63</v>
      </c>
      <c r="CH1" t="s">
        <v>118</v>
      </c>
      <c r="CI1" t="s">
        <v>104</v>
      </c>
      <c r="CJ1" t="s">
        <v>128</v>
      </c>
      <c r="CK1" t="s">
        <v>64</v>
      </c>
      <c r="CL1" t="s">
        <v>105</v>
      </c>
      <c r="CM1" t="s">
        <v>34</v>
      </c>
      <c r="CN1" t="s">
        <v>134</v>
      </c>
      <c r="CO1" t="s">
        <v>178</v>
      </c>
      <c r="CP1" t="s">
        <v>147</v>
      </c>
      <c r="CQ1" t="s">
        <v>148</v>
      </c>
      <c r="CR1" t="s">
        <v>80</v>
      </c>
      <c r="CS1" t="s">
        <v>81</v>
      </c>
      <c r="CT1" t="s">
        <v>35</v>
      </c>
      <c r="CU1" t="s">
        <v>88</v>
      </c>
      <c r="CV1" t="s">
        <v>135</v>
      </c>
    </row>
    <row r="2" s="16" customFormat="1">
      <c r="A2" s="5">
        <v>1</v>
      </c>
      <c r="B2" s="14" t="s">
        <v>83</v>
      </c>
      <c r="C2" s="4" t="s">
        <v>150</v>
      </c>
      <c r="D2" s="4" t="s">
        <v>46</v>
      </c>
      <c r="E2" s="4" t="s">
        <v>9</v>
      </c>
      <c r="F2" s="4" t="s">
        <v>55</v>
      </c>
      <c r="G2" s="4" t="s">
        <v>123</v>
      </c>
      <c r="H2" s="2" t="s">
        <v>1</v>
      </c>
      <c r="I2" s="2" t="s">
        <v>109</v>
      </c>
      <c r="J2" s="3" t="s">
        <v>161</v>
      </c>
      <c r="K2" s="18">
        <v>2801635</v>
      </c>
      <c r="L2" s="10">
        <f t="shared" si="0" ref="L2:L8">S2+U2</f>
        <v>2480</v>
      </c>
      <c r="M2" s="10">
        <v>0</v>
      </c>
      <c r="N2" s="3" t="s">
        <v>73</v>
      </c>
      <c r="O2" s="11" t="str">
        <f>CONCATENATE("NPO appr AB_", N2)</f>
        <v>NPO appr AB_0</v>
      </c>
      <c r="P2" s="3" t="s">
        <v>152</v>
      </c>
      <c r="Q2" s="3" t="s">
        <v>40</v>
      </c>
      <c r="R2" s="3" t="s">
        <v>40</v>
      </c>
      <c r="S2" s="10">
        <f t="shared" si="1" ref="S2:S3">(U2*(1+V2/100))-U2</f>
        <v>480</v>
      </c>
      <c r="T2" s="10">
        <f t="shared" si="2" ref="T2:T8">S2</f>
        <v>480</v>
      </c>
      <c r="U2" s="3" t="s">
        <v>25</v>
      </c>
      <c r="V2" s="3" t="s">
        <v>95</v>
      </c>
      <c r="W2" s="3" t="s">
        <v>27</v>
      </c>
      <c r="X2" s="20" t="s">
        <v>153</v>
      </c>
      <c r="Y2" s="13" t="str">
        <f t="shared" si="3" ref="Y2:Y4">MID(X2,17,12)</f>
        <v/>
      </c>
      <c r="Z2" s="13" t="str">
        <f t="shared" si="4" ref="Z2:Z4">RIGHT(X2,12)</f>
        <v>=Output!C2</v>
      </c>
      <c r="AA2" s="19" t="str">
        <f t="shared" si="5" ref="AA2:AA4">CONCATENATE("Document Number ", Y2, " Workflow ID ", Z2)</f>
        <v>Document Number  Workflow ID =Output!C2</v>
      </c>
      <c r="AB2" s="2" t="s">
        <v>163</v>
      </c>
      <c r="AC2" s="2" t="s">
        <v>85</v>
      </c>
      <c r="AD2" s="2" t="s">
        <v>40</v>
      </c>
      <c r="AE2" s="11" t="str">
        <f t="shared" si="6" ref="AE2:AE4">Y2</f>
        <v/>
      </c>
      <c r="AF2" s="2" t="s">
        <v>97</v>
      </c>
      <c r="AG2" s="17" t="s">
        <v>49</v>
      </c>
      <c r="AH2" s="3" t="s">
        <v>126</v>
      </c>
      <c r="AI2" s="3"/>
      <c r="AJ2" s="35"/>
      <c r="AK2" s="3" t="s">
        <v>126</v>
      </c>
      <c r="AL2" s="3" t="s">
        <v>125</v>
      </c>
      <c r="AM2" s="3" t="s">
        <v>125</v>
      </c>
      <c r="AN2" s="7" t="str">
        <f>"Approve Invoice "&amp;Y2&amp;" on behalf of VIM_CODER_GR  VIM_CODER_GR"</f>
        <v>Approve Invoice  on behalf of VIM_CODER_GR  VIM_CODER_GR</v>
      </c>
      <c r="AO2" s="7" t="str">
        <f>"Approve Invoice "&amp;Y2&amp;" on behalf of SHOPPING CART &amp; PO CREATOR"</f>
        <v>Approve Invoice  on behalf of SHOPPING CART &amp; PO CREATOR</v>
      </c>
      <c r="AP2" s="7" t="str">
        <f>"Approve Invoice "&amp;Y2&amp;" on behalf of PO &amp; INVOICE APPROVER  SRM"</f>
        <v>Approve Invoice  on behalf of PO &amp; INVOICE APPROVER  SRM</v>
      </c>
      <c r="AQ2" s="2" t="s">
        <v>97</v>
      </c>
      <c r="AR2" s="2" t="s">
        <v>97</v>
      </c>
      <c r="AS2" s="2" t="s">
        <v>97</v>
      </c>
      <c r="AT2" s="2" t="s">
        <v>164</v>
      </c>
      <c r="AU2" s="2" t="s">
        <v>164</v>
      </c>
      <c r="AV2" s="21" t="s">
        <v>1</v>
      </c>
      <c r="AW2" s="21" t="str">
        <f t="shared" si="7" ref="AW2:AW4">MID(AV2,10,10)</f>
        <v/>
      </c>
      <c r="AX2" s="7" t="str">
        <f>"Document "&amp;AW2&amp;" was posted in company code GR02"</f>
        <v>Document  was posted in company code GR02</v>
      </c>
      <c r="AY2" s="2" t="s">
        <v>145</v>
      </c>
      <c r="AZ2" s="11" t="str">
        <f t="shared" si="8" ref="AZ2:AZ4">Y2</f>
        <v/>
      </c>
      <c r="BA2" s="22" t="s">
        <v>44</v>
      </c>
      <c r="BB2" s="9" t="str">
        <f>"000000859465"</f>
        <v>000000859465</v>
      </c>
      <c r="BC2" s="9" t="str">
        <f>"000048433010"</f>
        <v>000048433010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9" t="str">
        <f>"000048433012"</f>
        <v>000048433012</v>
      </c>
      <c r="CT2" s="1"/>
      <c r="CU2" s="1"/>
      <c r="CV2" s="25"/>
    </row>
    <row r="3" s="16" customFormat="1">
      <c r="A3" s="1">
        <v>2</v>
      </c>
      <c r="B3" s="14" t="s">
        <v>121</v>
      </c>
      <c r="C3" s="4" t="s">
        <v>150</v>
      </c>
      <c r="D3" s="4" t="s">
        <v>46</v>
      </c>
      <c r="E3" s="4" t="s">
        <v>39</v>
      </c>
      <c r="F3" s="4" t="s">
        <v>10</v>
      </c>
      <c r="G3" s="4" t="s">
        <v>123</v>
      </c>
      <c r="H3" s="2" t="s">
        <v>1</v>
      </c>
      <c r="I3" s="2" t="s">
        <v>109</v>
      </c>
      <c r="J3" s="3" t="s">
        <v>161</v>
      </c>
      <c r="K3" s="18">
        <v>40252261</v>
      </c>
      <c r="L3" s="10">
        <f t="shared" si="0"/>
        <v>2420</v>
      </c>
      <c r="M3" s="10">
        <v>280</v>
      </c>
      <c r="N3" s="3">
        <v>247</v>
      </c>
      <c r="O3" s="11" t="str">
        <f>CONCATENATE("NPO appr DLL_", M3)</f>
        <v>NPO appr DLL_280</v>
      </c>
      <c r="P3" s="3" t="s">
        <v>152</v>
      </c>
      <c r="Q3" s="3" t="s">
        <v>40</v>
      </c>
      <c r="R3" s="3" t="s">
        <v>40</v>
      </c>
      <c r="S3" s="10">
        <f t="shared" si="1"/>
        <v>420</v>
      </c>
      <c r="T3" s="10">
        <f t="shared" si="2"/>
        <v>420</v>
      </c>
      <c r="U3" s="3" t="s">
        <v>25</v>
      </c>
      <c r="V3" s="3" t="s">
        <v>140</v>
      </c>
      <c r="W3" s="3" t="s">
        <v>57</v>
      </c>
      <c r="X3" s="20" t="s">
        <v>11</v>
      </c>
      <c r="Y3" s="13" t="str">
        <f t="shared" si="3"/>
        <v/>
      </c>
      <c r="Z3" s="13" t="str">
        <f t="shared" si="4"/>
        <v>=Output!C3</v>
      </c>
      <c r="AA3" s="19" t="str">
        <f t="shared" si="5"/>
        <v>Document Number  Workflow ID =Output!C3</v>
      </c>
      <c r="AB3" s="2" t="s">
        <v>163</v>
      </c>
      <c r="AC3" s="2" t="s">
        <v>85</v>
      </c>
      <c r="AD3" s="2" t="s">
        <v>40</v>
      </c>
      <c r="AE3" s="11" t="str">
        <f t="shared" si="6"/>
        <v/>
      </c>
      <c r="AF3" s="2" t="s">
        <v>97</v>
      </c>
      <c r="AG3" s="17" t="s">
        <v>49</v>
      </c>
      <c r="AH3" s="3" t="s">
        <v>112</v>
      </c>
      <c r="AI3" s="3"/>
      <c r="AJ3" s="35"/>
      <c r="AK3" s="3" t="s">
        <v>112</v>
      </c>
      <c r="AL3" s="3" t="s">
        <v>125</v>
      </c>
      <c r="AM3" s="3" t="s">
        <v>125</v>
      </c>
      <c r="AN3" s="7" t="str">
        <f>"Approve Invoice "&amp;Y3&amp;" on behalf of VIM_CODER_BE  VIM_CODER_BE"</f>
        <v>Approve Invoice  on behalf of VIM_CODER_BE  VIM_CODER_BE</v>
      </c>
      <c r="AO3" s="7" t="str">
        <f>"Approve Invoice "&amp;Y3&amp;" on behalf of   ASRMDLL01"</f>
        <v>Approve Invoice  on behalf of   ASRMDLL01</v>
      </c>
      <c r="AP3" s="7" t="str">
        <f>"Approve Invoice "&amp;Y3&amp;" on behalf of   ASRMDLL03"</f>
        <v>Approve Invoice  on behalf of   ASRMDLL03</v>
      </c>
      <c r="AQ3" s="2" t="s">
        <v>97</v>
      </c>
      <c r="AR3" s="2" t="s">
        <v>97</v>
      </c>
      <c r="AS3" s="2" t="s">
        <v>97</v>
      </c>
      <c r="AT3" s="2" t="s">
        <v>164</v>
      </c>
      <c r="AU3" s="2" t="s">
        <v>164</v>
      </c>
      <c r="AV3" s="21" t="s">
        <v>144</v>
      </c>
      <c r="AW3" s="21" t="str">
        <f t="shared" si="7"/>
        <v>1900013614</v>
      </c>
      <c r="AX3" s="7" t="str">
        <f>"Document "&amp;AW3&amp;" was posted in company code BE10"</f>
        <v>Document 1900013614 was posted in company code BE10</v>
      </c>
      <c r="AY3" s="2" t="s">
        <v>145</v>
      </c>
      <c r="AZ3" s="11" t="str">
        <f t="shared" si="8"/>
        <v/>
      </c>
      <c r="BA3" s="22" t="s">
        <v>44</v>
      </c>
      <c r="BB3" s="9"/>
      <c r="BC3" s="9"/>
      <c r="BD3" s="1"/>
      <c r="BE3" s="1">
        <v>49318603</v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9" t="str">
        <f>"000048431043"</f>
        <v>000048431043</v>
      </c>
      <c r="CT3" s="1"/>
      <c r="CU3" s="1"/>
      <c r="CV3" s="25"/>
    </row>
    <row r="4" s="16" customFormat="1">
      <c r="A4" s="5">
        <v>3</v>
      </c>
      <c r="B4" s="14" t="s">
        <v>67</v>
      </c>
      <c r="C4" s="4" t="s">
        <v>150</v>
      </c>
      <c r="D4" s="4" t="s">
        <v>46</v>
      </c>
      <c r="E4" s="4" t="s">
        <v>122</v>
      </c>
      <c r="F4" s="4" t="s">
        <v>108</v>
      </c>
      <c r="G4" s="4" t="s">
        <v>123</v>
      </c>
      <c r="H4" s="2" t="s">
        <v>1</v>
      </c>
      <c r="I4" s="2" t="s">
        <v>109</v>
      </c>
      <c r="J4" s="3" t="s">
        <v>161</v>
      </c>
      <c r="K4" s="18">
        <v>2801636</v>
      </c>
      <c r="L4" s="10" t="e">
        <f t="shared" si="0"/>
        <v>#VALUE!</v>
      </c>
      <c r="M4" s="10">
        <v>1</v>
      </c>
      <c r="N4" s="3" t="s">
        <v>125</v>
      </c>
      <c r="O4" s="11" t="str">
        <f>CONCATENATE("NPO appr MI_", N4)</f>
        <v>NPO appr MI_1</v>
      </c>
      <c r="P4" s="3" t="s">
        <v>139</v>
      </c>
      <c r="Q4" s="3" t="s">
        <v>40</v>
      </c>
      <c r="R4" s="3" t="s">
        <v>40</v>
      </c>
      <c r="S4" s="28" t="s">
        <v>4</v>
      </c>
      <c r="T4" s="10" t="str">
        <f t="shared" si="2"/>
        <v>=(U4*(1+V4/100))-U4</v>
      </c>
      <c r="U4" s="3" t="s">
        <v>25</v>
      </c>
      <c r="V4" s="3" t="s">
        <v>73</v>
      </c>
      <c r="W4" s="3" t="s">
        <v>74</v>
      </c>
      <c r="X4" s="20" t="s">
        <v>58</v>
      </c>
      <c r="Y4" s="13" t="str">
        <f t="shared" si="3"/>
        <v/>
      </c>
      <c r="Z4" s="13" t="str">
        <f t="shared" si="4"/>
        <v>=Output!C4</v>
      </c>
      <c r="AA4" s="19" t="str">
        <f t="shared" si="5"/>
        <v>Document Number  Workflow ID =Output!C4</v>
      </c>
      <c r="AB4" s="2" t="s">
        <v>163</v>
      </c>
      <c r="AC4" s="2" t="s">
        <v>85</v>
      </c>
      <c r="AD4" s="2" t="s">
        <v>40</v>
      </c>
      <c r="AE4" s="11" t="str">
        <f t="shared" si="6"/>
        <v/>
      </c>
      <c r="AF4" s="2" t="s">
        <v>97</v>
      </c>
      <c r="AG4" s="26">
        <v>30387221</v>
      </c>
      <c r="AH4" s="3"/>
      <c r="AI4" s="31" t="s">
        <v>99</v>
      </c>
      <c r="AJ4" s="23">
        <f ca="1">TODAY()</f>
        <v>45958</v>
      </c>
      <c r="AK4" s="3" t="s">
        <v>13</v>
      </c>
      <c r="AL4" s="6">
        <v>1</v>
      </c>
      <c r="AM4" s="6">
        <v>1</v>
      </c>
      <c r="AN4" s="7" t="str">
        <f>"Approve Invoice "&amp;Y4&amp;" on behalf of VIM_CODER_RO  VIM_CODER_RO"</f>
        <v>Approve Invoice  on behalf of VIM_CODER_RO  VIM_CODER_RO</v>
      </c>
      <c r="AO4" s="7" t="str">
        <f>"Approve Invoice "&amp;Y4&amp;" on behalf of ASRMMI05  PO CREATOR TECHNIC"</f>
        <v>Approve Invoice  on behalf of ASRMMI05  PO CREATOR TECHNIC</v>
      </c>
      <c r="AP4" s="7" t="str">
        <f>"Approve Invoice "&amp;Y4&amp;" on behalf of ASRMMI12  SRM-PO &amp; INVOICE A"</f>
        <v>Approve Invoice  on behalf of ASRMMI12  SRM-PO &amp; INVOICE A</v>
      </c>
      <c r="AQ4" s="2" t="s">
        <v>97</v>
      </c>
      <c r="AR4" s="2" t="s">
        <v>97</v>
      </c>
      <c r="AS4" s="2" t="s">
        <v>97</v>
      </c>
      <c r="AT4" s="2" t="s">
        <v>164</v>
      </c>
      <c r="AU4" s="2" t="s">
        <v>164</v>
      </c>
      <c r="AV4" s="21" t="s">
        <v>87</v>
      </c>
      <c r="AW4" s="21" t="str">
        <f t="shared" si="7"/>
        <v>1900013614</v>
      </c>
      <c r="AX4" s="7" t="str">
        <f>"Document "&amp;AW4&amp;" was posted in company code GR02"</f>
        <v>Document 1900013614 was posted in company code GR02</v>
      </c>
      <c r="AY4" s="2" t="s">
        <v>145</v>
      </c>
      <c r="AZ4" s="11" t="str">
        <f t="shared" si="8"/>
        <v/>
      </c>
      <c r="BA4" s="22" t="s">
        <v>44</v>
      </c>
      <c r="BB4" s="1"/>
      <c r="BC4" s="1"/>
      <c r="BD4" s="1"/>
      <c r="BE4" s="1"/>
      <c r="BF4" s="9"/>
      <c r="BG4" s="9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30"/>
    </row>
    <row r="5" s="16" customFormat="1">
      <c r="A5" s="8"/>
      <c r="B5" s="8"/>
      <c r="C5" s="8"/>
      <c r="D5" s="1"/>
      <c r="E5" s="1"/>
      <c r="F5" s="1"/>
      <c r="G5" s="1"/>
      <c r="H5" s="1"/>
      <c r="I5" s="1"/>
      <c r="J5" s="1"/>
      <c r="K5" s="1"/>
      <c r="L5" s="24">
        <f t="shared" si="0"/>
        <v>0</v>
      </c>
      <c r="M5" s="24"/>
      <c r="N5" s="1"/>
      <c r="O5" s="1"/>
      <c r="P5" s="1"/>
      <c r="Q5" s="3"/>
      <c r="R5" s="3"/>
      <c r="S5" s="10">
        <f>(U5*(1+V5/100))-U5</f>
        <v>0</v>
      </c>
      <c r="T5" s="10">
        <f t="shared" si="2"/>
        <v>0</v>
      </c>
      <c r="U5" s="1"/>
      <c r="V5" s="1"/>
      <c r="W5" s="1"/>
      <c r="X5" s="1"/>
      <c r="Y5" s="12"/>
      <c r="Z5" s="12"/>
      <c r="AA5" s="1"/>
      <c r="AB5" s="1"/>
      <c r="AC5" s="1"/>
      <c r="AD5" s="1"/>
      <c r="AE5" s="1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2"/>
      <c r="BA5" s="1"/>
      <c r="BB5" s="9"/>
      <c r="BC5" s="9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9"/>
      <c r="CT5" s="1"/>
      <c r="CU5" s="1"/>
      <c r="CV5" s="25"/>
    </row>
    <row r="6" s="16" customFormat="1">
      <c r="A6" s="5">
        <v>5</v>
      </c>
      <c r="B6" s="14" t="s">
        <v>83</v>
      </c>
      <c r="C6" s="4" t="s">
        <v>150</v>
      </c>
      <c r="D6" s="4" t="s">
        <v>46</v>
      </c>
      <c r="E6" s="4" t="s">
        <v>9</v>
      </c>
      <c r="F6" s="4" t="s">
        <v>55</v>
      </c>
      <c r="G6" s="4" t="s">
        <v>123</v>
      </c>
      <c r="H6" s="2" t="s">
        <v>1</v>
      </c>
      <c r="I6" s="2" t="s">
        <v>109</v>
      </c>
      <c r="J6" s="3" t="s">
        <v>161</v>
      </c>
      <c r="K6" s="3" t="s">
        <v>137</v>
      </c>
      <c r="L6" s="24" t="e">
        <f t="shared" si="0"/>
        <v>#VALUE!</v>
      </c>
      <c r="M6" s="24">
        <v>32</v>
      </c>
      <c r="N6" s="3" t="s">
        <v>138</v>
      </c>
      <c r="O6" s="11" t="str">
        <f t="shared" si="9" ref="O6:O7">CONCATENATE("NPO appro N+X_", N6)</f>
        <v>NPO appro N+X_32</v>
      </c>
      <c r="P6" s="3" t="s">
        <v>152</v>
      </c>
      <c r="Q6" s="3" t="s">
        <v>40</v>
      </c>
      <c r="R6" s="3" t="s">
        <v>40</v>
      </c>
      <c r="S6" s="37" t="s">
        <v>24</v>
      </c>
      <c r="T6" s="10" t="str">
        <f t="shared" si="2"/>
        <v>=(U6*(1+V6/100))-U6</v>
      </c>
      <c r="U6" s="3" t="s">
        <v>25</v>
      </c>
      <c r="V6" s="3" t="s">
        <v>95</v>
      </c>
      <c r="W6" s="3"/>
      <c r="X6" s="20" t="s">
        <v>162</v>
      </c>
      <c r="Y6" s="13" t="str">
        <f t="shared" si="10" ref="Y6:Y8">MID(X6,17,12)</f>
        <v/>
      </c>
      <c r="Z6" s="13" t="str">
        <f t="shared" si="11" ref="Z6:Z8">RIGHT(X6,12)</f>
        <v>=Output!C6</v>
      </c>
      <c r="AA6" s="19" t="str">
        <f t="shared" si="12" ref="AA6:AA8">CONCATENATE("Document Number ", Y6, " Workflow ID ", Z6)</f>
        <v>Document Number  Workflow ID =Output!C6</v>
      </c>
      <c r="AB6" s="2" t="s">
        <v>163</v>
      </c>
      <c r="AC6" s="2" t="s">
        <v>125</v>
      </c>
      <c r="AD6" s="2" t="s">
        <v>40</v>
      </c>
      <c r="AE6" s="11" t="str">
        <f t="shared" si="13" ref="AE6:AE8">Y6</f>
        <v/>
      </c>
      <c r="AF6" s="2" t="s">
        <v>97</v>
      </c>
      <c r="AG6" s="17" t="s">
        <v>49</v>
      </c>
      <c r="AH6" s="3" t="s">
        <v>126</v>
      </c>
      <c r="AI6" s="3"/>
      <c r="AJ6" s="3"/>
      <c r="AK6" s="3"/>
      <c r="AL6" s="3"/>
      <c r="AM6" s="3"/>
      <c r="AN6" s="7"/>
      <c r="AO6" s="7"/>
      <c r="AP6" s="7"/>
      <c r="AQ6" s="2" t="s">
        <v>97</v>
      </c>
      <c r="AR6" s="2" t="s">
        <v>97</v>
      </c>
      <c r="AS6" s="2" t="s">
        <v>97</v>
      </c>
      <c r="AT6" s="2" t="s">
        <v>164</v>
      </c>
      <c r="AU6" s="2" t="s">
        <v>164</v>
      </c>
      <c r="AV6" s="2"/>
      <c r="AW6" s="2"/>
      <c r="AX6" s="2"/>
      <c r="AY6" s="2" t="s">
        <v>145</v>
      </c>
      <c r="AZ6" s="11" t="str">
        <f t="shared" si="14" ref="AZ6:AZ8">Y6</f>
        <v/>
      </c>
      <c r="BA6" s="22" t="s">
        <v>44</v>
      </c>
      <c r="BB6" s="9" t="str">
        <f>"000000859465"</f>
        <v>000000859465</v>
      </c>
      <c r="BC6" s="9" t="str">
        <f>"000048433010"</f>
        <v>000048433010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9" t="str">
        <f>"000033795044"</f>
        <v>000033795044</v>
      </c>
      <c r="CT6" s="1"/>
      <c r="CU6" s="1"/>
      <c r="CV6" s="25"/>
    </row>
    <row r="7" s="16" customFormat="1">
      <c r="A7" s="1">
        <v>6</v>
      </c>
      <c r="B7" s="14" t="s">
        <v>121</v>
      </c>
      <c r="C7" s="4" t="s">
        <v>150</v>
      </c>
      <c r="D7" s="4" t="s">
        <v>46</v>
      </c>
      <c r="E7" s="4" t="s">
        <v>39</v>
      </c>
      <c r="F7" s="4" t="s">
        <v>69</v>
      </c>
      <c r="G7" s="4" t="s">
        <v>123</v>
      </c>
      <c r="H7" s="2" t="s">
        <v>1</v>
      </c>
      <c r="I7" s="2" t="s">
        <v>109</v>
      </c>
      <c r="J7" s="3" t="s">
        <v>161</v>
      </c>
      <c r="K7" s="3" t="s">
        <v>92</v>
      </c>
      <c r="L7" s="24">
        <f t="shared" si="0"/>
        <v>2420</v>
      </c>
      <c r="M7" s="24">
        <v>17</v>
      </c>
      <c r="N7" s="3" t="s">
        <v>94</v>
      </c>
      <c r="O7" s="11" t="str">
        <f t="shared" si="9"/>
        <v>NPO appro N+X_17</v>
      </c>
      <c r="P7" s="3" t="s">
        <v>152</v>
      </c>
      <c r="Q7" s="3" t="s">
        <v>40</v>
      </c>
      <c r="R7" s="3" t="s">
        <v>40</v>
      </c>
      <c r="S7" s="10">
        <f t="shared" si="15" ref="S7:S8">(U7*(1+V7/100))-U7</f>
        <v>420</v>
      </c>
      <c r="T7" s="10">
        <f t="shared" si="2"/>
        <v>420</v>
      </c>
      <c r="U7" s="3" t="s">
        <v>25</v>
      </c>
      <c r="V7" s="3" t="s">
        <v>140</v>
      </c>
      <c r="W7" s="3"/>
      <c r="X7" s="20" t="s">
        <v>28</v>
      </c>
      <c r="Y7" s="13" t="str">
        <f t="shared" si="10"/>
        <v/>
      </c>
      <c r="Z7" s="13" t="str">
        <f t="shared" si="11"/>
        <v>=Output!C7</v>
      </c>
      <c r="AA7" s="19" t="str">
        <f t="shared" si="12"/>
        <v>Document Number  Workflow ID =Output!C7</v>
      </c>
      <c r="AB7" s="2" t="s">
        <v>163</v>
      </c>
      <c r="AC7" s="2" t="s">
        <v>125</v>
      </c>
      <c r="AD7" s="2" t="s">
        <v>40</v>
      </c>
      <c r="AE7" s="11" t="str">
        <f t="shared" si="13"/>
        <v/>
      </c>
      <c r="AF7" s="2" t="s">
        <v>97</v>
      </c>
      <c r="AG7" s="17" t="s">
        <v>49</v>
      </c>
      <c r="AH7" s="3" t="s">
        <v>112</v>
      </c>
      <c r="AI7" s="3"/>
      <c r="AJ7" s="3"/>
      <c r="AK7" s="3"/>
      <c r="AL7" s="3"/>
      <c r="AM7" s="3"/>
      <c r="AN7" s="7"/>
      <c r="AO7" s="7"/>
      <c r="AP7" s="7"/>
      <c r="AQ7" s="2" t="s">
        <v>97</v>
      </c>
      <c r="AR7" s="2" t="s">
        <v>97</v>
      </c>
      <c r="AS7" s="2" t="s">
        <v>97</v>
      </c>
      <c r="AT7" s="2" t="s">
        <v>164</v>
      </c>
      <c r="AU7" s="2" t="s">
        <v>164</v>
      </c>
      <c r="AV7" s="2"/>
      <c r="AW7" s="2"/>
      <c r="AX7" s="2"/>
      <c r="AY7" s="2" t="s">
        <v>145</v>
      </c>
      <c r="AZ7" s="11" t="str">
        <f t="shared" si="14"/>
        <v/>
      </c>
      <c r="BA7" s="22" t="s">
        <v>44</v>
      </c>
      <c r="BB7" s="9"/>
      <c r="BC7" s="9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9" t="str">
        <f>"000033794851"</f>
        <v>000033794851</v>
      </c>
      <c r="CT7" s="1"/>
      <c r="CU7" s="1"/>
      <c r="CV7" s="25"/>
    </row>
    <row r="8" s="16" customFormat="1">
      <c r="A8" s="5">
        <v>7</v>
      </c>
      <c r="B8" s="14" t="s">
        <v>67</v>
      </c>
      <c r="C8" s="4" t="s">
        <v>150</v>
      </c>
      <c r="D8" s="4" t="s">
        <v>46</v>
      </c>
      <c r="E8" s="4" t="s">
        <v>122</v>
      </c>
      <c r="F8" s="4" t="s">
        <v>108</v>
      </c>
      <c r="G8" s="4" t="s">
        <v>123</v>
      </c>
      <c r="H8" s="2" t="s">
        <v>1</v>
      </c>
      <c r="I8" s="2" t="s">
        <v>109</v>
      </c>
      <c r="J8" s="3" t="s">
        <v>161</v>
      </c>
      <c r="K8" s="3" t="s">
        <v>93</v>
      </c>
      <c r="L8" s="24">
        <f t="shared" si="0"/>
        <v>2000</v>
      </c>
      <c r="M8" s="24">
        <v>15</v>
      </c>
      <c r="N8" s="3" t="s">
        <v>3</v>
      </c>
      <c r="O8" s="11" t="str">
        <f>CONCATENATE("NPO appro MI_", N8)</f>
        <v>NPO appro MI_15</v>
      </c>
      <c r="P8" s="3" t="s">
        <v>152</v>
      </c>
      <c r="Q8" s="3" t="s">
        <v>40</v>
      </c>
      <c r="R8" s="3" t="s">
        <v>40</v>
      </c>
      <c r="S8" s="10">
        <f t="shared" si="15"/>
        <v>0</v>
      </c>
      <c r="T8" s="10">
        <f t="shared" si="2"/>
        <v>0</v>
      </c>
      <c r="U8" s="3" t="s">
        <v>25</v>
      </c>
      <c r="V8" s="3" t="s">
        <v>73</v>
      </c>
      <c r="W8" s="3"/>
      <c r="X8" s="20" t="s">
        <v>75</v>
      </c>
      <c r="Y8" s="13" t="str">
        <f t="shared" si="10"/>
        <v/>
      </c>
      <c r="Z8" s="13" t="str">
        <f t="shared" si="11"/>
        <v>=Output!C8</v>
      </c>
      <c r="AA8" s="19" t="str">
        <f t="shared" si="12"/>
        <v>Document Number  Workflow ID =Output!C8</v>
      </c>
      <c r="AB8" s="2" t="s">
        <v>163</v>
      </c>
      <c r="AC8" s="2" t="s">
        <v>85</v>
      </c>
      <c r="AD8" s="2" t="s">
        <v>40</v>
      </c>
      <c r="AE8" s="11" t="str">
        <f t="shared" si="13"/>
        <v/>
      </c>
      <c r="AF8" s="2" t="s">
        <v>97</v>
      </c>
      <c r="AG8" s="26">
        <v>30387221</v>
      </c>
      <c r="AH8" s="6" t="s">
        <v>141</v>
      </c>
      <c r="AI8" s="6"/>
      <c r="AJ8" s="6"/>
      <c r="AK8" s="6"/>
      <c r="AL8" s="6"/>
      <c r="AM8" s="6"/>
      <c r="AN8" s="7"/>
      <c r="AO8" s="7"/>
      <c r="AP8" s="7"/>
      <c r="AQ8" s="2" t="s">
        <v>97</v>
      </c>
      <c r="AR8" s="2" t="s">
        <v>97</v>
      </c>
      <c r="AS8" s="2" t="s">
        <v>97</v>
      </c>
      <c r="AT8" s="2" t="s">
        <v>164</v>
      </c>
      <c r="AU8" s="2" t="s">
        <v>164</v>
      </c>
      <c r="AV8" s="2"/>
      <c r="AW8" s="2"/>
      <c r="AX8" s="2"/>
      <c r="AY8" s="2" t="s">
        <v>145</v>
      </c>
      <c r="AZ8" s="11" t="str">
        <f t="shared" si="14"/>
        <v/>
      </c>
      <c r="BA8" s="22" t="s">
        <v>44</v>
      </c>
      <c r="BB8" s="9"/>
      <c r="BC8" s="9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9"/>
      <c r="CT8" s="1"/>
      <c r="CU8" s="1"/>
      <c r="CV8" s="25"/>
    </row>
    <row r="9" s="16" customFormat="1">
      <c r="A9" s="8"/>
      <c r="B9" s="8"/>
      <c r="C9" s="8"/>
      <c r="D9" s="1"/>
      <c r="E9" s="1"/>
      <c r="F9" s="1"/>
      <c r="G9" s="1"/>
      <c r="H9" s="1"/>
      <c r="I9" s="1"/>
      <c r="J9" s="1"/>
      <c r="K9" s="1"/>
      <c r="L9" s="12"/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9"/>
      <c r="BC9" s="9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9"/>
      <c r="CT9" s="1"/>
      <c r="CU9" s="1"/>
      <c r="CV9" s="25"/>
    </row>
    <row r="10" s="16" customFormat="1">
      <c r="A10" s="8"/>
      <c r="B10" s="8"/>
      <c r="C10" s="8"/>
      <c r="D10" s="1"/>
      <c r="E10" s="1"/>
      <c r="F10" s="1"/>
      <c r="G10" s="1"/>
      <c r="H10" s="1"/>
      <c r="I10" s="1"/>
      <c r="J10" s="1"/>
      <c r="K10" s="1"/>
      <c r="L10" s="12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9"/>
      <c r="BC10" s="9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9"/>
      <c r="CT10" s="1"/>
      <c r="CU10" s="1"/>
      <c r="CV10" s="25"/>
    </row>
    <row r="11" s="16" customFormat="1">
      <c r="A11" s="8"/>
      <c r="B11" s="38" t="s">
        <v>159</v>
      </c>
      <c r="C11" s="1"/>
      <c r="D11" s="1"/>
      <c r="E11" s="1"/>
      <c r="F11" s="1"/>
      <c r="G11" s="1"/>
      <c r="H11" s="1"/>
      <c r="I11" s="1"/>
      <c r="J11" s="1"/>
      <c r="K11" s="1"/>
      <c r="L11" s="12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9"/>
      <c r="BC11" s="9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9"/>
      <c r="CT11" s="1"/>
      <c r="CU11" s="1"/>
      <c r="CV11" s="25"/>
    </row>
    <row r="12" s="16" customFormat="1">
      <c r="A12" s="8"/>
      <c r="B12" s="6" t="s">
        <v>68</v>
      </c>
      <c r="C12" s="1"/>
      <c r="D12" s="1"/>
      <c r="E12" s="1"/>
      <c r="F12" s="1"/>
      <c r="G12" s="1"/>
      <c r="H12" s="1"/>
      <c r="I12" s="1"/>
      <c r="J12" s="1"/>
      <c r="K12" s="1"/>
      <c r="L12" s="12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9"/>
      <c r="BC12" s="9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9"/>
      <c r="CT12" s="1"/>
      <c r="CU12" s="1"/>
      <c r="CV12" s="25"/>
    </row>
    <row r="13" s="16" customFormat="1">
      <c r="A13" s="8"/>
      <c r="B13" s="36" t="s">
        <v>149</v>
      </c>
      <c r="C13" s="1"/>
      <c r="D13" s="1"/>
      <c r="E13" s="1"/>
      <c r="F13" s="1"/>
      <c r="G13" s="1"/>
      <c r="H13" s="1"/>
      <c r="I13" s="1"/>
      <c r="J13" s="1"/>
      <c r="K13" s="1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9"/>
      <c r="BC13" s="9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9"/>
      <c r="CT13" s="1"/>
      <c r="CU13" s="1"/>
      <c r="CV13" s="25"/>
    </row>
    <row r="14" s="16" customFormat="1">
      <c r="A14" s="8"/>
      <c r="B14" s="32" t="s">
        <v>38</v>
      </c>
      <c r="C14" s="1"/>
      <c r="D14" s="1"/>
      <c r="E14" s="1"/>
      <c r="F14" s="1"/>
      <c r="G14" s="1"/>
      <c r="H14" s="1"/>
      <c r="I14" s="1"/>
      <c r="J14" s="1"/>
      <c r="K14" s="1"/>
      <c r="L14" s="12"/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f>LEN(X13)</f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9"/>
      <c r="BC14" s="9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9"/>
      <c r="CT14" s="1"/>
      <c r="CU14" s="1"/>
      <c r="CV14" s="25"/>
    </row>
    <row r="15" s="16" customFormat="1">
      <c r="A15" s="8"/>
      <c r="B15" s="23" t="s">
        <v>89</v>
      </c>
      <c r="C15" s="1"/>
      <c r="D15" s="1"/>
      <c r="E15" s="1"/>
      <c r="F15" s="1"/>
      <c r="G15" s="1"/>
      <c r="H15" s="1"/>
      <c r="I15" s="1"/>
      <c r="J15" s="1"/>
      <c r="K15" s="1"/>
      <c r="L15" s="12"/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9"/>
      <c r="BC15" s="9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9"/>
      <c r="CT15" s="1"/>
      <c r="CU15" s="1"/>
      <c r="CV15" s="25"/>
    </row>
    <row r="16" s="16" customFormat="1">
      <c r="A16" s="8"/>
      <c r="B16" s="10" t="s">
        <v>129</v>
      </c>
      <c r="C16" s="1"/>
      <c r="D16" s="1"/>
      <c r="E16" s="1"/>
      <c r="F16" s="1"/>
      <c r="G16" s="1"/>
      <c r="H16" s="1"/>
      <c r="I16" s="1"/>
      <c r="J16" s="1"/>
      <c r="K16" s="1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9"/>
      <c r="BC16" s="9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9"/>
      <c r="CT16" s="1"/>
      <c r="CU16" s="1"/>
      <c r="CV16" s="25"/>
    </row>
    <row r="17" s="16" customFormat="1">
      <c r="A17" s="8"/>
      <c r="B17" s="7" t="s">
        <v>90</v>
      </c>
      <c r="C17" s="1"/>
      <c r="D17" s="1"/>
      <c r="E17" s="1"/>
      <c r="F17" s="1"/>
      <c r="G17" s="1"/>
      <c r="H17" s="1"/>
      <c r="I17" s="1"/>
      <c r="J17" s="1"/>
      <c r="K17" s="1"/>
      <c r="L17" s="12"/>
      <c r="M17" s="1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9"/>
      <c r="BC17" s="9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9"/>
      <c r="CT17" s="1"/>
      <c r="CU17" s="1"/>
      <c r="CV17" s="25"/>
    </row>
    <row r="18" s="16" customFormat="1">
      <c r="A18" s="8"/>
      <c r="B18" s="33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2"/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9"/>
      <c r="BC18" s="9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9"/>
      <c r="CT18" s="1"/>
      <c r="CU18" s="1"/>
      <c r="CV18" s="25"/>
    </row>
    <row r="19" s="16" customFormat="1">
      <c r="A19" s="8"/>
      <c r="B19" s="18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2"/>
      <c r="M19" s="1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9"/>
      <c r="BC19" s="9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9"/>
      <c r="CT19" s="1"/>
      <c r="CU19" s="1"/>
      <c r="CV19" s="25"/>
    </row>
    <row r="20" s="16" customFormat="1">
      <c r="A20" s="8"/>
      <c r="B20" s="5" t="s">
        <v>91</v>
      </c>
      <c r="C20" s="1"/>
      <c r="D20" s="1"/>
      <c r="E20" s="1"/>
      <c r="F20" s="1"/>
      <c r="G20" s="1"/>
      <c r="H20" s="1"/>
      <c r="I20" s="1"/>
      <c r="J20" s="1"/>
      <c r="K20" s="1"/>
      <c r="L20" s="12"/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9"/>
      <c r="BC20" s="9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9"/>
      <c r="CT20" s="1"/>
      <c r="CU20" s="1"/>
      <c r="CV20" s="2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2"/>
  <sheetViews>
    <sheetView workbookViewId="0">
      <selection activeCell="A2" sqref="A2"/>
    </sheetView>
  </sheetViews>
  <sheetFormatPr defaultColWidth="9.125" defaultRowHeight="14.25"/>
  <cols>
    <col min="1" max="1" width="9.125" style="16" customWidth="1"/>
    <col min="2" max="2" width="25.125" style="16" bestFit="1" customWidth="1"/>
    <col min="3" max="3" width="77.5" style="16" bestFit="1" customWidth="1"/>
    <col min="4" max="16384" width="9.125" style="16" customWidth="1"/>
  </cols>
  <sheetData>
    <row r="1" ht="12.75" customHeight="1" customFormat="1">
      <c r="A1" t="s">
        <v>136</v>
      </c>
      <c r="B1" t="s">
        <v>0</v>
      </c>
      <c r="C1" t="s">
        <v>36</v>
      </c>
      <c r="D1" t="s">
        <v>107</v>
      </c>
      <c r="E1" t="s">
        <v>156</v>
      </c>
      <c r="F1" t="s">
        <v>19</v>
      </c>
      <c r="G1" t="s">
        <v>65</v>
      </c>
      <c r="H1" t="s">
        <v>119</v>
      </c>
      <c r="I1" t="s">
        <v>157</v>
      </c>
      <c r="J1" t="s">
        <v>20</v>
      </c>
      <c r="K1" t="s">
        <v>66</v>
      </c>
      <c r="L1" t="s">
        <v>120</v>
      </c>
      <c r="M1" t="s">
        <v>158</v>
      </c>
      <c r="N1" t="s">
        <v>37</v>
      </c>
      <c r="O1" t="s">
        <v>82</v>
      </c>
    </row>
    <row r="2">
      <c r="A2" s="5">
        <v>1</v>
      </c>
      <c r="B2" s="14" t="s">
        <v>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9"/>
    </row>
    <row r="3">
      <c r="A3" s="1">
        <v>2</v>
      </c>
      <c r="B3" s="14" t="s">
        <v>121</v>
      </c>
      <c r="C3" s="2" t="s">
        <v>106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9"/>
    </row>
    <row r="4">
      <c r="A4" s="5">
        <v>3</v>
      </c>
      <c r="B4" s="14" t="s">
        <v>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9"/>
    </row>
    <row r="5">
      <c r="A5" s="8"/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9"/>
    </row>
    <row r="6">
      <c r="A6" s="5">
        <v>5</v>
      </c>
      <c r="B6" s="14" t="s">
        <v>83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9"/>
    </row>
    <row r="7">
      <c r="A7" s="1">
        <v>6</v>
      </c>
      <c r="B7" s="14" t="s">
        <v>121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9"/>
    </row>
    <row r="8">
      <c r="A8" s="5">
        <v>7</v>
      </c>
      <c r="B8" s="14" t="s">
        <v>67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9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9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9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9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9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