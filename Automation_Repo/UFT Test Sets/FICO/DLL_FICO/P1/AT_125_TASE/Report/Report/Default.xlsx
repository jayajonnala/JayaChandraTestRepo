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T1_DataTransfer" sheetId="3" r:id="rId3"/>
    <sheet name="TC1_Test_113_Update" sheetId="4" r:id="rId4"/>
    <sheet name="TC2_Test_159_Update Account" sheetId="5" r:id="rId5"/>
    <sheet name="TC6_Test_119_SRM Standard SC" sheetId="6" r:id="rId6"/>
    <sheet name="TC3_Test_125_SRM Technical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<sst xmlns="http://schemas.openxmlformats.org/spreadsheetml/2006/main" uniqueCount="42">
  <si>
    <t/>
  </si>
  <si>
    <t>ASRMDLL05</t>
  </si>
  <si>
    <t>DT_NAME_OF_SHOPPING_CART</t>
  </si>
  <si>
    <t>DT_SAPURL</t>
  </si>
  <si>
    <t>Data Coming from another test</t>
  </si>
  <si>
    <t>C5F94A Imprimanta HP Laserjet Pro 400 M4</t>
  </si>
  <si>
    <t>FILLER H31 PAS</t>
  </si>
  <si>
    <t>Output Data</t>
  </si>
  <si>
    <t>Formulas</t>
  </si>
  <si>
    <t>DT_COSTCENTER</t>
  </si>
  <si>
    <t>DT__OCC2</t>
  </si>
  <si>
    <t>DT__OCC2_OUTPUT</t>
  </si>
  <si>
    <t>ASRMMI05</t>
  </si>
  <si>
    <t>Iovio-2222</t>
  </si>
  <si>
    <t>RZ000013</t>
  </si>
  <si>
    <t>Input Data</t>
  </si>
  <si>
    <t>DT_SAPOPTIONS</t>
  </si>
  <si>
    <t>DT_COSTCENTER_OCC1</t>
  </si>
  <si>
    <t>SCENARIO</t>
  </si>
  <si>
    <t>Awaiting Approval</t>
  </si>
  <si>
    <t>Verifications</t>
  </si>
  <si>
    <t>Execution Control Data</t>
  </si>
  <si>
    <t>35</t>
  </si>
  <si>
    <t>ELECTRICAL STOVEPLATE  EERV 400V*</t>
  </si>
  <si>
    <t>DT_AWAITING_APPROVAL</t>
  </si>
  <si>
    <t>Shopping cart "IP125_DLL_TSC_Cat_onAsset_2Appr_195" with number 1002066023 ordered successfully</t>
  </si>
  <si>
    <t>DT_INCREMENT</t>
  </si>
  <si>
    <t>1000953319</t>
  </si>
  <si>
    <t>https://sapportal-pre.delhaize.com/irj/portal/fiori_ad?spnego=disabled</t>
  </si>
  <si>
    <t>DT_KEYWORD</t>
  </si>
  <si>
    <t>DT_KEYWORD_OCC1</t>
  </si>
  <si>
    <t>ROW_NUMBER</t>
  </si>
  <si>
    <t>Fixed Data</t>
  </si>
  <si>
    <t>DT_SAPPASSWORD</t>
  </si>
  <si>
    <t>BS000132</t>
  </si>
  <si>
    <t>Login Information</t>
  </si>
  <si>
    <t>DT_SAPUSER</t>
  </si>
  <si>
    <t>MEAT MIXER SERIE AMM-35S + TROLEY</t>
  </si>
  <si>
    <t>DT_SC_NUMBER</t>
  </si>
  <si>
    <t>125_SRM Technical SC Catalog Items on Asset 2 Approvals (DLL-MI)</t>
  </si>
  <si>
    <t>Delh2025</t>
  </si>
  <si>
    <t>DT__OCC1</t>
  </si>
</sst>
</file>

<file path=xl/styles.xml><?xml version="1.0" encoding="utf-8"?>
<styleSheet xmlns="http://schemas.openxmlformats.org/spreadsheetml/2006/main">
  <numFmts count="0"/>
  <fonts count="2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u/>
      <sz val="11"/>
      <color indexed="30"/>
      <name val="Mic Shell Dlg"/>
      <charset val="1"/>
    </font>
    <font>
      <sz val="11"/>
      <color indexed="53"/>
      <name val="Mic Shell Dlg"/>
      <charset val="1"/>
    </font>
    <font>
      <u/>
      <sz val="11"/>
      <color theme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1" xfId="0" applyBorder="1" applyProtection="1">
      <protection locked="0"/>
    </xf>
    <xf numFmtId="0" fontId="0" fillId="0" borderId="0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0" fontId="2" fillId="3" borderId="1" xfId="0" applyFill="1" applyBorder="1" applyProtection="1">
      <protection locked="0"/>
    </xf>
    <xf numFmtId="0" fontId="2" fillId="0" borderId="0" xfId="0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2" fillId="3" borderId="1" xfId="0" applyFill="1" applyBorder="1" applyAlignment="1" applyProtection="1">
      <alignment wrapText="1"/>
      <protection locked="0"/>
    </xf>
    <xf numFmtId="0" fontId="2" fillId="2" borderId="1" xfId="0" applyFont="1" applyFill="1" applyBorder="1" applyProtection="1">
      <protection locked="0"/>
    </xf>
    <xf numFmtId="49" fontId="4" fillId="5" borderId="1" xfId="0" applyNumberFormat="1" applyFont="1" applyFill="1" applyBorder="1" applyProtection="1">
      <protection locked="0"/>
    </xf>
    <xf numFmtId="49" fontId="5" fillId="6" borderId="1" xfId="0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9" fontId="3" fillId="4" borderId="2" xfId="0" applyNumberFormat="1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49" fontId="2" fillId="8" borderId="1" xfId="0" applyNumberForma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6" fillId="2" borderId="1" xfId="0" applyFont="1" applyFill="1" applyBorder="1" applyProtection="1">
      <protection locked="0"/>
    </xf>
    <xf numFmtId="49" fontId="2" fillId="9" borderId="1" xfId="0" applyNumberFormat="1" applyFill="1" applyBorder="1" applyProtection="1">
      <protection locked="0"/>
    </xf>
    <xf numFmtId="0" fontId="2" fillId="9" borderId="1" xfId="0" applyFont="1" applyFill="1" applyBorder="1" applyProtection="1">
      <protection locked="0"/>
    </xf>
    <xf numFmtId="49" fontId="2" fillId="6" borderId="1" xfId="0" applyNumberFormat="1" applyFill="1" applyBorder="1" applyProtection="1">
      <protection locked="0"/>
    </xf>
    <xf numFmtId="0" fontId="2" fillId="0" borderId="2" xfId="0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2" borderId="1" xfId="0" applyNumberForma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2" fillId="0" borderId="1" xfId="0" applyBorder="1" applyAlignment="1" applyProtection="1">
      <alignment vertical="center" wrapText="1"/>
      <protection locked="0"/>
    </xf>
    <xf numFmtId="0" fontId="7" fillId="0" borderId="1" xfId="1" applyFill="1" applyBorder="1" applyProtection="1">
      <protection locked="0"/>
    </xf>
    <xf numFmtId="0" fontId="4" fillId="5" borderId="1" xfId="0" applyNumberFormat="1" applyFont="1" applyFill="1" applyBorder="1" applyProtection="1">
      <protection locked="0"/>
    </xf>
    <xf numFmtId="0" fontId="2" fillId="0" borderId="2" xfId="0" applyBorder="1" applyAlignment="1" applyProtection="1">
      <alignment horizontal="left" vertical="center"/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RETAIL\TASE_DT_125_SRM%20Technical%20SC%20Catalog%20Items%20on%20Asset%202%20Approvals%20(DLL-MI)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5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3"/>
  <sheetViews>
    <sheetView workbookViewId="0">
      <selection activeCell="A2" sqref="A2"/>
    </sheetView>
  </sheetViews>
  <sheetFormatPr defaultColWidth="9.125" defaultRowHeight="14.25"/>
  <cols>
    <col min="1" max="1" width="15" style="5" customWidth="1"/>
    <col min="2" max="2" width="59.625" style="5" customWidth="1"/>
    <col min="3" max="3" width="49.875" style="5" customWidth="1"/>
    <col min="4" max="4" width="13.625" style="5" customWidth="1"/>
    <col min="5" max="5" width="20" style="5" customWidth="1"/>
    <col min="6" max="6" width="16.75" style="5" customWidth="1"/>
    <col min="7" max="7" width="15.75" style="5" customWidth="1"/>
    <col min="8" max="8" width="35.125" style="5" customWidth="1"/>
    <col min="9" max="9" width="45.25" style="5" customWidth="1"/>
    <col min="10" max="10" width="37.125" style="5" customWidth="1"/>
    <col min="11" max="11" width="45.75" style="5" customWidth="1"/>
    <col min="12" max="12" width="24" style="5" bestFit="1" customWidth="1"/>
    <col min="13" max="13" width="16.375" style="5" customWidth="1"/>
    <col min="14" max="14" width="35.125" style="5" customWidth="1"/>
    <col min="15" max="15" width="102.875" style="5" customWidth="1"/>
    <col min="16" max="16" width="24.875" style="5" customWidth="1"/>
    <col min="17" max="16384" width="9.125" style="5" customWidth="1"/>
  </cols>
  <sheetData>
    <row r="1" ht="12.75" customHeight="1" customFormat="1">
      <c r="A1" t="s">
        <v>31</v>
      </c>
      <c r="B1" t="s">
        <v>18</v>
      </c>
      <c r="C1" t="s">
        <v>3</v>
      </c>
      <c r="D1" t="s">
        <v>36</v>
      </c>
      <c r="E1" t="s">
        <v>33</v>
      </c>
      <c r="F1" t="s">
        <v>16</v>
      </c>
      <c r="G1" t="s">
        <v>26</v>
      </c>
      <c r="H1" t="s">
        <v>2</v>
      </c>
      <c r="I1" t="s">
        <v>29</v>
      </c>
      <c r="J1" t="s">
        <v>9</v>
      </c>
      <c r="K1" t="s">
        <v>30</v>
      </c>
      <c r="L1" t="s">
        <v>17</v>
      </c>
      <c r="M1" t="s">
        <v>38</v>
      </c>
      <c r="N1" t="s">
        <v>41</v>
      </c>
      <c r="O1" t="s">
        <v>10</v>
      </c>
      <c r="P1" t="s">
        <v>24</v>
      </c>
    </row>
    <row r="2">
      <c r="A2" s="4">
        <v>2</v>
      </c>
      <c r="B2" s="4" t="s">
        <v>39</v>
      </c>
      <c r="C2" s="10" t="s">
        <v>28</v>
      </c>
      <c r="D2" s="20" t="s">
        <v>1</v>
      </c>
      <c r="E2" s="26" t="s">
        <v>40</v>
      </c>
      <c r="F2" s="14" t="s">
        <v>0</v>
      </c>
      <c r="G2" s="18">
        <v>196</v>
      </c>
      <c r="H2" s="23" t="str">
        <f>CONCATENATE("IP125_DLL_TSC_Cat_onAsset_2Appr_",G2)</f>
        <v>IP125_DLL_TSC_Cat_onAsset_2Appr_196</v>
      </c>
      <c r="I2" s="3" t="s">
        <v>37</v>
      </c>
      <c r="J2" s="3" t="s">
        <v>34</v>
      </c>
      <c r="K2" s="3" t="s">
        <v>23</v>
      </c>
      <c r="L2" s="3" t="s">
        <v>34</v>
      </c>
      <c r="M2" s="27" t="e">
        <f>MID(O2,LEN(H2)+30,10)</f>
        <v>#REF!</v>
      </c>
      <c r="N2" s="6" t="e">
        <f t="shared" si="0" ref="N2:N3">CONCATENATE("Shopping cart ",M2," has no errors")</f>
        <v>#REF!</v>
      </c>
      <c r="O2" s="6" t="e">
        <f>[1]Output!C2</f>
        <v>#REF!</v>
      </c>
      <c r="P2" s="12" t="s">
        <v>19</v>
      </c>
    </row>
    <row r="3">
      <c r="A3" s="4">
        <v>3</v>
      </c>
      <c r="B3" s="4" t="s">
        <v>39</v>
      </c>
      <c r="C3" s="10" t="s">
        <v>28</v>
      </c>
      <c r="D3" s="20" t="s">
        <v>12</v>
      </c>
      <c r="E3" s="25" t="s">
        <v>13</v>
      </c>
      <c r="F3" s="14" t="s">
        <v>0</v>
      </c>
      <c r="G3" s="18" t="s">
        <v>22</v>
      </c>
      <c r="H3" s="23" t="str">
        <f>CONCATENATE("IP125_AB_TSC_Cat_onAsset_2Appr_",G3)</f>
        <v>IP125_AB_TSC_Cat_onAsset_2Appr_35</v>
      </c>
      <c r="I3" s="3" t="s">
        <v>5</v>
      </c>
      <c r="J3" s="3" t="s">
        <v>14</v>
      </c>
      <c r="K3" s="3" t="s">
        <v>5</v>
      </c>
      <c r="L3" s="3" t="s">
        <v>14</v>
      </c>
      <c r="M3" s="9" t="s">
        <v>27</v>
      </c>
      <c r="N3" s="6" t="str">
        <f t="shared" si="0"/>
        <v>Shopping cart 1000953319 has no errors</v>
      </c>
      <c r="O3" s="6" t="str">
        <f>CONCATENATE("Shopping cart %quote%",H3,"%quote% with number ",M3," ordered successfully")</f>
        <v>Shopping cart %quote%IP125_AB_TSC_Cat_onAsset_2Appr_35%quote% with number 1000953319 ordered successfully</v>
      </c>
      <c r="P3" s="12" t="s">
        <v>19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1"/>
      <c r="M4" s="1">
        <v>1000953064</v>
      </c>
      <c r="N4" s="1"/>
      <c r="O4" s="1"/>
      <c r="P4" s="2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3" t="s">
        <v>6</v>
      </c>
      <c r="L5" s="1"/>
      <c r="M5" s="1"/>
      <c r="N5" s="1"/>
      <c r="O5" s="1"/>
      <c r="P5" s="2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5"/>
      <c r="L7" s="1"/>
      <c r="M7" s="1"/>
      <c r="N7" s="1"/>
      <c r="O7" s="1"/>
      <c r="P7" s="2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1"/>
    </row>
    <row r="16">
      <c r="A16" s="1"/>
      <c r="B16" s="1"/>
      <c r="C16" s="22" t="s">
        <v>35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1"/>
    </row>
    <row r="17">
      <c r="A17" s="1"/>
      <c r="B17" s="1"/>
      <c r="C17" s="8" t="s">
        <v>15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1"/>
    </row>
    <row r="18">
      <c r="A18" s="1"/>
      <c r="B18" s="1"/>
      <c r="C18" s="16" t="s">
        <v>32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1"/>
    </row>
    <row r="19">
      <c r="A19" s="1"/>
      <c r="B19" s="1"/>
      <c r="C19" s="11" t="s">
        <v>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1"/>
    </row>
    <row r="20">
      <c r="A20" s="1"/>
      <c r="B20" s="1"/>
      <c r="C20" s="19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1"/>
    </row>
    <row r="21">
      <c r="A21" s="1"/>
      <c r="B21" s="1"/>
      <c r="C21" s="24" t="s">
        <v>20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1"/>
    </row>
    <row r="22">
      <c r="A22" s="1"/>
      <c r="B22" s="1"/>
      <c r="C22" s="17" t="s">
        <v>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1"/>
    </row>
    <row r="23">
      <c r="A23" s="1"/>
      <c r="B23" s="1"/>
      <c r="C23" s="13" t="s">
        <v>21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1"/>
    </row>
  </sheetData>
  <hyperlinks>
    <hyperlink ref="E2" r:id="rId1" display="Welcome@2025"/>
  </hyperlinks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" width="9.125" style="5" customWidth="1"/>
    <col min="2" max="2" width="64.125" style="5" customWidth="1"/>
    <col min="3" max="3" width="26.625" style="5" customWidth="1"/>
    <col min="4" max="16384" width="9.125" style="5" customWidth="1"/>
  </cols>
  <sheetData>
    <row r="1" ht="12.75" customHeight="1" customFormat="1">
      <c r="A1" t="s">
        <v>31</v>
      </c>
      <c r="B1" t="s">
        <v>18</v>
      </c>
      <c r="C1" t="s">
        <v>11</v>
      </c>
    </row>
    <row r="2">
      <c r="A2" s="7">
        <v>2</v>
      </c>
      <c r="B2" s="7" t="s">
        <v>39</v>
      </c>
      <c r="C2" s="28" t="s">
        <v>25</v>
      </c>
    </row>
  </sheetData>
  <printOptions gridLines="1"/>
  <pageMargins left="0.75" right="0.75" top="1" bottom="1" header="0.5" footer="0.5"/>
  <pageSetup orientation="portrait" horizontalDpi="65532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