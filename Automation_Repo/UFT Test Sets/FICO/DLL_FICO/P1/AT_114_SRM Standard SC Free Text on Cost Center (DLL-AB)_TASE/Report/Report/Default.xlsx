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DT1_DataTransfer" sheetId="3" r:id="rId3"/>
    <sheet name="DT2_DataTransfer" sheetId="4" r:id="rId4"/>
    <sheet name="TC1_Test_113_Update" sheetId="5" r:id="rId5"/>
    <sheet name="TC2_Test_159_Update Account" sheetId="6" r:id="rId6"/>
    <sheet name="TC3_Test_114_SRM_P1" sheetId="7" r:id="rId7"/>
    <sheet name="TC4_Test_114_SRM_P2" sheetId="8" r:id="rId8"/>
    <sheet name="TC5_Test_114_SRM_P3" sheetId="9" r:id="rId9"/>
  </sheets>
  <externalReferences>
    <externalReference r:id="rId13"/>
  </externalReferences>
  <definedNames>
    <definedName name="_xlnm._FilterDatabase" localSheetId="0" hidden="1">Global!$A$2:$AR$105</definedName>
    <definedName name="ExternalData_1" localSheetId="2">DT1_DataTransfer!$A$1:$B$40</definedName>
  </definedNames>
  <calcPr calcId="40001"/>
</workbook>
</file>

<file path=xl/sharedStrings.xml><?xml version="1.0" encoding="utf-8"?>
<sst xmlns="http://schemas.openxmlformats.org/spreadsheetml/2006/main" uniqueCount="313">
  <si>
    <t>AT_04.04.02.53 VIM - PO Precontrole Issue - Process PO Invoice (PO) - Auto Posting - Euro to Euro</t>
  </si>
  <si>
    <t>04.04.02.41 VIM - DLL</t>
  </si>
  <si>
    <t>Generic PO Creation - AB</t>
  </si>
  <si>
    <t>https://sapportal-pre.delhaize.com/irj/portal/fiori_ad?spnego=disabled#Shell-home</t>
  </si>
  <si>
    <t>ASRMDLL01</t>
  </si>
  <si>
    <t>Welcome@2022</t>
  </si>
  <si>
    <t/>
  </si>
  <si>
    <t>10002268</t>
  </si>
  <si>
    <t>DT_SAPSRM_DESCRIPTION_EDIT_E2</t>
  </si>
  <si>
    <t>DT_SAPSRM_CATEGORY_ID_EDITOR21</t>
  </si>
  <si>
    <t>=P13</t>
  </si>
  <si>
    <t>=P17</t>
  </si>
  <si>
    <t>=P24</t>
  </si>
  <si>
    <t>=P28</t>
  </si>
  <si>
    <t>=P31</t>
  </si>
  <si>
    <t>=P35</t>
  </si>
  <si>
    <t>=P42</t>
  </si>
  <si>
    <t>=P46</t>
  </si>
  <si>
    <t>=P60</t>
  </si>
  <si>
    <t>1000953578</t>
  </si>
  <si>
    <t>1001199479</t>
  </si>
  <si>
    <t>AUTODLL</t>
  </si>
  <si>
    <t>ASRMDS09</t>
  </si>
  <si>
    <t>AT_04.04.02.98 VIM - Qty Mismatch Standard - Cancel &amp; Re-enter</t>
  </si>
  <si>
    <t>AT_04.04.02.23 VIM - PO Precontrole Issue - BR03 - Missing Vendor Invoice Reference (PO) AB</t>
  </si>
  <si>
    <t>AT_04.04.02.34 VIM - PO Precontrole Issue - BR12 - Manual Check Needed _ Missing Data for Indexing Lines (PO)</t>
  </si>
  <si>
    <t>04.04.02.33 VIM- AB</t>
  </si>
  <si>
    <t>04.04.02.44 VIM- AB</t>
  </si>
  <si>
    <t>04.04.02.44 VIM - DLL</t>
  </si>
  <si>
    <t>Test_04.04.02.98 VIM</t>
  </si>
  <si>
    <t>ASRMDLL05</t>
  </si>
  <si>
    <t>DT_NAME_OF_SHOPPING_CART</t>
  </si>
  <si>
    <t>59</t>
  </si>
  <si>
    <t>66</t>
  </si>
  <si>
    <t>IP-O-0201</t>
  </si>
  <si>
    <t>BZ000121</t>
  </si>
  <si>
    <t>DT_SUPPLIER_OCC1</t>
  </si>
  <si>
    <t>=P39</t>
  </si>
  <si>
    <t>=P57</t>
  </si>
  <si>
    <t>=P79</t>
  </si>
  <si>
    <t>=P82</t>
  </si>
  <si>
    <t>=P93</t>
  </si>
  <si>
    <t>1000010858</t>
  </si>
  <si>
    <t>1000010872</t>
  </si>
  <si>
    <t>AL</t>
  </si>
  <si>
    <t>ASRMDLL09</t>
  </si>
  <si>
    <t>ASRMDLL12</t>
  </si>
  <si>
    <t>ASRMMI04</t>
  </si>
  <si>
    <t>DT_SCENARIO</t>
  </si>
  <si>
    <t>AT_04.04.02.41 VIM - PO Precontrole Issue - BR19 - Unplanned. Delivery. Cost on Invoice (PO)</t>
  </si>
  <si>
    <t>AT_04.04.02.43 VIM - PO Precontrole Issue - BR21 - Tax code verification required (PO)</t>
  </si>
  <si>
    <t>AT_04.04.02.21 VIM - PO Precontrole Issue - BR01 - Invalid Company  AB</t>
  </si>
  <si>
    <t>AT_04.04.02.40 VIM - PO Precontrole Issue - BR18 - Invalid Tax Info (PO) AB</t>
  </si>
  <si>
    <t>04.04.02.47 VIM - DLL</t>
  </si>
  <si>
    <t>04.04.02.52 VIM - DLL</t>
  </si>
  <si>
    <t>DT_SAPURL</t>
  </si>
  <si>
    <t>Iovio2021</t>
  </si>
  <si>
    <t>=P4</t>
  </si>
  <si>
    <t>=P8</t>
  </si>
  <si>
    <t>1000478875</t>
  </si>
  <si>
    <t>1000478966</t>
  </si>
  <si>
    <t>AP</t>
  </si>
  <si>
    <t>AT</t>
  </si>
  <si>
    <t>ASRMAB03</t>
  </si>
  <si>
    <t>ASRMMI08</t>
  </si>
  <si>
    <t>AT_04.04.02.31 VIM - PO Precontrole Issue - BR10 - Invalid Vendor VAT Number (PO) AB</t>
  </si>
  <si>
    <t>04.04.02.35 VIM- AB</t>
  </si>
  <si>
    <t>asrmdll01</t>
  </si>
  <si>
    <t>Iovio004</t>
  </si>
  <si>
    <t>7</t>
  </si>
  <si>
    <t>DT_SAPSRM_UI_SC_DESC_EDIT_E1_OCC1</t>
  </si>
  <si>
    <t>DT_SAPSRM_PRICE_EDITOR1</t>
  </si>
  <si>
    <t>DT_LIST</t>
  </si>
  <si>
    <t>=P10</t>
  </si>
  <si>
    <t>=P21</t>
  </si>
  <si>
    <t>1000011062</t>
  </si>
  <si>
    <t>ASRMDS02</t>
  </si>
  <si>
    <t>AT_04.04.02.55 VIM - PO Precontrole Issue - Process PO Invoice (PO) - Auto Posting - Subsequent document</t>
  </si>
  <si>
    <t>AT_04.04.02.99 VIM - Qty Mismatch Standard - GR</t>
  </si>
  <si>
    <t>AT_04.04.02.24 VIM - PO Precontrole Issue - BR04 - Invalid Vendor (PO)</t>
  </si>
  <si>
    <t>AT_04.04.02.36 VIM - PO Precontrole Issue - BR14 - Company Code Mismatch (PO) AB</t>
  </si>
  <si>
    <t>04.04.02.25 VIM- AB</t>
  </si>
  <si>
    <t>04.04.02.47 VIM- AB</t>
  </si>
  <si>
    <t>131</t>
  </si>
  <si>
    <t>34</t>
  </si>
  <si>
    <t>10010734</t>
  </si>
  <si>
    <t>10008427</t>
  </si>
  <si>
    <t>=P14</t>
  </si>
  <si>
    <t>=P18</t>
  </si>
  <si>
    <t>=P25</t>
  </si>
  <si>
    <t>=P29</t>
  </si>
  <si>
    <t>=P32</t>
  </si>
  <si>
    <t>=P36</t>
  </si>
  <si>
    <t>=P43</t>
  </si>
  <si>
    <t>=P54</t>
  </si>
  <si>
    <t>=P61</t>
  </si>
  <si>
    <t>=P72</t>
  </si>
  <si>
    <t>DT__OCC2</t>
  </si>
  <si>
    <t>1000953637</t>
  </si>
  <si>
    <t>1000953579</t>
  </si>
  <si>
    <t>ASRMDS06</t>
  </si>
  <si>
    <t>AT_04.04.02.57 VIM - PO Precontrole Issue - Process PO Invoice (PO) - Manual Posting - Euro to Euro</t>
  </si>
  <si>
    <t>AT_04.04.02.97 VIM - Qty Mismatch Standard - Request Credit Note</t>
  </si>
  <si>
    <t>AT_04.04.02.31 VIM - PO Precontrole Issue - BR10 - Invalid Vendor VAT Number (PO)</t>
  </si>
  <si>
    <t>AT_04.04.02.30 VIM - PO Precontrole Issue - BR09 - Invalid Recipien AB</t>
  </si>
  <si>
    <t>56</t>
  </si>
  <si>
    <t>45</t>
  </si>
  <si>
    <t>52</t>
  </si>
  <si>
    <t>10008769</t>
  </si>
  <si>
    <t>=P58</t>
  </si>
  <si>
    <t>=P65</t>
  </si>
  <si>
    <t>=P69</t>
  </si>
  <si>
    <t>=P83</t>
  </si>
  <si>
    <t>=P87</t>
  </si>
  <si>
    <t>=P94</t>
  </si>
  <si>
    <t>1000717116</t>
  </si>
  <si>
    <t>AI</t>
  </si>
  <si>
    <t>ASRMDLL02</t>
  </si>
  <si>
    <t>ASRMDLL06</t>
  </si>
  <si>
    <t>ASRMMI01</t>
  </si>
  <si>
    <t>ASRMMI05</t>
  </si>
  <si>
    <t>ASRMMI12</t>
  </si>
  <si>
    <t>Iovio-2222</t>
  </si>
  <si>
    <t>AT_04.04.02.42 VIM - PO Precontrole Issue - BR20 - Discount on Invoice (PO)</t>
  </si>
  <si>
    <t>AT_04.04.02.39 VIM - PO Precontrole Issue - BR17 - Balance Not Zero</t>
  </si>
  <si>
    <t>AT_04.04.02.71 VIM - PO - Standard Approval - Header level - RGD</t>
  </si>
  <si>
    <t>04.04.02.27 VIM- AB</t>
  </si>
  <si>
    <t>04.04.02.42 VIM - DLL</t>
  </si>
  <si>
    <t>Iovio001</t>
  </si>
  <si>
    <t>DT_SAPOPTIONS</t>
  </si>
  <si>
    <t>item 1</t>
  </si>
  <si>
    <t>IP-O-0606</t>
  </si>
  <si>
    <t>DT_SUPPLIER</t>
  </si>
  <si>
    <t>=P5</t>
  </si>
  <si>
    <t>=P9</t>
  </si>
  <si>
    <t>AM</t>
  </si>
  <si>
    <t>AQ</t>
  </si>
  <si>
    <t>AU</t>
  </si>
  <si>
    <t>ASRMAB04</t>
  </si>
  <si>
    <t>ASRMMI09</t>
  </si>
  <si>
    <t>Iovio2222</t>
  </si>
  <si>
    <t>AT_04.04.02.59 VIM - PO Precontrole Issue - Process PO Invoice (PO) - Manual Posting - Subsequent document</t>
  </si>
  <si>
    <t>AT_04.04.02.44 VIM - PO Precontrole Issue - BR22 - Receipt Confirmation Required (PO)</t>
  </si>
  <si>
    <t>AT_04.04.02.22 VIM - PO Precontrole Issue - BR02 - Missing Invoice</t>
  </si>
  <si>
    <t>AT_04.04.02.36 VIM - PO Precontrole Issue - BR14 - Company Code Mismatch (PO)</t>
  </si>
  <si>
    <t>04.04.02.45 VIM - DLL</t>
  </si>
  <si>
    <t>163_SRM Mass Confirmation (MI-DLL) - DLL 3rd PO</t>
  </si>
  <si>
    <t>DT_SAPSRMWDC_UI_SC_DOTC_BDID_5A27D2B3243502427A43585A602A1038V_SC_DOTC_BASICITEMS_TABLE_DESCRIPTION_EDIT_E1</t>
  </si>
  <si>
    <t>DT_SAPSRM_UNIT_EDITOR21</t>
  </si>
  <si>
    <t>=P11</t>
  </si>
  <si>
    <t>ASRMDS03</t>
  </si>
  <si>
    <t>ASRMDS10</t>
  </si>
  <si>
    <t>Iovio005</t>
  </si>
  <si>
    <t>AT_04.04.02.100 VIM-Qty Mismatch Standard_Create_confirmation</t>
  </si>
  <si>
    <t>04.04.02.53 VIM - DLL</t>
  </si>
  <si>
    <t>13</t>
  </si>
  <si>
    <t>24</t>
  </si>
  <si>
    <t>Cost Center</t>
  </si>
  <si>
    <t>DT_SAPSRM_PRICE_EDITOR2</t>
  </si>
  <si>
    <t>=P15</t>
  </si>
  <si>
    <t>=P19</t>
  </si>
  <si>
    <t>=P22</t>
  </si>
  <si>
    <t>=P26</t>
  </si>
  <si>
    <t>=P33</t>
  </si>
  <si>
    <t>=P37</t>
  </si>
  <si>
    <t>=P40</t>
  </si>
  <si>
    <t>=P44</t>
  </si>
  <si>
    <t>=P55</t>
  </si>
  <si>
    <t>=P80</t>
  </si>
  <si>
    <t>1000953794</t>
  </si>
  <si>
    <t>DT_CREATED_CART</t>
  </si>
  <si>
    <t>ASRMDS07</t>
  </si>
  <si>
    <t>Delhaize+01</t>
  </si>
  <si>
    <t>114_SRM Standard SC Free Text on Cost Cent P1</t>
  </si>
  <si>
    <t>AT_04.04.02.38 VIM - PO Precontrole Issue - BR16 - Currency Mismatch (PO)</t>
  </si>
  <si>
    <t>AT_04.04.02.39 VIM - PO Precontrole Issue - BR17 - Balance Not Zero AB</t>
  </si>
  <si>
    <t>04.04.02.56 VIM - DLL</t>
  </si>
  <si>
    <t>https://sapportal-sbx.delhaize.com/irj/portal/fiori_ad?spnego=disabled#Shell-home</t>
  </si>
  <si>
    <t>DT_SAPSRM_QUANTITY_EDITOR2</t>
  </si>
  <si>
    <t>DT_COST_CENTER</t>
  </si>
  <si>
    <t>BZ000130</t>
  </si>
  <si>
    <t>=P48</t>
  </si>
  <si>
    <t>=P66</t>
  </si>
  <si>
    <t>=P73</t>
  </si>
  <si>
    <t>=P77</t>
  </si>
  <si>
    <t>=P91</t>
  </si>
  <si>
    <t>=P95</t>
  </si>
  <si>
    <t>1000478939</t>
  </si>
  <si>
    <t>DT_SC_NAME_VERIFY</t>
  </si>
  <si>
    <t>AJ</t>
  </si>
  <si>
    <t>ASRMDLL03</t>
  </si>
  <si>
    <t>ASRMDLL07</t>
  </si>
  <si>
    <t>ASRMMI02</t>
  </si>
  <si>
    <t>ASRMMI06</t>
  </si>
  <si>
    <t>Iovio-2223</t>
  </si>
  <si>
    <t>Welcome@2024</t>
  </si>
  <si>
    <t>AT_04.04.02.56 VIM - PO Precontrole Issue - Process PO Invoice (PO) - Auto Posting - USD to USD</t>
  </si>
  <si>
    <t>AT_04.04.02.21 VIM - PO Precontrole Issue - BR01 - Invalid Company</t>
  </si>
  <si>
    <t>04.04.02.35 VIM - DLL</t>
  </si>
  <si>
    <t>04.04.02.40 VIM - DLL</t>
  </si>
  <si>
    <t>163_SRM Mass Confirmation (MI-DLL) - DLL 1st PO</t>
  </si>
  <si>
    <t>DT_SAPSRM_UI_SC_CATEGORY_ID_EDITOR11</t>
  </si>
  <si>
    <t>item 2</t>
  </si>
  <si>
    <t>GZ000025</t>
  </si>
  <si>
    <t>=P2</t>
  </si>
  <si>
    <t>=P6</t>
  </si>
  <si>
    <t>1000717662</t>
  </si>
  <si>
    <t>1000478979</t>
  </si>
  <si>
    <t>AN</t>
  </si>
  <si>
    <t>AR</t>
  </si>
  <si>
    <t>DT_INCREMENT</t>
  </si>
  <si>
    <t>DT_CREATED_CART_OUTPUT</t>
  </si>
  <si>
    <t>Column1</t>
  </si>
  <si>
    <t>ASRMAB01</t>
  </si>
  <si>
    <t>ASRMAB12</t>
  </si>
  <si>
    <t>Iovio2223</t>
  </si>
  <si>
    <t>DT_ROW</t>
  </si>
  <si>
    <t>PRE_VIM</t>
  </si>
  <si>
    <t>AT_04.04.02.52 VIM - PO Precontrole Issue - Process PO Credit Memo (PO) - Subsequent document</t>
  </si>
  <si>
    <t>AT_04.04.02.22 VIM - PO Precontrole Issue - BR02 - Missing Invoice  AB</t>
  </si>
  <si>
    <t>AT_04.04.02.24 VIM - PO Precontrole Issue - BR04 - Invalid Vendor (PO) AB</t>
  </si>
  <si>
    <t>04.04.02.43 VIM - DLL</t>
  </si>
  <si>
    <t>Generic PO Creation - DLL</t>
  </si>
  <si>
    <t>Iovio002</t>
  </si>
  <si>
    <t>itm%space%</t>
  </si>
  <si>
    <t>DT_SAPSRM_UNIT_EDITOR11</t>
  </si>
  <si>
    <t>10015279</t>
  </si>
  <si>
    <t>=P12</t>
  </si>
  <si>
    <t>1000953631</t>
  </si>
  <si>
    <t>AV</t>
  </si>
  <si>
    <t>ASRMAB05</t>
  </si>
  <si>
    <t>ASRMAB09</t>
  </si>
  <si>
    <t>ASRMDS11</t>
  </si>
  <si>
    <t>AT_04.04.02.38 VIM - PO Precontrole Issue - BR16 - Currency Mismatch (PO) AB</t>
  </si>
  <si>
    <t>asrmab01</t>
  </si>
  <si>
    <t>DT_NUMBER</t>
  </si>
  <si>
    <t>25</t>
  </si>
  <si>
    <t>DT_SAPSRM_UI_SC_QUANTITY_EDITOR1</t>
  </si>
  <si>
    <t>10</t>
  </si>
  <si>
    <t>100</t>
  </si>
  <si>
    <t>=P16</t>
  </si>
  <si>
    <t>=P23</t>
  </si>
  <si>
    <t>=P27</t>
  </si>
  <si>
    <t>=P30</t>
  </si>
  <si>
    <t>=P34</t>
  </si>
  <si>
    <t>=P38</t>
  </si>
  <si>
    <t>=P41</t>
  </si>
  <si>
    <t>=P45</t>
  </si>
  <si>
    <t>=P52</t>
  </si>
  <si>
    <t>=P63</t>
  </si>
  <si>
    <t>=P70</t>
  </si>
  <si>
    <t>1000953795</t>
  </si>
  <si>
    <t>1000953577</t>
  </si>
  <si>
    <t>DT_CHECKED_CART</t>
  </si>
  <si>
    <t>ASRMDS04</t>
  </si>
  <si>
    <t>ASRMDS08</t>
  </si>
  <si>
    <t>AT_04.04.02.30 VIM - PO Precontrole Issue - BR09 - Invalid Recipien</t>
  </si>
  <si>
    <t>AT_04.04.02.40 VIM - PO Precontrole Issue - BR18 - Invalid Tax Info (PO)</t>
  </si>
  <si>
    <t>04.04.02.40 VIM- AB</t>
  </si>
  <si>
    <t>DT_SAPPASSWORD</t>
  </si>
  <si>
    <t>29</t>
  </si>
  <si>
    <t>36</t>
  </si>
  <si>
    <t>=P49</t>
  </si>
  <si>
    <t>=P67</t>
  </si>
  <si>
    <t>=P85</t>
  </si>
  <si>
    <t>=P89</t>
  </si>
  <si>
    <t>=P92</t>
  </si>
  <si>
    <t>1000478954</t>
  </si>
  <si>
    <t>1000478823</t>
  </si>
  <si>
    <t>1000717136</t>
  </si>
  <si>
    <t>AK</t>
  </si>
  <si>
    <t>ASRMDLL04</t>
  </si>
  <si>
    <t>ASRMDLL08</t>
  </si>
  <si>
    <t>ASRMMI03</t>
  </si>
  <si>
    <t>ASRMMI07</t>
  </si>
  <si>
    <t>Welcome@2025</t>
  </si>
  <si>
    <t>04.04.02.27 VIM - PO Precontrole Issue - BR06 - Suspected Dupli</t>
  </si>
  <si>
    <t>04.04.02.25 VIM - DLL</t>
  </si>
  <si>
    <t>04.04.02.31 VIM - PO Precontrole Issue - AB</t>
  </si>
  <si>
    <t>04.04.02.31 VIM - PO Precontrole Issue - DLL</t>
  </si>
  <si>
    <t>Check SRM SBX</t>
  </si>
  <si>
    <t>DT_SAPUSER</t>
  </si>
  <si>
    <t>Iovio2020</t>
  </si>
  <si>
    <t>2</t>
  </si>
  <si>
    <t>20040201B</t>
  </si>
  <si>
    <t>ea</t>
  </si>
  <si>
    <t>10012864</t>
  </si>
  <si>
    <t>=P3</t>
  </si>
  <si>
    <t>=P7</t>
  </si>
  <si>
    <t>DT_SC_NUMBER</t>
  </si>
  <si>
    <t>1000478965</t>
  </si>
  <si>
    <t>1000478958</t>
  </si>
  <si>
    <t>S:\TestAssets\DLL\Dummy.txt</t>
  </si>
  <si>
    <t>AO</t>
  </si>
  <si>
    <t>AS</t>
  </si>
  <si>
    <t>Shopping cart "IP01_DLL_Create_SC_FreeText_Approval_471" with number 1002065755 ordered successfully</t>
  </si>
  <si>
    <t>ASRMAB02</t>
  </si>
  <si>
    <t>Column2</t>
  </si>
  <si>
    <t>Delh2021</t>
  </si>
  <si>
    <t>AT_04.04.02.60 VIM - PO Precontrole Issue - Process PO Invoice (PO) - Manual Posting - USD to USD</t>
  </si>
  <si>
    <t>AT_04.04.02.23 VIM - PO Precontrole Issue - BR03 - Missing Vendor Invoice Reference (PO)</t>
  </si>
  <si>
    <t>AT_04.04.02.37 VIM - PO Precontrole Issue - BR15 - Vendor Mismatch (PO)</t>
  </si>
  <si>
    <t>AT_04.04.02.37 VIM - PO Precontrole Issue - BR15 - Vendor Mismatch (PO) AB</t>
  </si>
  <si>
    <t>04.04.02.33 VIM - DLL</t>
  </si>
  <si>
    <t>163_SRM Mass Confirmation (MI-DLL) - DLL 2nd PO</t>
  </si>
  <si>
    <t>asrmdll04</t>
  </si>
  <si>
    <t>DT__OCC1</t>
  </si>
  <si>
    <t>=P20</t>
  </si>
  <si>
    <t>1000479006</t>
  </si>
  <si>
    <t>DT_STESTASSETSDLLDUMMYTXT</t>
  </si>
  <si>
    <t>ASRMAB06</t>
  </si>
  <si>
    <t>ASRMDS01</t>
  </si>
  <si>
    <t>Iovio1111</t>
  </si>
</sst>
</file>

<file path=xl/styles.xml><?xml version="1.0" encoding="utf-8"?>
<styleSheet xmlns="http://schemas.openxmlformats.org/spreadsheetml/2006/main">
  <numFmts count="0"/>
  <fonts count="2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u/>
      <sz val="11"/>
      <color theme="10"/>
      <name val="Mic Shell Dlg"/>
      <charset val="1"/>
    </font>
    <font>
      <sz val="9"/>
      <color rgb="FF000000"/>
      <name val="Arial"/>
      <family val="2"/>
    </font>
    <font>
      <u/>
      <sz val="11"/>
      <color indexed="3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1" xfId="0" applyBorder="1" applyProtection="1">
      <protection locked="0"/>
    </xf>
    <xf numFmtId="0" fontId="2" fillId="2" borderId="1" xfId="0" applyNumberFormat="1" applyFill="1" applyBorder="1" applyProtection="1">
      <protection locked="0"/>
    </xf>
    <xf numFmtId="49" fontId="2" fillId="2" borderId="1" xfId="0" applyNumberFormat="1" applyFill="1" applyBorder="1" applyProtection="1">
      <protection locked="0"/>
    </xf>
    <xf numFmtId="0" fontId="2" fillId="0" borderId="1" xfId="0" applyNumberFormat="1" applyBorder="1" applyProtection="1">
      <protection locked="0"/>
    </xf>
    <xf numFmtId="49" fontId="2" fillId="3" borderId="1" xfId="0" applyNumberFormat="1" applyFill="1" applyBorder="1" applyProtection="1">
      <protection locked="0"/>
    </xf>
    <xf numFmtId="0" fontId="2" fillId="3" borderId="1" xfId="0" applyNumberFormat="1" applyFill="1" applyBorder="1" applyProtection="1">
      <protection locked="0"/>
    </xf>
    <xf numFmtId="49" fontId="2" fillId="0" borderId="1" xfId="0" applyNumberFormat="1" applyBorder="1" applyProtection="1">
      <protection locked="0"/>
    </xf>
    <xf numFmtId="49" fontId="2" fillId="2" borderId="1" xfId="0" applyNumberFormat="1" applyFont="1" applyFill="1" applyBorder="1" applyProtection="1">
      <protection locked="0"/>
    </xf>
    <xf numFmtId="49" fontId="2" fillId="4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0" borderId="0" xfId="0" applyBorder="1" applyProtection="1">
      <protection locked="0"/>
    </xf>
    <xf numFmtId="0" fontId="3" fillId="5" borderId="1" xfId="0" applyFont="1" applyFill="1" applyBorder="1" applyProtection="1">
      <protection locked="0"/>
    </xf>
    <xf numFmtId="49" fontId="2" fillId="0" borderId="1" xfId="0" applyNumberFormat="1" applyFont="1" applyBorder="1" applyProtection="1">
      <protection locked="0"/>
    </xf>
    <xf numFmtId="0" fontId="2" fillId="6" borderId="1" xfId="0" applyNumberFormat="1" applyFill="1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2" fillId="0" borderId="2" xfId="0" applyNumberFormat="1" applyBorder="1" applyProtection="1">
      <protection locked="0"/>
    </xf>
    <xf numFmtId="0" fontId="4" fillId="3" borderId="1" xfId="1" applyNumberFormat="1" applyFill="1" applyBorder="1" applyProtection="1">
      <protection locked="0"/>
    </xf>
    <xf numFmtId="0" fontId="2" fillId="0" borderId="2" xfId="0" applyBorder="1" applyProtection="1">
      <protection locked="0"/>
    </xf>
    <xf numFmtId="0" fontId="2" fillId="6" borderId="1" xfId="0" applyFill="1" applyBorder="1" applyProtection="1">
      <protection locked="0"/>
    </xf>
    <xf numFmtId="0" fontId="2" fillId="0" borderId="1" xfId="0" applyBorder="1" applyAlignment="1" applyProtection="1">
      <alignment wrapText="1"/>
      <protection locked="0"/>
    </xf>
    <xf numFmtId="0" fontId="2" fillId="5" borderId="1" xfId="0" applyFill="1" applyBorder="1" applyProtection="1">
      <protection locked="0"/>
    </xf>
    <xf numFmtId="49" fontId="2" fillId="2" borderId="1" xfId="0" applyNumberFormat="1" applyFill="1" applyBorder="1" applyAlignment="1" applyProtection="1">
      <alignment wrapText="1"/>
      <protection locked="0"/>
    </xf>
    <xf numFmtId="0" fontId="5" fillId="0" borderId="2" xfId="0" applyFont="1" applyBorder="1" applyProtection="1">
      <protection locked="0"/>
    </xf>
    <xf numFmtId="0" fontId="2" fillId="4" borderId="1" xfId="0" applyNumberFormat="1" applyFill="1" applyBorder="1" applyProtection="1">
      <protection locked="0"/>
    </xf>
    <xf numFmtId="0" fontId="2" fillId="7" borderId="1" xfId="0" applyNumberFormat="1" applyFill="1" applyBorder="1" applyProtection="1">
      <protection locked="0"/>
    </xf>
    <xf numFmtId="0" fontId="2" fillId="0" borderId="0" xfId="0" applyNumberFormat="1" applyBorder="1" applyProtection="1">
      <protection locked="0"/>
    </xf>
    <xf numFmtId="49" fontId="2" fillId="3" borderId="1" xfId="0" applyNumberFormat="1" applyFont="1" applyFill="1" applyBorder="1" applyProtection="1">
      <protection locked="0"/>
    </xf>
    <xf numFmtId="0" fontId="6" fillId="3" borderId="1" xfId="0" applyNumberFormat="1" applyFon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2" fillId="2" borderId="1" xfId="0" applyFill="1" applyBorder="1" applyProtection="1">
      <protection locked="0"/>
    </xf>
    <xf numFmtId="49" fontId="2" fillId="7" borderId="1" xfId="0" applyNumberFormat="1" applyFill="1" applyBorder="1" applyProtection="1"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3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LL\FICO\TASE_DT_114_SRM%20Standard%20SC%20Free%20Text%20on%20Cost%20Cent%20P1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  <sheetName val="user_passwords_srm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Welcome@2022" TargetMode="External" /><Relationship Id="rId2" Type="http://schemas.openxmlformats.org/officeDocument/2006/relationships/hyperlink" Target="https://sapportal-pre.delhaize.com/irj/portal/fiori_ad?spnego=disabled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S105"/>
  <sheetViews>
    <sheetView zoomScale="90" workbookViewId="0">
      <selection activeCell="A2" sqref="A2"/>
    </sheetView>
  </sheetViews>
  <sheetFormatPr defaultColWidth="16.25" defaultRowHeight="14.25"/>
  <cols>
    <col min="1" max="1" width="16.25" style="11" customWidth="1"/>
    <col min="2" max="2" width="48.5" style="11" customWidth="1"/>
    <col min="3" max="3" width="71.375" style="11" customWidth="1"/>
    <col min="4" max="4" width="16.25" style="11" customWidth="1"/>
    <col min="5" max="5" width="19.375" style="11" customWidth="1"/>
    <col min="6" max="6" width="17" style="11" customWidth="1"/>
    <col min="7" max="7" width="41" style="11" customWidth="1"/>
    <col min="8" max="8" width="16.25" style="11" customWidth="1"/>
    <col min="9" max="9" width="129.125" style="11" customWidth="1"/>
    <col min="10" max="10" width="39.125" style="11" customWidth="1"/>
    <col min="11" max="11" width="44.375" style="11" customWidth="1"/>
    <col min="12" max="12" width="39.125" style="11" customWidth="1"/>
    <col min="13" max="13" width="27.875" style="11" customWidth="1"/>
    <col min="14" max="14" width="28" style="11" customWidth="1"/>
    <col min="15" max="16" width="16.25" style="11" customWidth="1"/>
    <col min="17" max="17" width="34" style="11" customWidth="1"/>
    <col min="18" max="18" width="36.375" style="11" customWidth="1"/>
    <col min="19" max="19" width="32.375" style="11" customWidth="1"/>
    <col min="20" max="20" width="27.5" style="11" customWidth="1"/>
    <col min="21" max="21" width="28.25" style="11" customWidth="1"/>
    <col min="22" max="22" width="16.25" style="11" customWidth="1"/>
    <col min="23" max="23" width="18.875" style="11" customWidth="1"/>
    <col min="24" max="24" width="20.75" style="11" customWidth="1"/>
    <col min="25" max="25" width="16.25" style="11" customWidth="1"/>
    <col min="26" max="26" width="17" style="11" customWidth="1"/>
    <col min="27" max="27" width="41" style="11" customWidth="1"/>
    <col min="28" max="28" width="33" style="11" customWidth="1"/>
    <col min="29" max="29" width="34.875" style="11" customWidth="1"/>
    <col min="30" max="30" width="108.875" style="11" customWidth="1"/>
    <col min="31" max="16384" width="16.25" style="11" customWidth="1"/>
  </cols>
  <sheetData>
    <row r="1" ht="12.75" customHeight="1" customFormat="1">
      <c r="A1" t="s">
        <v>216</v>
      </c>
      <c r="B1" t="s">
        <v>48</v>
      </c>
      <c r="C1" t="s">
        <v>55</v>
      </c>
      <c r="D1" t="s">
        <v>281</v>
      </c>
      <c r="E1" t="s">
        <v>259</v>
      </c>
      <c r="F1" t="s">
        <v>129</v>
      </c>
      <c r="G1" t="s">
        <v>31</v>
      </c>
      <c r="H1" t="s">
        <v>235</v>
      </c>
      <c r="I1" t="s">
        <v>147</v>
      </c>
      <c r="J1" t="s">
        <v>70</v>
      </c>
      <c r="K1" t="s">
        <v>201</v>
      </c>
      <c r="L1" t="s">
        <v>237</v>
      </c>
      <c r="M1" t="s">
        <v>225</v>
      </c>
      <c r="N1" t="s">
        <v>71</v>
      </c>
      <c r="O1" t="s">
        <v>72</v>
      </c>
      <c r="P1" t="s">
        <v>132</v>
      </c>
      <c r="Q1" t="s">
        <v>8</v>
      </c>
      <c r="R1" t="s">
        <v>9</v>
      </c>
      <c r="S1" t="s">
        <v>178</v>
      </c>
      <c r="T1" t="s">
        <v>148</v>
      </c>
      <c r="U1" t="s">
        <v>158</v>
      </c>
      <c r="V1" t="s">
        <v>306</v>
      </c>
      <c r="W1" t="s">
        <v>179</v>
      </c>
      <c r="X1" t="s">
        <v>36</v>
      </c>
      <c r="Y1" t="s">
        <v>97</v>
      </c>
      <c r="Z1" t="s">
        <v>289</v>
      </c>
      <c r="AA1" t="s">
        <v>188</v>
      </c>
      <c r="AB1" t="s">
        <v>309</v>
      </c>
      <c r="AC1" t="s">
        <v>253</v>
      </c>
      <c r="AD1" t="s">
        <v>170</v>
      </c>
      <c r="AE1" t="s">
        <v>116</v>
      </c>
      <c r="AF1" t="s">
        <v>189</v>
      </c>
      <c r="AG1" t="s">
        <v>270</v>
      </c>
      <c r="AH1" t="s">
        <v>44</v>
      </c>
      <c r="AI1" t="s">
        <v>135</v>
      </c>
      <c r="AJ1" t="s">
        <v>208</v>
      </c>
      <c r="AK1" t="s">
        <v>293</v>
      </c>
      <c r="AL1" t="s">
        <v>61</v>
      </c>
      <c r="AM1" t="s">
        <v>136</v>
      </c>
      <c r="AN1" t="s">
        <v>209</v>
      </c>
      <c r="AO1" t="s">
        <v>294</v>
      </c>
      <c r="AP1" t="s">
        <v>62</v>
      </c>
      <c r="AQ1" t="s">
        <v>137</v>
      </c>
      <c r="AR1" t="s">
        <v>229</v>
      </c>
      <c r="AS1" t="s">
        <v>210</v>
      </c>
    </row>
    <row r="2">
      <c r="A2" s="1">
        <v>2</v>
      </c>
      <c r="B2" s="1" t="s">
        <v>173</v>
      </c>
      <c r="C2" s="17" t="s">
        <v>3</v>
      </c>
      <c r="D2" s="5" t="s">
        <v>4</v>
      </c>
      <c r="E2" s="17" t="e">
        <f>[1]user_passwords_srm!B11</f>
        <v>#REF!</v>
      </c>
      <c r="F2" s="5" t="s">
        <v>6</v>
      </c>
      <c r="G2" s="2" t="str">
        <f>"IP01_DLL_Create_SC_FreeText_Approval_"&amp;H2</f>
        <v>IP01_DLL_Create_SC_FreeText_Approval_472</v>
      </c>
      <c r="H2" s="3">
        <v>472</v>
      </c>
      <c r="I2" s="7" t="s">
        <v>224</v>
      </c>
      <c r="J2" s="2" t="s">
        <v>130</v>
      </c>
      <c r="K2" s="2" t="s">
        <v>284</v>
      </c>
      <c r="L2" s="3" t="s">
        <v>238</v>
      </c>
      <c r="M2" s="3" t="s">
        <v>285</v>
      </c>
      <c r="N2" s="3" t="s">
        <v>239</v>
      </c>
      <c r="O2" s="3" t="s">
        <v>157</v>
      </c>
      <c r="P2" s="3" t="s">
        <v>85</v>
      </c>
      <c r="Q2" s="3" t="s">
        <v>202</v>
      </c>
      <c r="R2" s="3" t="s">
        <v>284</v>
      </c>
      <c r="S2" s="3" t="s">
        <v>238</v>
      </c>
      <c r="T2" s="3" t="s">
        <v>285</v>
      </c>
      <c r="U2" s="3" t="s">
        <v>239</v>
      </c>
      <c r="V2" s="3" t="s">
        <v>157</v>
      </c>
      <c r="W2" s="8" t="s">
        <v>35</v>
      </c>
      <c r="X2" s="9" t="s">
        <v>204</v>
      </c>
      <c r="Y2" s="4" t="e">
        <f>[1]Output!C2</f>
        <v>#REF!</v>
      </c>
      <c r="Z2" s="25" t="e">
        <f>MID(Y2,LEN(G2)+30,10)</f>
        <v>#REF!</v>
      </c>
      <c r="AA2" s="12" t="str">
        <f t="shared" si="0" ref="AA2:AA98">G2</f>
        <v>IP01_DLL_Create_SC_FreeText_Approval_472</v>
      </c>
      <c r="AB2" s="30" t="s">
        <v>292</v>
      </c>
      <c r="AC2" s="12" t="e">
        <f t="shared" si="1" ref="AC2:AC95">"Shopping cart "&amp;Z2&amp;" has no errors"</f>
        <v>#REF!</v>
      </c>
      <c r="AD2" s="12" t="e">
        <f t="shared" si="2" ref="AD2:AD95">"Shopping cart %quote%"&amp;G2&amp;"%quote% with number "&amp;Z2&amp;" ordered successfully"</f>
        <v>#REF!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8">
        <v>40</v>
      </c>
    </row>
    <row r="3">
      <c r="A3" s="1">
        <v>3</v>
      </c>
      <c r="B3" s="1" t="s">
        <v>173</v>
      </c>
      <c r="C3" s="28" t="s">
        <v>3</v>
      </c>
      <c r="D3" s="6" t="s">
        <v>30</v>
      </c>
      <c r="E3" s="5" t="s">
        <v>5</v>
      </c>
      <c r="F3" s="5" t="s">
        <v>6</v>
      </c>
      <c r="G3" s="2" t="str">
        <f>"IP01_AB_Create_SC_FreeText_Approval_"&amp;H3</f>
        <v>IP01_AB_Create_SC_FreeText_Approval_56</v>
      </c>
      <c r="H3" s="3" t="s">
        <v>105</v>
      </c>
      <c r="I3" s="7" t="s">
        <v>224</v>
      </c>
      <c r="J3" s="3" t="s">
        <v>130</v>
      </c>
      <c r="K3" s="3" t="s">
        <v>131</v>
      </c>
      <c r="L3" s="3" t="s">
        <v>238</v>
      </c>
      <c r="M3" s="3" t="s">
        <v>285</v>
      </c>
      <c r="N3" s="3" t="s">
        <v>239</v>
      </c>
      <c r="O3" s="3" t="s">
        <v>157</v>
      </c>
      <c r="P3" s="3" t="s">
        <v>7</v>
      </c>
      <c r="Q3" s="3" t="s">
        <v>202</v>
      </c>
      <c r="R3" s="3" t="s">
        <v>131</v>
      </c>
      <c r="S3" s="3" t="s">
        <v>238</v>
      </c>
      <c r="T3" s="3" t="s">
        <v>285</v>
      </c>
      <c r="U3" s="3" t="s">
        <v>239</v>
      </c>
      <c r="V3" s="3" t="s">
        <v>157</v>
      </c>
      <c r="W3" s="3" t="s">
        <v>203</v>
      </c>
      <c r="X3" s="9" t="s">
        <v>287</v>
      </c>
      <c r="Y3" s="7" t="s">
        <v>6</v>
      </c>
      <c r="Z3" s="31" t="s">
        <v>59</v>
      </c>
      <c r="AA3" s="12" t="str">
        <f t="shared" si="0"/>
        <v>IP01_AB_Create_SC_FreeText_Approval_56</v>
      </c>
      <c r="AB3" s="30" t="s">
        <v>292</v>
      </c>
      <c r="AC3" s="12" t="str">
        <f t="shared" si="1"/>
        <v>Shopping cart 1000478875 has no errors</v>
      </c>
      <c r="AD3" s="12" t="str">
        <f t="shared" si="2"/>
        <v>Shopping cart %quote%IP01_AB_Create_SC_FreeText_Approval_56%quote% with number 1000478875 ordered successfully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8"/>
    </row>
    <row r="4">
      <c r="A4" s="1">
        <v>4</v>
      </c>
      <c r="B4" s="29" t="s">
        <v>217</v>
      </c>
      <c r="C4" s="28" t="s">
        <v>3</v>
      </c>
      <c r="D4" s="5" t="s">
        <v>67</v>
      </c>
      <c r="E4" s="5" t="s">
        <v>223</v>
      </c>
      <c r="F4" s="27" t="s">
        <v>6</v>
      </c>
      <c r="G4" s="2" t="str">
        <f>"Pre_VIM_"&amp;H4</f>
        <v>Pre_VIM_29</v>
      </c>
      <c r="H4" s="8" t="s">
        <v>260</v>
      </c>
      <c r="I4" s="13" t="s">
        <v>224</v>
      </c>
      <c r="J4" s="8" t="s">
        <v>130</v>
      </c>
      <c r="K4" s="8" t="s">
        <v>34</v>
      </c>
      <c r="L4" s="8" t="s">
        <v>238</v>
      </c>
      <c r="M4" s="8" t="s">
        <v>285</v>
      </c>
      <c r="N4" s="8" t="s">
        <v>239</v>
      </c>
      <c r="O4" s="8" t="s">
        <v>157</v>
      </c>
      <c r="P4" s="3" t="s">
        <v>286</v>
      </c>
      <c r="Q4" s="8" t="s">
        <v>202</v>
      </c>
      <c r="R4" s="8" t="s">
        <v>34</v>
      </c>
      <c r="S4" s="8" t="s">
        <v>238</v>
      </c>
      <c r="T4" s="8" t="s">
        <v>285</v>
      </c>
      <c r="U4" s="8" t="s">
        <v>239</v>
      </c>
      <c r="V4" s="8" t="s">
        <v>157</v>
      </c>
      <c r="W4" s="8" t="s">
        <v>35</v>
      </c>
      <c r="X4" s="9" t="s">
        <v>57</v>
      </c>
      <c r="Y4" s="13" t="s">
        <v>6</v>
      </c>
      <c r="Z4" s="31" t="s">
        <v>42</v>
      </c>
      <c r="AA4" s="12" t="str">
        <f t="shared" si="0"/>
        <v>Pre_VIM_29</v>
      </c>
      <c r="AB4" s="30" t="s">
        <v>292</v>
      </c>
      <c r="AC4" s="12" t="str">
        <f t="shared" si="1"/>
        <v>Shopping cart 1000010858 has no errors</v>
      </c>
      <c r="AD4" s="12" t="str">
        <f t="shared" si="2"/>
        <v>Shopping cart %quote%Pre_VIM_29%quote% with number 1000010858 ordered successfully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8"/>
    </row>
    <row r="5">
      <c r="A5" s="1">
        <v>5</v>
      </c>
      <c r="B5" s="1" t="s">
        <v>173</v>
      </c>
      <c r="C5" s="28" t="s">
        <v>3</v>
      </c>
      <c r="D5" s="5" t="s">
        <v>30</v>
      </c>
      <c r="E5" s="5" t="s">
        <v>5</v>
      </c>
      <c r="F5" s="5" t="s">
        <v>6</v>
      </c>
      <c r="G5" s="2" t="str">
        <f t="shared" si="3" ref="G5:G12">"IP01_DLL_Create_SC_FreeText_Approval_"&amp;H5</f>
        <v>IP01_DLL_Create_SC_FreeText_Approval_36</v>
      </c>
      <c r="H5" s="3" t="s">
        <v>261</v>
      </c>
      <c r="I5" s="7" t="s">
        <v>224</v>
      </c>
      <c r="J5" s="3" t="s">
        <v>130</v>
      </c>
      <c r="K5" s="3" t="s">
        <v>34</v>
      </c>
      <c r="L5" s="3" t="s">
        <v>238</v>
      </c>
      <c r="M5" s="3" t="s">
        <v>285</v>
      </c>
      <c r="N5" s="3" t="s">
        <v>239</v>
      </c>
      <c r="O5" s="3" t="s">
        <v>157</v>
      </c>
      <c r="P5" s="3" t="s">
        <v>108</v>
      </c>
      <c r="Q5" s="3" t="s">
        <v>202</v>
      </c>
      <c r="R5" s="3" t="s">
        <v>34</v>
      </c>
      <c r="S5" s="3" t="s">
        <v>238</v>
      </c>
      <c r="T5" s="3" t="s">
        <v>285</v>
      </c>
      <c r="U5" s="3" t="s">
        <v>239</v>
      </c>
      <c r="V5" s="3" t="s">
        <v>157</v>
      </c>
      <c r="W5" s="3" t="s">
        <v>35</v>
      </c>
      <c r="X5" s="9" t="s">
        <v>133</v>
      </c>
      <c r="Y5" s="7" t="s">
        <v>6</v>
      </c>
      <c r="Z5" s="31"/>
      <c r="AA5" s="12" t="str">
        <f t="shared" si="0"/>
        <v>IP01_DLL_Create_SC_FreeText_Approval_36</v>
      </c>
      <c r="AB5" s="30" t="s">
        <v>292</v>
      </c>
      <c r="AC5" s="12" t="str">
        <f t="shared" si="1"/>
        <v>Shopping cart  has no errors</v>
      </c>
      <c r="AD5" s="12" t="str">
        <f t="shared" si="2"/>
        <v>Shopping cart %quote%IP01_DLL_Create_SC_FreeText_Approval_36%quote% with number  ordered successfully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8"/>
    </row>
    <row r="6">
      <c r="A6" s="1">
        <v>6</v>
      </c>
      <c r="B6" s="1" t="s">
        <v>173</v>
      </c>
      <c r="C6" s="28" t="s">
        <v>3</v>
      </c>
      <c r="D6" s="5" t="s">
        <v>30</v>
      </c>
      <c r="E6" s="5" t="s">
        <v>5</v>
      </c>
      <c r="F6" s="5" t="s">
        <v>6</v>
      </c>
      <c r="G6" s="2" t="str">
        <f t="shared" si="3"/>
        <v>IP01_DLL_Create_SC_FreeText_Approval_131</v>
      </c>
      <c r="H6" s="3" t="s">
        <v>83</v>
      </c>
      <c r="I6" s="7" t="s">
        <v>224</v>
      </c>
      <c r="J6" s="3" t="s">
        <v>130</v>
      </c>
      <c r="K6" s="3" t="s">
        <v>34</v>
      </c>
      <c r="L6" s="3" t="s">
        <v>238</v>
      </c>
      <c r="M6" s="3" t="s">
        <v>285</v>
      </c>
      <c r="N6" s="3" t="s">
        <v>239</v>
      </c>
      <c r="O6" s="3" t="s">
        <v>157</v>
      </c>
      <c r="P6" s="15" t="s">
        <v>286</v>
      </c>
      <c r="Q6" s="3" t="s">
        <v>202</v>
      </c>
      <c r="R6" s="3" t="s">
        <v>34</v>
      </c>
      <c r="S6" s="3" t="s">
        <v>238</v>
      </c>
      <c r="T6" s="3" t="s">
        <v>285</v>
      </c>
      <c r="U6" s="3" t="s">
        <v>239</v>
      </c>
      <c r="V6" s="3" t="s">
        <v>157</v>
      </c>
      <c r="W6" s="3" t="s">
        <v>35</v>
      </c>
      <c r="X6" s="9" t="s">
        <v>205</v>
      </c>
      <c r="Y6" s="7" t="s">
        <v>6</v>
      </c>
      <c r="Z6" s="31" t="s">
        <v>206</v>
      </c>
      <c r="AA6" s="12" t="str">
        <f t="shared" si="0"/>
        <v>IP01_DLL_Create_SC_FreeText_Approval_131</v>
      </c>
      <c r="AB6" s="30" t="s">
        <v>292</v>
      </c>
      <c r="AC6" s="12" t="str">
        <f t="shared" si="1"/>
        <v>Shopping cart 1000717662 has no errors</v>
      </c>
      <c r="AD6" s="12" t="str">
        <f t="shared" si="2"/>
        <v>Shopping cart %quote%IP01_DLL_Create_SC_FreeText_Approval_131%quote% with number 1000717662 ordered successfully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8"/>
    </row>
    <row r="7" s="26" customFormat="1">
      <c r="A7" s="1">
        <v>7</v>
      </c>
      <c r="B7" s="14" t="s">
        <v>218</v>
      </c>
      <c r="C7" s="28" t="s">
        <v>3</v>
      </c>
      <c r="D7" s="6" t="s">
        <v>67</v>
      </c>
      <c r="E7" s="5" t="s">
        <v>223</v>
      </c>
      <c r="F7" s="6" t="s">
        <v>6</v>
      </c>
      <c r="G7" s="2" t="str">
        <f t="shared" si="3"/>
        <v>IP01_DLL_Create_SC_FreeText_Approval_67</v>
      </c>
      <c r="H7" s="2">
        <v>67</v>
      </c>
      <c r="I7" s="4" t="s">
        <v>224</v>
      </c>
      <c r="J7" s="2" t="s">
        <v>130</v>
      </c>
      <c r="K7" s="2" t="s">
        <v>34</v>
      </c>
      <c r="L7" s="2" t="s">
        <v>238</v>
      </c>
      <c r="M7" s="2" t="s">
        <v>285</v>
      </c>
      <c r="N7" s="2" t="s">
        <v>239</v>
      </c>
      <c r="O7" s="2" t="s">
        <v>157</v>
      </c>
      <c r="P7" s="15" t="s">
        <v>286</v>
      </c>
      <c r="Q7" s="2" t="s">
        <v>202</v>
      </c>
      <c r="R7" s="2" t="s">
        <v>34</v>
      </c>
      <c r="S7" s="2" t="s">
        <v>238</v>
      </c>
      <c r="T7" s="2" t="s">
        <v>285</v>
      </c>
      <c r="U7" s="2" t="s">
        <v>239</v>
      </c>
      <c r="V7" s="2" t="s">
        <v>157</v>
      </c>
      <c r="W7" s="3" t="s">
        <v>35</v>
      </c>
      <c r="X7" s="9" t="s">
        <v>288</v>
      </c>
      <c r="Y7" s="4" t="s">
        <v>6</v>
      </c>
      <c r="Z7" s="31"/>
      <c r="AA7" s="12" t="str">
        <f t="shared" si="0"/>
        <v>IP01_DLL_Create_SC_FreeText_Approval_67</v>
      </c>
      <c r="AB7" s="30" t="s">
        <v>292</v>
      </c>
      <c r="AC7" s="12" t="str">
        <f t="shared" si="1"/>
        <v>Shopping cart  has no errors</v>
      </c>
      <c r="AD7" s="12" t="str">
        <f t="shared" si="2"/>
        <v>Shopping cart %quote%IP01_DLL_Create_SC_FreeText_Approval_67%quote% with number  ordered successfully</v>
      </c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16"/>
    </row>
    <row r="8" s="26" customFormat="1">
      <c r="A8" s="1">
        <v>8</v>
      </c>
      <c r="B8" s="19" t="s">
        <v>0</v>
      </c>
      <c r="C8" s="28" t="s">
        <v>3</v>
      </c>
      <c r="D8" s="6" t="s">
        <v>67</v>
      </c>
      <c r="E8" s="5" t="s">
        <v>223</v>
      </c>
      <c r="F8" s="6" t="s">
        <v>6</v>
      </c>
      <c r="G8" s="2" t="str">
        <f t="shared" si="3"/>
        <v>IP01_DLL_Create_SC_FreeText_Approval_65</v>
      </c>
      <c r="H8" s="2">
        <v>65</v>
      </c>
      <c r="I8" s="4" t="s">
        <v>224</v>
      </c>
      <c r="J8" s="2" t="s">
        <v>130</v>
      </c>
      <c r="K8" s="2" t="s">
        <v>34</v>
      </c>
      <c r="L8" s="2" t="s">
        <v>238</v>
      </c>
      <c r="M8" s="2" t="s">
        <v>285</v>
      </c>
      <c r="N8" s="2" t="s">
        <v>239</v>
      </c>
      <c r="O8" s="2" t="s">
        <v>157</v>
      </c>
      <c r="P8" s="15" t="s">
        <v>286</v>
      </c>
      <c r="Q8" s="2" t="s">
        <v>202</v>
      </c>
      <c r="R8" s="2" t="s">
        <v>34</v>
      </c>
      <c r="S8" s="2" t="s">
        <v>238</v>
      </c>
      <c r="T8" s="2" t="s">
        <v>285</v>
      </c>
      <c r="U8" s="2" t="s">
        <v>239</v>
      </c>
      <c r="V8" s="2" t="s">
        <v>157</v>
      </c>
      <c r="W8" s="3" t="s">
        <v>35</v>
      </c>
      <c r="X8" s="9" t="s">
        <v>58</v>
      </c>
      <c r="Y8" s="4" t="s">
        <v>6</v>
      </c>
      <c r="Z8" s="31"/>
      <c r="AA8" s="12" t="str">
        <f t="shared" si="0"/>
        <v>IP01_DLL_Create_SC_FreeText_Approval_65</v>
      </c>
      <c r="AB8" s="30" t="s">
        <v>292</v>
      </c>
      <c r="AC8" s="12" t="str">
        <f t="shared" si="1"/>
        <v>Shopping cart  has no errors</v>
      </c>
      <c r="AD8" s="12" t="str">
        <f t="shared" si="2"/>
        <v>Shopping cart %quote%IP01_DLL_Create_SC_FreeText_Approval_65%quote% with number  ordered successfully</v>
      </c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16"/>
    </row>
    <row r="9">
      <c r="A9" s="1">
        <v>9</v>
      </c>
      <c r="B9" s="19" t="s">
        <v>77</v>
      </c>
      <c r="C9" s="28" t="s">
        <v>3</v>
      </c>
      <c r="D9" s="6" t="s">
        <v>67</v>
      </c>
      <c r="E9" s="5" t="s">
        <v>223</v>
      </c>
      <c r="F9" s="6" t="s">
        <v>6</v>
      </c>
      <c r="G9" s="2" t="str">
        <f t="shared" si="3"/>
        <v>IP01_DLL_Create_SC_FreeText_Approval_62</v>
      </c>
      <c r="H9" s="2">
        <v>62</v>
      </c>
      <c r="I9" s="4" t="s">
        <v>224</v>
      </c>
      <c r="J9" s="2" t="s">
        <v>130</v>
      </c>
      <c r="K9" s="2" t="s">
        <v>34</v>
      </c>
      <c r="L9" s="2" t="s">
        <v>238</v>
      </c>
      <c r="M9" s="2" t="s">
        <v>285</v>
      </c>
      <c r="N9" s="2" t="s">
        <v>239</v>
      </c>
      <c r="O9" s="2" t="s">
        <v>157</v>
      </c>
      <c r="P9" s="15" t="s">
        <v>286</v>
      </c>
      <c r="Q9" s="2" t="s">
        <v>202</v>
      </c>
      <c r="R9" s="2" t="s">
        <v>34</v>
      </c>
      <c r="S9" s="2" t="s">
        <v>238</v>
      </c>
      <c r="T9" s="2" t="s">
        <v>285</v>
      </c>
      <c r="U9" s="2" t="s">
        <v>239</v>
      </c>
      <c r="V9" s="2" t="s">
        <v>157</v>
      </c>
      <c r="W9" s="3" t="s">
        <v>35</v>
      </c>
      <c r="X9" s="9" t="s">
        <v>134</v>
      </c>
      <c r="Y9" s="4" t="s">
        <v>6</v>
      </c>
      <c r="Z9" s="31" t="s">
        <v>290</v>
      </c>
      <c r="AA9" s="12" t="str">
        <f t="shared" si="0"/>
        <v>IP01_DLL_Create_SC_FreeText_Approval_62</v>
      </c>
      <c r="AB9" s="30" t="s">
        <v>292</v>
      </c>
      <c r="AC9" s="12" t="str">
        <f t="shared" si="1"/>
        <v>Shopping cart 1000478965 has no errors</v>
      </c>
      <c r="AD9" s="12" t="str">
        <f t="shared" si="2"/>
        <v>Shopping cart %quote%IP01_DLL_Create_SC_FreeText_Approval_62%quote% with number 1000478965 ordered successfully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8"/>
    </row>
    <row r="10">
      <c r="A10" s="1">
        <v>10</v>
      </c>
      <c r="B10" s="19" t="s">
        <v>196</v>
      </c>
      <c r="C10" s="28" t="s">
        <v>3</v>
      </c>
      <c r="D10" s="6" t="s">
        <v>67</v>
      </c>
      <c r="E10" s="5" t="s">
        <v>223</v>
      </c>
      <c r="F10" s="6" t="s">
        <v>6</v>
      </c>
      <c r="G10" s="2" t="str">
        <f t="shared" si="3"/>
        <v>IP01_DLL_Create_SC_FreeText_Approval_54</v>
      </c>
      <c r="H10" s="2">
        <v>54</v>
      </c>
      <c r="I10" s="4" t="s">
        <v>224</v>
      </c>
      <c r="J10" s="2" t="s">
        <v>130</v>
      </c>
      <c r="K10" s="2" t="s">
        <v>34</v>
      </c>
      <c r="L10" s="2" t="s">
        <v>238</v>
      </c>
      <c r="M10" s="2" t="s">
        <v>285</v>
      </c>
      <c r="N10" s="2" t="s">
        <v>239</v>
      </c>
      <c r="O10" s="2" t="s">
        <v>157</v>
      </c>
      <c r="P10" s="3">
        <v>10015279</v>
      </c>
      <c r="Q10" s="2" t="s">
        <v>202</v>
      </c>
      <c r="R10" s="2" t="s">
        <v>34</v>
      </c>
      <c r="S10" s="2" t="s">
        <v>238</v>
      </c>
      <c r="T10" s="2" t="s">
        <v>285</v>
      </c>
      <c r="U10" s="2" t="s">
        <v>239</v>
      </c>
      <c r="V10" s="2" t="s">
        <v>157</v>
      </c>
      <c r="W10" s="3" t="s">
        <v>35</v>
      </c>
      <c r="X10" s="9" t="s">
        <v>73</v>
      </c>
      <c r="Y10" s="4" t="s">
        <v>6</v>
      </c>
      <c r="Z10" s="31"/>
      <c r="AA10" s="12" t="str">
        <f t="shared" si="0"/>
        <v>IP01_DLL_Create_SC_FreeText_Approval_54</v>
      </c>
      <c r="AB10" s="30" t="s">
        <v>292</v>
      </c>
      <c r="AC10" s="12" t="str">
        <f t="shared" si="1"/>
        <v>Shopping cart  has no errors</v>
      </c>
      <c r="AD10" s="12" t="str">
        <f t="shared" si="2"/>
        <v>Shopping cart %quote%IP01_DLL_Create_SC_FreeText_Approval_54%quote% with number  ordered successfully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8"/>
    </row>
    <row r="11">
      <c r="A11" s="1">
        <v>11</v>
      </c>
      <c r="B11" s="19" t="s">
        <v>101</v>
      </c>
      <c r="C11" s="28" t="s">
        <v>3</v>
      </c>
      <c r="D11" s="6" t="s">
        <v>67</v>
      </c>
      <c r="E11" s="5" t="s">
        <v>282</v>
      </c>
      <c r="F11" s="6" t="s">
        <v>6</v>
      </c>
      <c r="G11" s="2" t="str">
        <f t="shared" si="3"/>
        <v>IP01_DLL_Create_SC_FreeText_Approval_76</v>
      </c>
      <c r="H11" s="2">
        <v>76</v>
      </c>
      <c r="I11" s="4" t="s">
        <v>224</v>
      </c>
      <c r="J11" s="2" t="s">
        <v>130</v>
      </c>
      <c r="K11" s="2" t="s">
        <v>34</v>
      </c>
      <c r="L11" s="2" t="s">
        <v>238</v>
      </c>
      <c r="M11" s="2" t="s">
        <v>285</v>
      </c>
      <c r="N11" s="2" t="s">
        <v>239</v>
      </c>
      <c r="O11" s="2" t="s">
        <v>157</v>
      </c>
      <c r="P11" s="3">
        <v>10010734</v>
      </c>
      <c r="Q11" s="2" t="s">
        <v>202</v>
      </c>
      <c r="R11" s="2" t="s">
        <v>34</v>
      </c>
      <c r="S11" s="2" t="s">
        <v>238</v>
      </c>
      <c r="T11" s="2" t="s">
        <v>285</v>
      </c>
      <c r="U11" s="2" t="s">
        <v>239</v>
      </c>
      <c r="V11" s="2" t="s">
        <v>157</v>
      </c>
      <c r="W11" s="3" t="s">
        <v>35</v>
      </c>
      <c r="X11" s="9" t="s">
        <v>149</v>
      </c>
      <c r="Y11" s="4" t="s">
        <v>6</v>
      </c>
      <c r="Z11" s="31" t="s">
        <v>169</v>
      </c>
      <c r="AA11" s="12" t="str">
        <f t="shared" si="0"/>
        <v>IP01_DLL_Create_SC_FreeText_Approval_76</v>
      </c>
      <c r="AB11" s="30" t="s">
        <v>292</v>
      </c>
      <c r="AC11" s="12" t="str">
        <f t="shared" si="1"/>
        <v>Shopping cart 1000953794 has no errors</v>
      </c>
      <c r="AD11" s="12" t="str">
        <f t="shared" si="2"/>
        <v>Shopping cart %quote%IP01_DLL_Create_SC_FreeText_Approval_76%quote% with number 1000953794 ordered successfully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8"/>
    </row>
    <row r="12">
      <c r="A12" s="1">
        <v>12</v>
      </c>
      <c r="B12" s="19" t="s">
        <v>141</v>
      </c>
      <c r="C12" s="28" t="s">
        <v>3</v>
      </c>
      <c r="D12" s="6" t="s">
        <v>67</v>
      </c>
      <c r="E12" s="5" t="s">
        <v>223</v>
      </c>
      <c r="F12" s="6" t="s">
        <v>6</v>
      </c>
      <c r="G12" s="2" t="str">
        <f t="shared" si="3"/>
        <v>IP01_DLL_Create_SC_FreeText_Approval_58</v>
      </c>
      <c r="H12" s="2">
        <v>58</v>
      </c>
      <c r="I12" s="4" t="s">
        <v>224</v>
      </c>
      <c r="J12" s="2" t="s">
        <v>130</v>
      </c>
      <c r="K12" s="2" t="s">
        <v>34</v>
      </c>
      <c r="L12" s="2" t="s">
        <v>238</v>
      </c>
      <c r="M12" s="2" t="s">
        <v>285</v>
      </c>
      <c r="N12" s="2" t="s">
        <v>239</v>
      </c>
      <c r="O12" s="2" t="s">
        <v>157</v>
      </c>
      <c r="P12" s="3">
        <v>10010734</v>
      </c>
      <c r="Q12" s="2" t="s">
        <v>202</v>
      </c>
      <c r="R12" s="2" t="s">
        <v>34</v>
      </c>
      <c r="S12" s="2" t="s">
        <v>238</v>
      </c>
      <c r="T12" s="2" t="s">
        <v>285</v>
      </c>
      <c r="U12" s="2" t="s">
        <v>239</v>
      </c>
      <c r="V12" s="2" t="s">
        <v>157</v>
      </c>
      <c r="W12" s="3" t="s">
        <v>35</v>
      </c>
      <c r="X12" s="9" t="s">
        <v>227</v>
      </c>
      <c r="Y12" s="4" t="s">
        <v>6</v>
      </c>
      <c r="Z12" s="31" t="s">
        <v>308</v>
      </c>
      <c r="AA12" s="12" t="str">
        <f t="shared" si="0"/>
        <v>IP01_DLL_Create_SC_FreeText_Approval_58</v>
      </c>
      <c r="AB12" s="30" t="s">
        <v>292</v>
      </c>
      <c r="AC12" s="12" t="str">
        <f t="shared" si="1"/>
        <v>Shopping cart 1000479006 has no errors</v>
      </c>
      <c r="AD12" s="12" t="str">
        <f t="shared" si="2"/>
        <v>Shopping cart %quote%IP01_DLL_Create_SC_FreeText_Approval_58%quote% with number 1000479006 ordered successfully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8"/>
    </row>
    <row r="13">
      <c r="A13" s="1">
        <v>13</v>
      </c>
      <c r="B13" s="19" t="s">
        <v>299</v>
      </c>
      <c r="C13" s="28" t="s">
        <v>3</v>
      </c>
      <c r="D13" s="6" t="s">
        <v>67</v>
      </c>
      <c r="E13" s="5" t="s">
        <v>282</v>
      </c>
      <c r="F13" s="6" t="s">
        <v>6</v>
      </c>
      <c r="G13" s="2" t="str">
        <f>"IP01_DLL_SC_VIM60_"&amp;H13</f>
        <v>IP01_DLL_SC_VIM60_13</v>
      </c>
      <c r="H13" s="2">
        <v>13</v>
      </c>
      <c r="I13" s="4" t="s">
        <v>224</v>
      </c>
      <c r="J13" s="2" t="s">
        <v>130</v>
      </c>
      <c r="K13" s="2" t="s">
        <v>34</v>
      </c>
      <c r="L13" s="2" t="s">
        <v>238</v>
      </c>
      <c r="M13" s="2" t="s">
        <v>285</v>
      </c>
      <c r="N13" s="2" t="s">
        <v>239</v>
      </c>
      <c r="O13" s="2" t="s">
        <v>157</v>
      </c>
      <c r="P13" s="3" t="s">
        <v>226</v>
      </c>
      <c r="Q13" s="2" t="s">
        <v>202</v>
      </c>
      <c r="R13" s="2" t="s">
        <v>34</v>
      </c>
      <c r="S13" s="2" t="s">
        <v>238</v>
      </c>
      <c r="T13" s="2" t="s">
        <v>285</v>
      </c>
      <c r="U13" s="2" t="s">
        <v>239</v>
      </c>
      <c r="V13" s="2" t="s">
        <v>157</v>
      </c>
      <c r="W13" s="3" t="s">
        <v>35</v>
      </c>
      <c r="X13" s="9" t="s">
        <v>10</v>
      </c>
      <c r="Y13" s="4" t="s">
        <v>6</v>
      </c>
      <c r="Z13" s="31" t="s">
        <v>251</v>
      </c>
      <c r="AA13" s="12" t="str">
        <f t="shared" si="0"/>
        <v>IP01_DLL_SC_VIM60_13</v>
      </c>
      <c r="AB13" s="30" t="s">
        <v>292</v>
      </c>
      <c r="AC13" s="12" t="str">
        <f t="shared" si="1"/>
        <v>Shopping cart 1000953795 has no errors</v>
      </c>
      <c r="AD13" s="12" t="str">
        <f t="shared" si="2"/>
        <v>Shopping cart %quote%IP01_DLL_SC_VIM60_13%quote% with number 1000953795 ordered successfully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8"/>
    </row>
    <row r="14">
      <c r="A14" s="1">
        <v>14</v>
      </c>
      <c r="B14" s="19" t="s">
        <v>49</v>
      </c>
      <c r="C14" s="28" t="s">
        <v>3</v>
      </c>
      <c r="D14" s="6" t="s">
        <v>67</v>
      </c>
      <c r="E14" s="5" t="s">
        <v>223</v>
      </c>
      <c r="F14" s="6" t="s">
        <v>6</v>
      </c>
      <c r="G14" s="2" t="str">
        <f t="shared" si="4" ref="G14:G15">"IP01_DLL_Create_SC_FreeText_BR19_"&amp;H14</f>
        <v>IP01_DLL_Create_SC_FreeText_BR19_6</v>
      </c>
      <c r="H14" s="2">
        <v>6</v>
      </c>
      <c r="I14" s="4" t="s">
        <v>224</v>
      </c>
      <c r="J14" s="2" t="s">
        <v>130</v>
      </c>
      <c r="K14" s="2" t="s">
        <v>34</v>
      </c>
      <c r="L14" s="2" t="s">
        <v>238</v>
      </c>
      <c r="M14" s="2" t="s">
        <v>285</v>
      </c>
      <c r="N14" s="2" t="s">
        <v>239</v>
      </c>
      <c r="O14" s="2" t="s">
        <v>157</v>
      </c>
      <c r="P14" s="3">
        <v>10015279</v>
      </c>
      <c r="Q14" s="2" t="s">
        <v>202</v>
      </c>
      <c r="R14" s="2" t="s">
        <v>34</v>
      </c>
      <c r="S14" s="2" t="s">
        <v>238</v>
      </c>
      <c r="T14" s="2" t="s">
        <v>285</v>
      </c>
      <c r="U14" s="2" t="s">
        <v>239</v>
      </c>
      <c r="V14" s="2" t="s">
        <v>157</v>
      </c>
      <c r="W14" s="3" t="s">
        <v>35</v>
      </c>
      <c r="X14" s="9" t="s">
        <v>87</v>
      </c>
      <c r="Y14" s="4" t="s">
        <v>6</v>
      </c>
      <c r="Z14" s="31"/>
      <c r="AA14" s="12" t="str">
        <f t="shared" si="0"/>
        <v>IP01_DLL_Create_SC_FreeText_BR19_6</v>
      </c>
      <c r="AB14" s="30" t="s">
        <v>292</v>
      </c>
      <c r="AC14" s="12" t="str">
        <f t="shared" si="1"/>
        <v>Shopping cart  has no errors</v>
      </c>
      <c r="AD14" s="12" t="str">
        <f t="shared" si="2"/>
        <v>Shopping cart %quote%IP01_DLL_Create_SC_FreeText_BR19_6%quote% with number  ordered successfully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8"/>
    </row>
    <row r="15">
      <c r="A15" s="1">
        <v>15</v>
      </c>
      <c r="B15" s="19" t="s">
        <v>123</v>
      </c>
      <c r="C15" s="28" t="s">
        <v>3</v>
      </c>
      <c r="D15" s="6" t="s">
        <v>67</v>
      </c>
      <c r="E15" s="5" t="s">
        <v>223</v>
      </c>
      <c r="F15" s="6" t="s">
        <v>6</v>
      </c>
      <c r="G15" s="2" t="str">
        <f t="shared" si="4"/>
        <v>IP01_DLL_Create_SC_FreeText_BR19_16</v>
      </c>
      <c r="H15" s="2">
        <v>16</v>
      </c>
      <c r="I15" s="4" t="s">
        <v>224</v>
      </c>
      <c r="J15" s="2" t="s">
        <v>130</v>
      </c>
      <c r="K15" s="2" t="s">
        <v>34</v>
      </c>
      <c r="L15" s="2" t="s">
        <v>238</v>
      </c>
      <c r="M15" s="2" t="s">
        <v>285</v>
      </c>
      <c r="N15" s="2" t="s">
        <v>239</v>
      </c>
      <c r="O15" s="2" t="s">
        <v>157</v>
      </c>
      <c r="P15" s="3" t="s">
        <v>286</v>
      </c>
      <c r="Q15" s="2" t="s">
        <v>202</v>
      </c>
      <c r="R15" s="2" t="s">
        <v>34</v>
      </c>
      <c r="S15" s="2" t="s">
        <v>238</v>
      </c>
      <c r="T15" s="2" t="s">
        <v>285</v>
      </c>
      <c r="U15" s="2" t="s">
        <v>239</v>
      </c>
      <c r="V15" s="2" t="s">
        <v>157</v>
      </c>
      <c r="W15" s="3" t="s">
        <v>35</v>
      </c>
      <c r="X15" s="9" t="s">
        <v>159</v>
      </c>
      <c r="Y15" s="4" t="s">
        <v>6</v>
      </c>
      <c r="Z15" s="31"/>
      <c r="AA15" s="12" t="str">
        <f t="shared" si="0"/>
        <v>IP01_DLL_Create_SC_FreeText_BR19_16</v>
      </c>
      <c r="AB15" s="30" t="s">
        <v>292</v>
      </c>
      <c r="AC15" s="12" t="str">
        <f t="shared" si="1"/>
        <v>Shopping cart  has no errors</v>
      </c>
      <c r="AD15" s="12" t="str">
        <f t="shared" si="2"/>
        <v>Shopping cart %quote%IP01_DLL_Create_SC_FreeText_BR19_16%quote% with number  ordered successfully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8"/>
    </row>
    <row r="16">
      <c r="A16" s="1">
        <v>16</v>
      </c>
      <c r="B16" s="19" t="s">
        <v>50</v>
      </c>
      <c r="C16" s="28" t="s">
        <v>3</v>
      </c>
      <c r="D16" s="6" t="s">
        <v>67</v>
      </c>
      <c r="E16" s="5" t="s">
        <v>223</v>
      </c>
      <c r="F16" s="6" t="s">
        <v>6</v>
      </c>
      <c r="G16" s="2" t="str">
        <f>"IP01_DLL_Create_SC_FreeText_BR21_"&amp;H16</f>
        <v>IP01_DLL_Create_SC_FreeText_BR21_1</v>
      </c>
      <c r="H16" s="2">
        <v>1</v>
      </c>
      <c r="I16" s="4" t="s">
        <v>224</v>
      </c>
      <c r="J16" s="2" t="s">
        <v>130</v>
      </c>
      <c r="K16" s="2" t="s">
        <v>34</v>
      </c>
      <c r="L16" s="2" t="s">
        <v>238</v>
      </c>
      <c r="M16" s="2" t="s">
        <v>285</v>
      </c>
      <c r="N16" s="2" t="s">
        <v>239</v>
      </c>
      <c r="O16" s="2" t="s">
        <v>157</v>
      </c>
      <c r="P16" s="3">
        <v>10015279</v>
      </c>
      <c r="Q16" s="2" t="s">
        <v>202</v>
      </c>
      <c r="R16" s="2" t="s">
        <v>34</v>
      </c>
      <c r="S16" s="2" t="s">
        <v>238</v>
      </c>
      <c r="T16" s="2" t="s">
        <v>285</v>
      </c>
      <c r="U16" s="2" t="s">
        <v>239</v>
      </c>
      <c r="V16" s="2" t="s">
        <v>157</v>
      </c>
      <c r="W16" s="3" t="s">
        <v>35</v>
      </c>
      <c r="X16" s="9" t="s">
        <v>240</v>
      </c>
      <c r="Y16" s="4" t="s">
        <v>6</v>
      </c>
      <c r="Z16" s="31"/>
      <c r="AA16" s="12" t="str">
        <f t="shared" si="0"/>
        <v>IP01_DLL_Create_SC_FreeText_BR21_1</v>
      </c>
      <c r="AB16" s="30" t="s">
        <v>292</v>
      </c>
      <c r="AC16" s="12" t="str">
        <f t="shared" si="1"/>
        <v>Shopping cart  has no errors</v>
      </c>
      <c r="AD16" s="12" t="str">
        <f t="shared" si="2"/>
        <v>Shopping cart %quote%IP01_DLL_Create_SC_FreeText_BR21_1%quote% with number  ordered successfully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8"/>
    </row>
    <row r="17">
      <c r="A17" s="1">
        <v>17</v>
      </c>
      <c r="B17" s="19" t="s">
        <v>142</v>
      </c>
      <c r="C17" s="28" t="s">
        <v>3</v>
      </c>
      <c r="D17" s="6" t="s">
        <v>305</v>
      </c>
      <c r="E17" s="5" t="s">
        <v>223</v>
      </c>
      <c r="F17" s="6" t="s">
        <v>6</v>
      </c>
      <c r="G17" s="2" t="str">
        <f>"IP01_DLL_Create_SC_FreeText_BR22_"&amp;H17</f>
        <v>IP01_DLL_Create_SC_FreeText_BR22_1</v>
      </c>
      <c r="H17" s="2">
        <v>1</v>
      </c>
      <c r="I17" s="4" t="s">
        <v>224</v>
      </c>
      <c r="J17" s="2" t="s">
        <v>130</v>
      </c>
      <c r="K17" s="2" t="s">
        <v>34</v>
      </c>
      <c r="L17" s="2" t="s">
        <v>238</v>
      </c>
      <c r="M17" s="2" t="s">
        <v>285</v>
      </c>
      <c r="N17" s="2" t="s">
        <v>239</v>
      </c>
      <c r="O17" s="2" t="s">
        <v>157</v>
      </c>
      <c r="P17" s="3">
        <v>10015279</v>
      </c>
      <c r="Q17" s="2" t="s">
        <v>202</v>
      </c>
      <c r="R17" s="2" t="s">
        <v>34</v>
      </c>
      <c r="S17" s="2" t="s">
        <v>238</v>
      </c>
      <c r="T17" s="2" t="s">
        <v>285</v>
      </c>
      <c r="U17" s="2" t="s">
        <v>239</v>
      </c>
      <c r="V17" s="2" t="s">
        <v>157</v>
      </c>
      <c r="W17" s="3" t="s">
        <v>35</v>
      </c>
      <c r="X17" s="9" t="s">
        <v>11</v>
      </c>
      <c r="Y17" s="4" t="s">
        <v>6</v>
      </c>
      <c r="Z17" s="31"/>
      <c r="AA17" s="12" t="str">
        <f t="shared" si="0"/>
        <v>IP01_DLL_Create_SC_FreeText_BR22_1</v>
      </c>
      <c r="AB17" s="30" t="s">
        <v>292</v>
      </c>
      <c r="AC17" s="12" t="str">
        <f t="shared" si="1"/>
        <v>Shopping cart  has no errors</v>
      </c>
      <c r="AD17" s="12" t="str">
        <f t="shared" si="2"/>
        <v>Shopping cart %quote%IP01_DLL_Create_SC_FreeText_BR22_1%quote% with number  ordered successfully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8"/>
    </row>
    <row r="18">
      <c r="A18" s="1">
        <v>18</v>
      </c>
      <c r="B18" s="19" t="s">
        <v>102</v>
      </c>
      <c r="C18" s="28" t="s">
        <v>3</v>
      </c>
      <c r="D18" s="6" t="s">
        <v>305</v>
      </c>
      <c r="E18" s="5" t="s">
        <v>223</v>
      </c>
      <c r="F18" s="6" t="s">
        <v>6</v>
      </c>
      <c r="G18" s="2" t="str">
        <f>"IP01_DLL_Create_SC_FreeText_97_"&amp;H18</f>
        <v>IP01_DLL_Create_SC_FreeText_97_1</v>
      </c>
      <c r="H18" s="2">
        <v>1</v>
      </c>
      <c r="I18" s="4" t="s">
        <v>224</v>
      </c>
      <c r="J18" s="2" t="s">
        <v>130</v>
      </c>
      <c r="K18" s="2" t="s">
        <v>34</v>
      </c>
      <c r="L18" s="2" t="s">
        <v>238</v>
      </c>
      <c r="M18" s="2" t="s">
        <v>285</v>
      </c>
      <c r="N18" s="2" t="s">
        <v>239</v>
      </c>
      <c r="O18" s="2" t="s">
        <v>157</v>
      </c>
      <c r="P18" s="3">
        <v>10015279</v>
      </c>
      <c r="Q18" s="2" t="s">
        <v>202</v>
      </c>
      <c r="R18" s="2" t="s">
        <v>34</v>
      </c>
      <c r="S18" s="2" t="s">
        <v>238</v>
      </c>
      <c r="T18" s="2" t="s">
        <v>285</v>
      </c>
      <c r="U18" s="2" t="s">
        <v>239</v>
      </c>
      <c r="V18" s="2" t="s">
        <v>157</v>
      </c>
      <c r="W18" s="3" t="s">
        <v>35</v>
      </c>
      <c r="X18" s="9" t="s">
        <v>88</v>
      </c>
      <c r="Y18" s="4" t="s">
        <v>6</v>
      </c>
      <c r="Z18" s="31"/>
      <c r="AA18" s="12" t="str">
        <f t="shared" si="0"/>
        <v>IP01_DLL_Create_SC_FreeText_97_1</v>
      </c>
      <c r="AB18" s="30" t="s">
        <v>292</v>
      </c>
      <c r="AC18" s="12" t="str">
        <f t="shared" si="1"/>
        <v>Shopping cart  has no errors</v>
      </c>
      <c r="AD18" s="12" t="str">
        <f t="shared" si="2"/>
        <v>Shopping cart %quote%IP01_DLL_Create_SC_FreeText_97_1%quote% with number  ordered successfully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8"/>
    </row>
    <row r="19">
      <c r="A19" s="1">
        <v>19</v>
      </c>
      <c r="B19" s="19" t="s">
        <v>23</v>
      </c>
      <c r="C19" s="28" t="s">
        <v>3</v>
      </c>
      <c r="D19" s="6" t="s">
        <v>305</v>
      </c>
      <c r="E19" s="5" t="s">
        <v>223</v>
      </c>
      <c r="F19" s="6" t="s">
        <v>6</v>
      </c>
      <c r="G19" s="2" t="str">
        <f>"IP01_DLL_Create_SC_FreeText_98_"&amp;H19</f>
        <v>IP01_DLL_Create_SC_FreeText_98_1</v>
      </c>
      <c r="H19" s="2">
        <v>1</v>
      </c>
      <c r="I19" s="4" t="s">
        <v>224</v>
      </c>
      <c r="J19" s="2" t="s">
        <v>130</v>
      </c>
      <c r="K19" s="2" t="s">
        <v>34</v>
      </c>
      <c r="L19" s="2" t="s">
        <v>238</v>
      </c>
      <c r="M19" s="2" t="s">
        <v>285</v>
      </c>
      <c r="N19" s="2" t="s">
        <v>239</v>
      </c>
      <c r="O19" s="2" t="s">
        <v>157</v>
      </c>
      <c r="P19" s="3">
        <v>10015279</v>
      </c>
      <c r="Q19" s="2" t="s">
        <v>202</v>
      </c>
      <c r="R19" s="2" t="s">
        <v>34</v>
      </c>
      <c r="S19" s="2" t="s">
        <v>238</v>
      </c>
      <c r="T19" s="2" t="s">
        <v>285</v>
      </c>
      <c r="U19" s="2" t="s">
        <v>239</v>
      </c>
      <c r="V19" s="2" t="s">
        <v>157</v>
      </c>
      <c r="W19" s="3" t="s">
        <v>35</v>
      </c>
      <c r="X19" s="9" t="s">
        <v>160</v>
      </c>
      <c r="Y19" s="4" t="s">
        <v>6</v>
      </c>
      <c r="Z19" s="31"/>
      <c r="AA19" s="12" t="str">
        <f t="shared" si="0"/>
        <v>IP01_DLL_Create_SC_FreeText_98_1</v>
      </c>
      <c r="AB19" s="30" t="s">
        <v>292</v>
      </c>
      <c r="AC19" s="12" t="str">
        <f t="shared" si="1"/>
        <v>Shopping cart  has no errors</v>
      </c>
      <c r="AD19" s="12" t="str">
        <f t="shared" si="2"/>
        <v>Shopping cart %quote%IP01_DLL_Create_SC_FreeText_98_1%quote% with number  ordered successfully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8"/>
    </row>
    <row r="20">
      <c r="A20" s="1">
        <v>20</v>
      </c>
      <c r="B20" s="19" t="s">
        <v>78</v>
      </c>
      <c r="C20" s="28" t="s">
        <v>3</v>
      </c>
      <c r="D20" s="6" t="s">
        <v>305</v>
      </c>
      <c r="E20" s="5" t="s">
        <v>223</v>
      </c>
      <c r="F20" s="6" t="s">
        <v>6</v>
      </c>
      <c r="G20" s="2" t="str">
        <f>"IP01_DLL_Create_SC_FreeText_99_"&amp;H20</f>
        <v>IP01_DLL_Create_SC_FreeText_99_1</v>
      </c>
      <c r="H20" s="2">
        <v>1</v>
      </c>
      <c r="I20" s="4" t="s">
        <v>224</v>
      </c>
      <c r="J20" s="2" t="s">
        <v>130</v>
      </c>
      <c r="K20" s="2" t="s">
        <v>34</v>
      </c>
      <c r="L20" s="2" t="s">
        <v>238</v>
      </c>
      <c r="M20" s="2" t="s">
        <v>285</v>
      </c>
      <c r="N20" s="2" t="s">
        <v>239</v>
      </c>
      <c r="O20" s="2" t="s">
        <v>157</v>
      </c>
      <c r="P20" s="3">
        <v>10015279</v>
      </c>
      <c r="Q20" s="2" t="s">
        <v>202</v>
      </c>
      <c r="R20" s="2" t="s">
        <v>34</v>
      </c>
      <c r="S20" s="2" t="s">
        <v>238</v>
      </c>
      <c r="T20" s="2" t="s">
        <v>285</v>
      </c>
      <c r="U20" s="2" t="s">
        <v>239</v>
      </c>
      <c r="V20" s="2" t="s">
        <v>157</v>
      </c>
      <c r="W20" s="3" t="s">
        <v>35</v>
      </c>
      <c r="X20" s="9" t="s">
        <v>307</v>
      </c>
      <c r="Y20" s="4" t="s">
        <v>6</v>
      </c>
      <c r="Z20" s="31"/>
      <c r="AA20" s="12" t="str">
        <f t="shared" si="0"/>
        <v>IP01_DLL_Create_SC_FreeText_99_1</v>
      </c>
      <c r="AB20" s="30" t="s">
        <v>292</v>
      </c>
      <c r="AC20" s="12" t="str">
        <f t="shared" si="1"/>
        <v>Shopping cart  has no errors</v>
      </c>
      <c r="AD20" s="12" t="str">
        <f t="shared" si="2"/>
        <v>Shopping cart %quote%IP01_DLL_Create_SC_FreeText_99_1%quote% with number  ordered successfully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8"/>
    </row>
    <row r="21">
      <c r="A21" s="1">
        <v>21</v>
      </c>
      <c r="B21" s="19" t="s">
        <v>153</v>
      </c>
      <c r="C21" s="28" t="s">
        <v>3</v>
      </c>
      <c r="D21" s="6" t="s">
        <v>305</v>
      </c>
      <c r="E21" s="5" t="s">
        <v>223</v>
      </c>
      <c r="F21" s="6" t="s">
        <v>6</v>
      </c>
      <c r="G21" s="2" t="str">
        <f t="shared" si="5" ref="G21:G32">"IP01_DLL_Create_SC_FreeText_100_"&amp;H21</f>
        <v>IP01_DLL_Create_SC_FreeText_100_1</v>
      </c>
      <c r="H21" s="2">
        <v>1</v>
      </c>
      <c r="I21" s="4" t="s">
        <v>224</v>
      </c>
      <c r="J21" s="2" t="s">
        <v>130</v>
      </c>
      <c r="K21" s="2" t="s">
        <v>34</v>
      </c>
      <c r="L21" s="2" t="s">
        <v>238</v>
      </c>
      <c r="M21" s="2" t="s">
        <v>285</v>
      </c>
      <c r="N21" s="2" t="s">
        <v>239</v>
      </c>
      <c r="O21" s="2" t="s">
        <v>157</v>
      </c>
      <c r="P21" s="3">
        <v>10015279</v>
      </c>
      <c r="Q21" s="2" t="s">
        <v>202</v>
      </c>
      <c r="R21" s="2" t="s">
        <v>34</v>
      </c>
      <c r="S21" s="2" t="s">
        <v>238</v>
      </c>
      <c r="T21" s="2" t="s">
        <v>285</v>
      </c>
      <c r="U21" s="2" t="s">
        <v>239</v>
      </c>
      <c r="V21" s="2" t="s">
        <v>157</v>
      </c>
      <c r="W21" s="3" t="s">
        <v>35</v>
      </c>
      <c r="X21" s="9" t="s">
        <v>74</v>
      </c>
      <c r="Y21" s="4" t="s">
        <v>6</v>
      </c>
      <c r="Z21" s="31"/>
      <c r="AA21" s="12" t="str">
        <f t="shared" si="0"/>
        <v>IP01_DLL_Create_SC_FreeText_100_1</v>
      </c>
      <c r="AB21" s="30" t="s">
        <v>292</v>
      </c>
      <c r="AC21" s="12" t="str">
        <f t="shared" si="1"/>
        <v>Shopping cart  has no errors</v>
      </c>
      <c r="AD21" s="12" t="str">
        <f t="shared" si="2"/>
        <v>Shopping cart %quote%IP01_DLL_Create_SC_FreeText_100_1%quote% with number  ordered successfully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8"/>
    </row>
    <row r="22">
      <c r="A22" s="1">
        <v>22</v>
      </c>
      <c r="B22" s="21" t="s">
        <v>197</v>
      </c>
      <c r="C22" s="28" t="s">
        <v>3</v>
      </c>
      <c r="D22" s="6" t="s">
        <v>67</v>
      </c>
      <c r="E22" s="5" t="s">
        <v>223</v>
      </c>
      <c r="F22" s="6" t="s">
        <v>6</v>
      </c>
      <c r="G22" s="2" t="str">
        <f t="shared" si="5"/>
        <v>IP01_DLL_Create_SC_FreeText_100_4</v>
      </c>
      <c r="H22" s="2">
        <v>4</v>
      </c>
      <c r="I22" s="4" t="s">
        <v>224</v>
      </c>
      <c r="J22" s="2" t="s">
        <v>130</v>
      </c>
      <c r="K22" s="2" t="s">
        <v>34</v>
      </c>
      <c r="L22" s="2" t="s">
        <v>238</v>
      </c>
      <c r="M22" s="2" t="s">
        <v>285</v>
      </c>
      <c r="N22" s="2" t="s">
        <v>239</v>
      </c>
      <c r="O22" s="2" t="s">
        <v>157</v>
      </c>
      <c r="P22" s="3">
        <v>10015279</v>
      </c>
      <c r="Q22" s="2" t="s">
        <v>202</v>
      </c>
      <c r="R22" s="2" t="s">
        <v>34</v>
      </c>
      <c r="S22" s="2" t="s">
        <v>238</v>
      </c>
      <c r="T22" s="2" t="s">
        <v>285</v>
      </c>
      <c r="U22" s="2" t="s">
        <v>239</v>
      </c>
      <c r="V22" s="2" t="s">
        <v>157</v>
      </c>
      <c r="W22" s="3" t="s">
        <v>35</v>
      </c>
      <c r="X22" s="9" t="s">
        <v>161</v>
      </c>
      <c r="Y22" s="4" t="s">
        <v>6</v>
      </c>
      <c r="Z22" s="31"/>
      <c r="AA22" s="12" t="str">
        <f t="shared" si="0"/>
        <v>IP01_DLL_Create_SC_FreeText_100_4</v>
      </c>
      <c r="AB22" s="30" t="s">
        <v>292</v>
      </c>
      <c r="AC22" s="12" t="str">
        <f t="shared" si="1"/>
        <v>Shopping cart  has no errors</v>
      </c>
      <c r="AD22" s="12" t="str">
        <f t="shared" si="2"/>
        <v>Shopping cart %quote%IP01_DLL_Create_SC_FreeText_100_4%quote% with number  ordered successfully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8"/>
    </row>
    <row r="23">
      <c r="A23" s="1">
        <v>23</v>
      </c>
      <c r="B23" s="21" t="s">
        <v>143</v>
      </c>
      <c r="C23" s="28" t="s">
        <v>3</v>
      </c>
      <c r="D23" s="6" t="s">
        <v>305</v>
      </c>
      <c r="E23" s="5" t="s">
        <v>223</v>
      </c>
      <c r="F23" s="6" t="s">
        <v>6</v>
      </c>
      <c r="G23" s="2" t="str">
        <f t="shared" si="5"/>
        <v>IP01_DLL_Create_SC_FreeText_100_1</v>
      </c>
      <c r="H23" s="2">
        <v>1</v>
      </c>
      <c r="I23" s="4" t="s">
        <v>224</v>
      </c>
      <c r="J23" s="2" t="s">
        <v>130</v>
      </c>
      <c r="K23" s="2" t="s">
        <v>34</v>
      </c>
      <c r="L23" s="2" t="s">
        <v>238</v>
      </c>
      <c r="M23" s="2" t="s">
        <v>285</v>
      </c>
      <c r="N23" s="2" t="s">
        <v>239</v>
      </c>
      <c r="O23" s="2" t="s">
        <v>157</v>
      </c>
      <c r="P23" s="3">
        <v>10015279</v>
      </c>
      <c r="Q23" s="2" t="s">
        <v>202</v>
      </c>
      <c r="R23" s="2" t="s">
        <v>34</v>
      </c>
      <c r="S23" s="2" t="s">
        <v>238</v>
      </c>
      <c r="T23" s="2" t="s">
        <v>285</v>
      </c>
      <c r="U23" s="2" t="s">
        <v>239</v>
      </c>
      <c r="V23" s="2" t="s">
        <v>157</v>
      </c>
      <c r="W23" s="3" t="s">
        <v>35</v>
      </c>
      <c r="X23" s="9" t="s">
        <v>241</v>
      </c>
      <c r="Y23" s="4" t="s">
        <v>6</v>
      </c>
      <c r="Z23" s="31"/>
      <c r="AA23" s="12" t="str">
        <f t="shared" si="0"/>
        <v>IP01_DLL_Create_SC_FreeText_100_1</v>
      </c>
      <c r="AB23" s="30" t="s">
        <v>292</v>
      </c>
      <c r="AC23" s="12" t="str">
        <f t="shared" si="1"/>
        <v>Shopping cart  has no errors</v>
      </c>
      <c r="AD23" s="12" t="str">
        <f t="shared" si="2"/>
        <v>Shopping cart %quote%IP01_DLL_Create_SC_FreeText_100_1%quote% with number  ordered successfully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8"/>
    </row>
    <row r="24">
      <c r="A24" s="1">
        <v>24</v>
      </c>
      <c r="B24" s="21" t="s">
        <v>300</v>
      </c>
      <c r="C24" s="28" t="s">
        <v>3</v>
      </c>
      <c r="D24" s="6" t="s">
        <v>305</v>
      </c>
      <c r="E24" s="5" t="s">
        <v>223</v>
      </c>
      <c r="F24" s="6" t="s">
        <v>6</v>
      </c>
      <c r="G24" s="2" t="str">
        <f t="shared" si="5"/>
        <v>IP01_DLL_Create_SC_FreeText_100_1</v>
      </c>
      <c r="H24" s="2">
        <v>1</v>
      </c>
      <c r="I24" s="4" t="s">
        <v>224</v>
      </c>
      <c r="J24" s="2" t="s">
        <v>130</v>
      </c>
      <c r="K24" s="2" t="s">
        <v>34</v>
      </c>
      <c r="L24" s="2" t="s">
        <v>238</v>
      </c>
      <c r="M24" s="2" t="s">
        <v>285</v>
      </c>
      <c r="N24" s="2" t="s">
        <v>239</v>
      </c>
      <c r="O24" s="2" t="s">
        <v>157</v>
      </c>
      <c r="P24" s="3">
        <v>10015279</v>
      </c>
      <c r="Q24" s="2" t="s">
        <v>202</v>
      </c>
      <c r="R24" s="2" t="s">
        <v>34</v>
      </c>
      <c r="S24" s="2" t="s">
        <v>238</v>
      </c>
      <c r="T24" s="2" t="s">
        <v>285</v>
      </c>
      <c r="U24" s="2" t="s">
        <v>239</v>
      </c>
      <c r="V24" s="2" t="s">
        <v>157</v>
      </c>
      <c r="W24" s="3" t="s">
        <v>35</v>
      </c>
      <c r="X24" s="9" t="s">
        <v>12</v>
      </c>
      <c r="Y24" s="4" t="s">
        <v>6</v>
      </c>
      <c r="Z24" s="31"/>
      <c r="AA24" s="12" t="str">
        <f t="shared" si="0"/>
        <v>IP01_DLL_Create_SC_FreeText_100_1</v>
      </c>
      <c r="AB24" s="30" t="s">
        <v>292</v>
      </c>
      <c r="AC24" s="12" t="str">
        <f t="shared" si="1"/>
        <v>Shopping cart  has no errors</v>
      </c>
      <c r="AD24" s="12" t="str">
        <f t="shared" si="2"/>
        <v>Shopping cart %quote%IP01_DLL_Create_SC_FreeText_100_1%quote% with number  ordered successfully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8"/>
    </row>
    <row r="25">
      <c r="A25" s="1">
        <v>25</v>
      </c>
      <c r="B25" s="21" t="s">
        <v>79</v>
      </c>
      <c r="C25" s="28" t="s">
        <v>3</v>
      </c>
      <c r="D25" s="6" t="s">
        <v>305</v>
      </c>
      <c r="E25" s="5" t="s">
        <v>223</v>
      </c>
      <c r="F25" s="6" t="s">
        <v>6</v>
      </c>
      <c r="G25" s="2" t="str">
        <f t="shared" si="5"/>
        <v>IP01_DLL_Create_SC_FreeText_100_1</v>
      </c>
      <c r="H25" s="2">
        <v>1</v>
      </c>
      <c r="I25" s="4" t="s">
        <v>224</v>
      </c>
      <c r="J25" s="2" t="s">
        <v>130</v>
      </c>
      <c r="K25" s="2" t="s">
        <v>34</v>
      </c>
      <c r="L25" s="2" t="s">
        <v>238</v>
      </c>
      <c r="M25" s="2" t="s">
        <v>285</v>
      </c>
      <c r="N25" s="2" t="s">
        <v>239</v>
      </c>
      <c r="O25" s="2" t="s">
        <v>157</v>
      </c>
      <c r="P25" s="3">
        <v>10015279</v>
      </c>
      <c r="Q25" s="2" t="s">
        <v>202</v>
      </c>
      <c r="R25" s="2" t="s">
        <v>34</v>
      </c>
      <c r="S25" s="2" t="s">
        <v>238</v>
      </c>
      <c r="T25" s="2" t="s">
        <v>285</v>
      </c>
      <c r="U25" s="2" t="s">
        <v>239</v>
      </c>
      <c r="V25" s="2" t="s">
        <v>157</v>
      </c>
      <c r="W25" s="3" t="s">
        <v>35</v>
      </c>
      <c r="X25" s="9" t="s">
        <v>89</v>
      </c>
      <c r="Y25" s="4" t="s">
        <v>6</v>
      </c>
      <c r="Z25" s="31"/>
      <c r="AA25" s="12" t="str">
        <f t="shared" si="0"/>
        <v>IP01_DLL_Create_SC_FreeText_100_1</v>
      </c>
      <c r="AB25" s="30" t="s">
        <v>292</v>
      </c>
      <c r="AC25" s="12" t="str">
        <f t="shared" si="1"/>
        <v>Shopping cart  has no errors</v>
      </c>
      <c r="AD25" s="12" t="str">
        <f t="shared" si="2"/>
        <v>Shopping cart %quote%IP01_DLL_Create_SC_FreeText_100_1%quote% with number  ordered successfully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8"/>
    </row>
    <row r="26">
      <c r="A26" s="1">
        <v>26</v>
      </c>
      <c r="B26" s="21" t="s">
        <v>256</v>
      </c>
      <c r="C26" s="28" t="s">
        <v>3</v>
      </c>
      <c r="D26" s="6" t="s">
        <v>305</v>
      </c>
      <c r="E26" s="5" t="s">
        <v>223</v>
      </c>
      <c r="F26" s="6" t="s">
        <v>6</v>
      </c>
      <c r="G26" s="2" t="str">
        <f t="shared" si="5"/>
        <v>IP01_DLL_Create_SC_FreeText_100_1</v>
      </c>
      <c r="H26" s="2">
        <v>1</v>
      </c>
      <c r="I26" s="4" t="s">
        <v>224</v>
      </c>
      <c r="J26" s="2" t="s">
        <v>130</v>
      </c>
      <c r="K26" s="2" t="s">
        <v>34</v>
      </c>
      <c r="L26" s="2" t="s">
        <v>238</v>
      </c>
      <c r="M26" s="2" t="s">
        <v>285</v>
      </c>
      <c r="N26" s="2" t="s">
        <v>239</v>
      </c>
      <c r="O26" s="2" t="s">
        <v>157</v>
      </c>
      <c r="P26" s="3">
        <v>10015279</v>
      </c>
      <c r="Q26" s="2" t="s">
        <v>202</v>
      </c>
      <c r="R26" s="2" t="s">
        <v>34</v>
      </c>
      <c r="S26" s="2" t="s">
        <v>238</v>
      </c>
      <c r="T26" s="2" t="s">
        <v>285</v>
      </c>
      <c r="U26" s="2" t="s">
        <v>239</v>
      </c>
      <c r="V26" s="2" t="s">
        <v>157</v>
      </c>
      <c r="W26" s="3" t="s">
        <v>35</v>
      </c>
      <c r="X26" s="9" t="s">
        <v>162</v>
      </c>
      <c r="Y26" s="4" t="s">
        <v>6</v>
      </c>
      <c r="Z26" s="31"/>
      <c r="AA26" s="12" t="str">
        <f t="shared" si="0"/>
        <v>IP01_DLL_Create_SC_FreeText_100_1</v>
      </c>
      <c r="AB26" s="30" t="s">
        <v>292</v>
      </c>
      <c r="AC26" s="12" t="str">
        <f t="shared" si="1"/>
        <v>Shopping cart  has no errors</v>
      </c>
      <c r="AD26" s="12" t="str">
        <f t="shared" si="2"/>
        <v>Shopping cart %quote%IP01_DLL_Create_SC_FreeText_100_1%quote% with number  ordered successfully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8"/>
    </row>
    <row r="27">
      <c r="A27" s="1">
        <v>27</v>
      </c>
      <c r="B27" s="21" t="s">
        <v>103</v>
      </c>
      <c r="C27" s="28" t="s">
        <v>3</v>
      </c>
      <c r="D27" s="6" t="s">
        <v>305</v>
      </c>
      <c r="E27" s="5" t="s">
        <v>223</v>
      </c>
      <c r="F27" s="6" t="s">
        <v>6</v>
      </c>
      <c r="G27" s="2" t="str">
        <f t="shared" si="5"/>
        <v>IP01_DLL_Create_SC_FreeText_100_12</v>
      </c>
      <c r="H27" s="2">
        <v>12</v>
      </c>
      <c r="I27" s="4" t="s">
        <v>224</v>
      </c>
      <c r="J27" s="2" t="s">
        <v>130</v>
      </c>
      <c r="K27" s="2" t="s">
        <v>34</v>
      </c>
      <c r="L27" s="2" t="s">
        <v>238</v>
      </c>
      <c r="M27" s="2" t="s">
        <v>285</v>
      </c>
      <c r="N27" s="2" t="s">
        <v>239</v>
      </c>
      <c r="O27" s="2" t="s">
        <v>157</v>
      </c>
      <c r="P27" s="3">
        <v>10015279</v>
      </c>
      <c r="Q27" s="2" t="s">
        <v>202</v>
      </c>
      <c r="R27" s="2" t="s">
        <v>34</v>
      </c>
      <c r="S27" s="2" t="s">
        <v>238</v>
      </c>
      <c r="T27" s="2" t="s">
        <v>285</v>
      </c>
      <c r="U27" s="2" t="s">
        <v>239</v>
      </c>
      <c r="V27" s="2" t="s">
        <v>157</v>
      </c>
      <c r="W27" s="3" t="s">
        <v>35</v>
      </c>
      <c r="X27" s="9" t="s">
        <v>242</v>
      </c>
      <c r="Y27" s="4" t="s">
        <v>6</v>
      </c>
      <c r="Z27" s="31"/>
      <c r="AA27" s="12" t="str">
        <f t="shared" si="0"/>
        <v>IP01_DLL_Create_SC_FreeText_100_12</v>
      </c>
      <c r="AB27" s="30" t="s">
        <v>292</v>
      </c>
      <c r="AC27" s="12" t="str">
        <f t="shared" si="1"/>
        <v>Shopping cart  has no errors</v>
      </c>
      <c r="AD27" s="12" t="str">
        <f t="shared" si="2"/>
        <v>Shopping cart %quote%IP01_DLL_Create_SC_FreeText_100_12%quote% with number  ordered successfully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8"/>
    </row>
    <row r="28">
      <c r="A28" s="1">
        <v>28</v>
      </c>
      <c r="B28" s="21" t="s">
        <v>144</v>
      </c>
      <c r="C28" s="28" t="s">
        <v>3</v>
      </c>
      <c r="D28" s="6" t="s">
        <v>305</v>
      </c>
      <c r="E28" s="5" t="s">
        <v>223</v>
      </c>
      <c r="F28" s="6" t="s">
        <v>6</v>
      </c>
      <c r="G28" s="2" t="str">
        <f t="shared" si="5"/>
        <v>IP01_DLL_Create_SC_FreeText_100_1</v>
      </c>
      <c r="H28" s="2">
        <v>1</v>
      </c>
      <c r="I28" s="4" t="s">
        <v>224</v>
      </c>
      <c r="J28" s="2" t="s">
        <v>130</v>
      </c>
      <c r="K28" s="2" t="s">
        <v>34</v>
      </c>
      <c r="L28" s="2" t="s">
        <v>238</v>
      </c>
      <c r="M28" s="2" t="s">
        <v>285</v>
      </c>
      <c r="N28" s="2" t="s">
        <v>239</v>
      </c>
      <c r="O28" s="2" t="s">
        <v>157</v>
      </c>
      <c r="P28" s="3">
        <v>10015279</v>
      </c>
      <c r="Q28" s="2" t="s">
        <v>202</v>
      </c>
      <c r="R28" s="2" t="s">
        <v>34</v>
      </c>
      <c r="S28" s="2" t="s">
        <v>238</v>
      </c>
      <c r="T28" s="2" t="s">
        <v>285</v>
      </c>
      <c r="U28" s="2" t="s">
        <v>239</v>
      </c>
      <c r="V28" s="2" t="s">
        <v>157</v>
      </c>
      <c r="W28" s="3" t="s">
        <v>35</v>
      </c>
      <c r="X28" s="9" t="s">
        <v>13</v>
      </c>
      <c r="Y28" s="4" t="s">
        <v>6</v>
      </c>
      <c r="Z28" s="31"/>
      <c r="AA28" s="12" t="str">
        <f t="shared" si="0"/>
        <v>IP01_DLL_Create_SC_FreeText_100_1</v>
      </c>
      <c r="AB28" s="30" t="s">
        <v>292</v>
      </c>
      <c r="AC28" s="12" t="str">
        <f t="shared" si="1"/>
        <v>Shopping cart  has no errors</v>
      </c>
      <c r="AD28" s="12" t="str">
        <f t="shared" si="2"/>
        <v>Shopping cart %quote%IP01_DLL_Create_SC_FreeText_100_1%quote% with number  ordered successfully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8"/>
    </row>
    <row r="29">
      <c r="A29" s="1">
        <v>29</v>
      </c>
      <c r="B29" s="21" t="s">
        <v>301</v>
      </c>
      <c r="C29" s="28" t="s">
        <v>3</v>
      </c>
      <c r="D29" s="6" t="s">
        <v>305</v>
      </c>
      <c r="E29" s="5" t="s">
        <v>223</v>
      </c>
      <c r="F29" s="6" t="s">
        <v>6</v>
      </c>
      <c r="G29" s="2" t="str">
        <f t="shared" si="5"/>
        <v>IP01_DLL_Create_SC_FreeText_100_1</v>
      </c>
      <c r="H29" s="2">
        <v>1</v>
      </c>
      <c r="I29" s="4" t="s">
        <v>224</v>
      </c>
      <c r="J29" s="2" t="s">
        <v>130</v>
      </c>
      <c r="K29" s="2" t="s">
        <v>34</v>
      </c>
      <c r="L29" s="2" t="s">
        <v>238</v>
      </c>
      <c r="M29" s="2" t="s">
        <v>285</v>
      </c>
      <c r="N29" s="2" t="s">
        <v>239</v>
      </c>
      <c r="O29" s="2" t="s">
        <v>157</v>
      </c>
      <c r="P29" s="3">
        <v>10015279</v>
      </c>
      <c r="Q29" s="2" t="s">
        <v>202</v>
      </c>
      <c r="R29" s="2" t="s">
        <v>34</v>
      </c>
      <c r="S29" s="2" t="s">
        <v>238</v>
      </c>
      <c r="T29" s="2" t="s">
        <v>285</v>
      </c>
      <c r="U29" s="2" t="s">
        <v>239</v>
      </c>
      <c r="V29" s="2" t="s">
        <v>157</v>
      </c>
      <c r="W29" s="3" t="s">
        <v>35</v>
      </c>
      <c r="X29" s="9" t="s">
        <v>90</v>
      </c>
      <c r="Y29" s="4" t="s">
        <v>6</v>
      </c>
      <c r="Z29" s="31"/>
      <c r="AA29" s="12" t="str">
        <f t="shared" si="0"/>
        <v>IP01_DLL_Create_SC_FreeText_100_1</v>
      </c>
      <c r="AB29" s="30" t="s">
        <v>292</v>
      </c>
      <c r="AC29" s="12" t="str">
        <f t="shared" si="1"/>
        <v>Shopping cart  has no errors</v>
      </c>
      <c r="AD29" s="12" t="str">
        <f t="shared" si="2"/>
        <v>Shopping cart %quote%IP01_DLL_Create_SC_FreeText_100_1%quote% with number  ordered successfully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8"/>
    </row>
    <row r="30">
      <c r="A30" s="1">
        <v>30</v>
      </c>
      <c r="B30" s="21" t="s">
        <v>174</v>
      </c>
      <c r="C30" s="28" t="s">
        <v>3</v>
      </c>
      <c r="D30" s="6" t="s">
        <v>305</v>
      </c>
      <c r="E30" s="5" t="s">
        <v>223</v>
      </c>
      <c r="F30" s="6" t="s">
        <v>6</v>
      </c>
      <c r="G30" s="2" t="str">
        <f t="shared" si="5"/>
        <v>IP01_DLL_Create_SC_FreeText_100_1</v>
      </c>
      <c r="H30" s="2">
        <v>1</v>
      </c>
      <c r="I30" s="4" t="s">
        <v>224</v>
      </c>
      <c r="J30" s="2" t="s">
        <v>130</v>
      </c>
      <c r="K30" s="2" t="s">
        <v>34</v>
      </c>
      <c r="L30" s="2" t="s">
        <v>238</v>
      </c>
      <c r="M30" s="2" t="s">
        <v>285</v>
      </c>
      <c r="N30" s="2" t="s">
        <v>239</v>
      </c>
      <c r="O30" s="2" t="s">
        <v>157</v>
      </c>
      <c r="P30" s="3">
        <v>10015279</v>
      </c>
      <c r="Q30" s="2" t="s">
        <v>202</v>
      </c>
      <c r="R30" s="2" t="s">
        <v>34</v>
      </c>
      <c r="S30" s="2" t="s">
        <v>238</v>
      </c>
      <c r="T30" s="2" t="s">
        <v>285</v>
      </c>
      <c r="U30" s="2" t="s">
        <v>239</v>
      </c>
      <c r="V30" s="2" t="s">
        <v>157</v>
      </c>
      <c r="W30" s="3" t="s">
        <v>35</v>
      </c>
      <c r="X30" s="9" t="s">
        <v>243</v>
      </c>
      <c r="Y30" s="4" t="s">
        <v>6</v>
      </c>
      <c r="Z30" s="31"/>
      <c r="AA30" s="12" t="str">
        <f t="shared" si="0"/>
        <v>IP01_DLL_Create_SC_FreeText_100_1</v>
      </c>
      <c r="AB30" s="30" t="s">
        <v>292</v>
      </c>
      <c r="AC30" s="12" t="str">
        <f t="shared" si="1"/>
        <v>Shopping cart  has no errors</v>
      </c>
      <c r="AD30" s="12" t="str">
        <f t="shared" si="2"/>
        <v>Shopping cart %quote%IP01_DLL_Create_SC_FreeText_100_1%quote% with number  ordered successfully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8"/>
    </row>
    <row r="31">
      <c r="A31" s="1">
        <v>31</v>
      </c>
      <c r="B31" s="21" t="s">
        <v>124</v>
      </c>
      <c r="C31" s="28" t="s">
        <v>3</v>
      </c>
      <c r="D31" s="6" t="s">
        <v>305</v>
      </c>
      <c r="E31" s="5" t="s">
        <v>223</v>
      </c>
      <c r="F31" s="6" t="s">
        <v>6</v>
      </c>
      <c r="G31" s="2" t="str">
        <f t="shared" si="5"/>
        <v>IP01_DLL_Create_SC_FreeText_100_1</v>
      </c>
      <c r="H31" s="2">
        <v>1</v>
      </c>
      <c r="I31" s="4" t="s">
        <v>224</v>
      </c>
      <c r="J31" s="2" t="s">
        <v>130</v>
      </c>
      <c r="K31" s="2" t="s">
        <v>34</v>
      </c>
      <c r="L31" s="2" t="s">
        <v>238</v>
      </c>
      <c r="M31" s="2" t="s">
        <v>285</v>
      </c>
      <c r="N31" s="2" t="s">
        <v>239</v>
      </c>
      <c r="O31" s="2" t="s">
        <v>157</v>
      </c>
      <c r="P31" s="3">
        <v>10015279</v>
      </c>
      <c r="Q31" s="2" t="s">
        <v>202</v>
      </c>
      <c r="R31" s="2" t="s">
        <v>34</v>
      </c>
      <c r="S31" s="2" t="s">
        <v>238</v>
      </c>
      <c r="T31" s="2" t="s">
        <v>285</v>
      </c>
      <c r="U31" s="2" t="s">
        <v>239</v>
      </c>
      <c r="V31" s="2" t="s">
        <v>157</v>
      </c>
      <c r="W31" s="3" t="s">
        <v>35</v>
      </c>
      <c r="X31" s="9" t="s">
        <v>14</v>
      </c>
      <c r="Y31" s="4" t="s">
        <v>6</v>
      </c>
      <c r="Z31" s="31"/>
      <c r="AA31" s="12" t="str">
        <f t="shared" si="0"/>
        <v>IP01_DLL_Create_SC_FreeText_100_1</v>
      </c>
      <c r="AB31" s="30" t="s">
        <v>292</v>
      </c>
      <c r="AC31" s="12" t="str">
        <f t="shared" si="1"/>
        <v>Shopping cart  has no errors</v>
      </c>
      <c r="AD31" s="12" t="str">
        <f t="shared" si="2"/>
        <v>Shopping cart %quote%IP01_DLL_Create_SC_FreeText_100_1%quote% with number  ordered successfully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8"/>
    </row>
    <row r="32">
      <c r="A32" s="1">
        <v>32</v>
      </c>
      <c r="B32" s="21" t="s">
        <v>257</v>
      </c>
      <c r="C32" s="28" t="s">
        <v>3</v>
      </c>
      <c r="D32" s="6" t="s">
        <v>305</v>
      </c>
      <c r="E32" s="5" t="s">
        <v>223</v>
      </c>
      <c r="F32" s="6" t="s">
        <v>6</v>
      </c>
      <c r="G32" s="2" t="str">
        <f t="shared" si="5"/>
        <v>IP01_DLL_Create_SC_FreeText_100_1</v>
      </c>
      <c r="H32" s="2">
        <v>1</v>
      </c>
      <c r="I32" s="4" t="s">
        <v>224</v>
      </c>
      <c r="J32" s="2" t="s">
        <v>130</v>
      </c>
      <c r="K32" s="2" t="s">
        <v>34</v>
      </c>
      <c r="L32" s="2" t="s">
        <v>238</v>
      </c>
      <c r="M32" s="2" t="s">
        <v>285</v>
      </c>
      <c r="N32" s="2" t="s">
        <v>239</v>
      </c>
      <c r="O32" s="2" t="s">
        <v>157</v>
      </c>
      <c r="P32" s="3">
        <v>10015279</v>
      </c>
      <c r="Q32" s="2" t="s">
        <v>202</v>
      </c>
      <c r="R32" s="2" t="s">
        <v>34</v>
      </c>
      <c r="S32" s="2" t="s">
        <v>238</v>
      </c>
      <c r="T32" s="2" t="s">
        <v>285</v>
      </c>
      <c r="U32" s="2" t="s">
        <v>239</v>
      </c>
      <c r="V32" s="2" t="s">
        <v>157</v>
      </c>
      <c r="W32" s="3" t="s">
        <v>35</v>
      </c>
      <c r="X32" s="9" t="s">
        <v>91</v>
      </c>
      <c r="Y32" s="4" t="s">
        <v>6</v>
      </c>
      <c r="Z32" s="31"/>
      <c r="AA32" s="12" t="str">
        <f t="shared" si="0"/>
        <v>IP01_DLL_Create_SC_FreeText_100_1</v>
      </c>
      <c r="AB32" s="30" t="s">
        <v>292</v>
      </c>
      <c r="AC32" s="12" t="str">
        <f t="shared" si="1"/>
        <v>Shopping cart  has no errors</v>
      </c>
      <c r="AD32" s="12" t="str">
        <f t="shared" si="2"/>
        <v>Shopping cart %quote%IP01_DLL_Create_SC_FreeText_100_1%quote% with number  ordered successfully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8"/>
    </row>
    <row r="33">
      <c r="A33" s="1">
        <v>33</v>
      </c>
      <c r="B33" s="1" t="s">
        <v>51</v>
      </c>
      <c r="C33" s="28" t="s">
        <v>3</v>
      </c>
      <c r="D33" s="5" t="s">
        <v>234</v>
      </c>
      <c r="E33" s="5" t="s">
        <v>128</v>
      </c>
      <c r="F33" s="5" t="s">
        <v>6</v>
      </c>
      <c r="G33" s="2" t="str">
        <f t="shared" si="6" ref="G33:G43">"IP01_AB_Create_SC_FreeText_Approval_"&amp;H33</f>
        <v>IP01_AB_Create_SC_FreeText_Approval_34</v>
      </c>
      <c r="H33" s="3" t="s">
        <v>84</v>
      </c>
      <c r="I33" s="7" t="s">
        <v>224</v>
      </c>
      <c r="J33" s="3" t="s">
        <v>130</v>
      </c>
      <c r="K33" s="3" t="s">
        <v>131</v>
      </c>
      <c r="L33" s="3" t="s">
        <v>238</v>
      </c>
      <c r="M33" s="3" t="s">
        <v>285</v>
      </c>
      <c r="N33" s="3" t="s">
        <v>239</v>
      </c>
      <c r="O33" s="3" t="s">
        <v>157</v>
      </c>
      <c r="P33" s="3" t="s">
        <v>7</v>
      </c>
      <c r="Q33" s="3" t="s">
        <v>202</v>
      </c>
      <c r="R33" s="3" t="s">
        <v>131</v>
      </c>
      <c r="S33" s="3" t="s">
        <v>238</v>
      </c>
      <c r="T33" s="3" t="s">
        <v>285</v>
      </c>
      <c r="U33" s="3" t="s">
        <v>239</v>
      </c>
      <c r="V33" s="3" t="s">
        <v>157</v>
      </c>
      <c r="W33" s="3" t="s">
        <v>203</v>
      </c>
      <c r="X33" s="9" t="s">
        <v>163</v>
      </c>
      <c r="Y33" s="7" t="s">
        <v>6</v>
      </c>
      <c r="Z33" s="31"/>
      <c r="AA33" s="12" t="str">
        <f t="shared" si="0"/>
        <v>IP01_AB_Create_SC_FreeText_Approval_34</v>
      </c>
      <c r="AB33" s="30" t="s">
        <v>292</v>
      </c>
      <c r="AC33" s="12" t="str">
        <f t="shared" si="1"/>
        <v>Shopping cart  has no errors</v>
      </c>
      <c r="AD33" s="12" t="str">
        <f t="shared" si="2"/>
        <v>Shopping cart %quote%IP01_AB_Create_SC_FreeText_Approval_34%quote% with number  ordered successfully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8"/>
    </row>
    <row r="34">
      <c r="A34" s="1">
        <v>34</v>
      </c>
      <c r="B34" s="1" t="s">
        <v>219</v>
      </c>
      <c r="C34" s="28" t="s">
        <v>3</v>
      </c>
      <c r="D34" s="5" t="s">
        <v>234</v>
      </c>
      <c r="E34" s="5" t="s">
        <v>128</v>
      </c>
      <c r="F34" s="5" t="s">
        <v>6</v>
      </c>
      <c r="G34" s="2" t="str">
        <f t="shared" si="6"/>
        <v>IP01_AB_Create_SC_FreeText_Approval_34</v>
      </c>
      <c r="H34" s="3" t="s">
        <v>84</v>
      </c>
      <c r="I34" s="7" t="s">
        <v>224</v>
      </c>
      <c r="J34" s="3" t="s">
        <v>130</v>
      </c>
      <c r="K34" s="3" t="s">
        <v>131</v>
      </c>
      <c r="L34" s="3" t="s">
        <v>238</v>
      </c>
      <c r="M34" s="3" t="s">
        <v>285</v>
      </c>
      <c r="N34" s="3" t="s">
        <v>239</v>
      </c>
      <c r="O34" s="3" t="s">
        <v>157</v>
      </c>
      <c r="P34" s="3" t="s">
        <v>7</v>
      </c>
      <c r="Q34" s="3" t="s">
        <v>202</v>
      </c>
      <c r="R34" s="3" t="s">
        <v>131</v>
      </c>
      <c r="S34" s="3" t="s">
        <v>238</v>
      </c>
      <c r="T34" s="3" t="s">
        <v>285</v>
      </c>
      <c r="U34" s="3" t="s">
        <v>239</v>
      </c>
      <c r="V34" s="3" t="s">
        <v>157</v>
      </c>
      <c r="W34" s="3" t="s">
        <v>203</v>
      </c>
      <c r="X34" s="9" t="s">
        <v>244</v>
      </c>
      <c r="Y34" s="7" t="s">
        <v>6</v>
      </c>
      <c r="Z34" s="31"/>
      <c r="AA34" s="12" t="str">
        <f t="shared" si="0"/>
        <v>IP01_AB_Create_SC_FreeText_Approval_34</v>
      </c>
      <c r="AB34" s="30" t="s">
        <v>292</v>
      </c>
      <c r="AC34" s="12" t="str">
        <f t="shared" si="1"/>
        <v>Shopping cart  has no errors</v>
      </c>
      <c r="AD34" s="12" t="str">
        <f t="shared" si="2"/>
        <v>Shopping cart %quote%IP01_AB_Create_SC_FreeText_Approval_34%quote% with number  ordered successfully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8"/>
    </row>
    <row r="35">
      <c r="A35" s="1">
        <v>35</v>
      </c>
      <c r="B35" s="1" t="s">
        <v>24</v>
      </c>
      <c r="C35" s="28" t="s">
        <v>3</v>
      </c>
      <c r="D35" s="5" t="s">
        <v>234</v>
      </c>
      <c r="E35" s="5" t="s">
        <v>128</v>
      </c>
      <c r="F35" s="5" t="s">
        <v>6</v>
      </c>
      <c r="G35" s="2" t="str">
        <f t="shared" si="6"/>
        <v>IP01_AB_Create_SC_FreeText_Approval_34</v>
      </c>
      <c r="H35" s="3" t="s">
        <v>84</v>
      </c>
      <c r="I35" s="7" t="s">
        <v>224</v>
      </c>
      <c r="J35" s="3" t="s">
        <v>130</v>
      </c>
      <c r="K35" s="3" t="s">
        <v>131</v>
      </c>
      <c r="L35" s="3" t="s">
        <v>238</v>
      </c>
      <c r="M35" s="3" t="s">
        <v>285</v>
      </c>
      <c r="N35" s="3" t="s">
        <v>239</v>
      </c>
      <c r="O35" s="3" t="s">
        <v>157</v>
      </c>
      <c r="P35" s="3" t="s">
        <v>7</v>
      </c>
      <c r="Q35" s="3" t="s">
        <v>202</v>
      </c>
      <c r="R35" s="3" t="s">
        <v>131</v>
      </c>
      <c r="S35" s="3" t="s">
        <v>238</v>
      </c>
      <c r="T35" s="3" t="s">
        <v>285</v>
      </c>
      <c r="U35" s="3" t="s">
        <v>239</v>
      </c>
      <c r="V35" s="3" t="s">
        <v>157</v>
      </c>
      <c r="W35" s="3" t="s">
        <v>203</v>
      </c>
      <c r="X35" s="9" t="s">
        <v>15</v>
      </c>
      <c r="Y35" s="7" t="s">
        <v>6</v>
      </c>
      <c r="Z35" s="31"/>
      <c r="AA35" s="12" t="str">
        <f t="shared" si="0"/>
        <v>IP01_AB_Create_SC_FreeText_Approval_34</v>
      </c>
      <c r="AB35" s="30" t="s">
        <v>292</v>
      </c>
      <c r="AC35" s="12" t="str">
        <f t="shared" si="1"/>
        <v>Shopping cart  has no errors</v>
      </c>
      <c r="AD35" s="12" t="str">
        <f t="shared" si="2"/>
        <v>Shopping cart %quote%IP01_AB_Create_SC_FreeText_Approval_34%quote% with number  ordered successfully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8"/>
    </row>
    <row r="36">
      <c r="A36" s="1">
        <v>36</v>
      </c>
      <c r="B36" s="1" t="s">
        <v>220</v>
      </c>
      <c r="C36" s="28" t="s">
        <v>3</v>
      </c>
      <c r="D36" s="5" t="s">
        <v>234</v>
      </c>
      <c r="E36" s="5" t="s">
        <v>128</v>
      </c>
      <c r="F36" s="5" t="s">
        <v>6</v>
      </c>
      <c r="G36" s="2" t="str">
        <f t="shared" si="6"/>
        <v>IP01_AB_Create_SC_FreeText_Approval_34</v>
      </c>
      <c r="H36" s="3" t="s">
        <v>84</v>
      </c>
      <c r="I36" s="7" t="s">
        <v>224</v>
      </c>
      <c r="J36" s="3" t="s">
        <v>130</v>
      </c>
      <c r="K36" s="3" t="s">
        <v>131</v>
      </c>
      <c r="L36" s="3" t="s">
        <v>238</v>
      </c>
      <c r="M36" s="3" t="s">
        <v>285</v>
      </c>
      <c r="N36" s="3" t="s">
        <v>239</v>
      </c>
      <c r="O36" s="3" t="s">
        <v>157</v>
      </c>
      <c r="P36" s="3" t="s">
        <v>7</v>
      </c>
      <c r="Q36" s="3" t="s">
        <v>202</v>
      </c>
      <c r="R36" s="3" t="s">
        <v>131</v>
      </c>
      <c r="S36" s="3" t="s">
        <v>238</v>
      </c>
      <c r="T36" s="3" t="s">
        <v>285</v>
      </c>
      <c r="U36" s="3" t="s">
        <v>239</v>
      </c>
      <c r="V36" s="3" t="s">
        <v>157</v>
      </c>
      <c r="W36" s="3" t="s">
        <v>203</v>
      </c>
      <c r="X36" s="9" t="s">
        <v>92</v>
      </c>
      <c r="Y36" s="7" t="s">
        <v>6</v>
      </c>
      <c r="Z36" s="31"/>
      <c r="AA36" s="12" t="str">
        <f t="shared" si="0"/>
        <v>IP01_AB_Create_SC_FreeText_Approval_34</v>
      </c>
      <c r="AB36" s="30" t="s">
        <v>292</v>
      </c>
      <c r="AC36" s="12" t="str">
        <f t="shared" si="1"/>
        <v>Shopping cart  has no errors</v>
      </c>
      <c r="AD36" s="12" t="str">
        <f t="shared" si="2"/>
        <v>Shopping cart %quote%IP01_AB_Create_SC_FreeText_Approval_34%quote% with number  ordered successfully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8"/>
    </row>
    <row r="37">
      <c r="A37" s="1">
        <v>37</v>
      </c>
      <c r="B37" s="1" t="s">
        <v>104</v>
      </c>
      <c r="C37" s="28" t="s">
        <v>3</v>
      </c>
      <c r="D37" s="5" t="s">
        <v>234</v>
      </c>
      <c r="E37" s="5" t="s">
        <v>128</v>
      </c>
      <c r="F37" s="5" t="s">
        <v>6</v>
      </c>
      <c r="G37" s="2" t="str">
        <f t="shared" si="6"/>
        <v>IP01_AB_Create_SC_FreeText_Approval_34</v>
      </c>
      <c r="H37" s="3" t="s">
        <v>84</v>
      </c>
      <c r="I37" s="7" t="s">
        <v>224</v>
      </c>
      <c r="J37" s="3" t="s">
        <v>130</v>
      </c>
      <c r="K37" s="3" t="s">
        <v>131</v>
      </c>
      <c r="L37" s="3" t="s">
        <v>238</v>
      </c>
      <c r="M37" s="3" t="s">
        <v>285</v>
      </c>
      <c r="N37" s="3" t="s">
        <v>239</v>
      </c>
      <c r="O37" s="3" t="s">
        <v>157</v>
      </c>
      <c r="P37" s="3" t="s">
        <v>7</v>
      </c>
      <c r="Q37" s="3" t="s">
        <v>202</v>
      </c>
      <c r="R37" s="3" t="s">
        <v>131</v>
      </c>
      <c r="S37" s="3" t="s">
        <v>238</v>
      </c>
      <c r="T37" s="3" t="s">
        <v>285</v>
      </c>
      <c r="U37" s="3" t="s">
        <v>239</v>
      </c>
      <c r="V37" s="3" t="s">
        <v>157</v>
      </c>
      <c r="W37" s="3" t="s">
        <v>203</v>
      </c>
      <c r="X37" s="9" t="s">
        <v>164</v>
      </c>
      <c r="Y37" s="7" t="s">
        <v>6</v>
      </c>
      <c r="Z37" s="31"/>
      <c r="AA37" s="12" t="str">
        <f t="shared" si="0"/>
        <v>IP01_AB_Create_SC_FreeText_Approval_34</v>
      </c>
      <c r="AB37" s="30" t="s">
        <v>292</v>
      </c>
      <c r="AC37" s="12" t="str">
        <f t="shared" si="1"/>
        <v>Shopping cart  has no errors</v>
      </c>
      <c r="AD37" s="12" t="str">
        <f t="shared" si="2"/>
        <v>Shopping cart %quote%IP01_AB_Create_SC_FreeText_Approval_34%quote% with number  ordered successfully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8"/>
    </row>
    <row r="38">
      <c r="A38" s="1">
        <v>38</v>
      </c>
      <c r="B38" s="1" t="s">
        <v>65</v>
      </c>
      <c r="C38" s="28" t="s">
        <v>3</v>
      </c>
      <c r="D38" s="5" t="s">
        <v>234</v>
      </c>
      <c r="E38" s="5" t="s">
        <v>128</v>
      </c>
      <c r="F38" s="5" t="s">
        <v>6</v>
      </c>
      <c r="G38" s="2" t="str">
        <f t="shared" si="6"/>
        <v>IP01_AB_Create_SC_FreeText_Approval_34</v>
      </c>
      <c r="H38" s="3" t="s">
        <v>84</v>
      </c>
      <c r="I38" s="7" t="s">
        <v>224</v>
      </c>
      <c r="J38" s="3" t="s">
        <v>130</v>
      </c>
      <c r="K38" s="3" t="s">
        <v>131</v>
      </c>
      <c r="L38" s="3" t="s">
        <v>238</v>
      </c>
      <c r="M38" s="3" t="s">
        <v>285</v>
      </c>
      <c r="N38" s="3" t="s">
        <v>239</v>
      </c>
      <c r="O38" s="3" t="s">
        <v>157</v>
      </c>
      <c r="P38" s="3" t="s">
        <v>7</v>
      </c>
      <c r="Q38" s="3" t="s">
        <v>202</v>
      </c>
      <c r="R38" s="3" t="s">
        <v>131</v>
      </c>
      <c r="S38" s="3" t="s">
        <v>238</v>
      </c>
      <c r="T38" s="3" t="s">
        <v>285</v>
      </c>
      <c r="U38" s="3" t="s">
        <v>239</v>
      </c>
      <c r="V38" s="3" t="s">
        <v>157</v>
      </c>
      <c r="W38" s="3" t="s">
        <v>203</v>
      </c>
      <c r="X38" s="9" t="s">
        <v>245</v>
      </c>
      <c r="Y38" s="7" t="s">
        <v>6</v>
      </c>
      <c r="Z38" s="31"/>
      <c r="AA38" s="12" t="str">
        <f t="shared" si="0"/>
        <v>IP01_AB_Create_SC_FreeText_Approval_34</v>
      </c>
      <c r="AB38" s="30" t="s">
        <v>292</v>
      </c>
      <c r="AC38" s="12" t="str">
        <f t="shared" si="1"/>
        <v>Shopping cart  has no errors</v>
      </c>
      <c r="AD38" s="12" t="str">
        <f t="shared" si="2"/>
        <v>Shopping cart %quote%IP01_AB_Create_SC_FreeText_Approval_34%quote% with number  ordered successfully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8"/>
    </row>
    <row r="39">
      <c r="A39" s="1">
        <v>39</v>
      </c>
      <c r="B39" s="1" t="s">
        <v>80</v>
      </c>
      <c r="C39" s="28" t="s">
        <v>3</v>
      </c>
      <c r="D39" s="5" t="s">
        <v>234</v>
      </c>
      <c r="E39" s="5" t="s">
        <v>128</v>
      </c>
      <c r="F39" s="5" t="s">
        <v>6</v>
      </c>
      <c r="G39" s="2" t="str">
        <f t="shared" si="6"/>
        <v>IP01_AB_Create_SC_FreeText_Approval_34</v>
      </c>
      <c r="H39" s="3" t="s">
        <v>84</v>
      </c>
      <c r="I39" s="7" t="s">
        <v>224</v>
      </c>
      <c r="J39" s="3" t="s">
        <v>130</v>
      </c>
      <c r="K39" s="3" t="s">
        <v>131</v>
      </c>
      <c r="L39" s="3" t="s">
        <v>238</v>
      </c>
      <c r="M39" s="3" t="s">
        <v>285</v>
      </c>
      <c r="N39" s="3" t="s">
        <v>239</v>
      </c>
      <c r="O39" s="3" t="s">
        <v>157</v>
      </c>
      <c r="P39" s="3" t="s">
        <v>7</v>
      </c>
      <c r="Q39" s="3" t="s">
        <v>202</v>
      </c>
      <c r="R39" s="3" t="s">
        <v>131</v>
      </c>
      <c r="S39" s="3" t="s">
        <v>238</v>
      </c>
      <c r="T39" s="3" t="s">
        <v>285</v>
      </c>
      <c r="U39" s="3" t="s">
        <v>239</v>
      </c>
      <c r="V39" s="3" t="s">
        <v>157</v>
      </c>
      <c r="W39" s="3" t="s">
        <v>203</v>
      </c>
      <c r="X39" s="9" t="s">
        <v>37</v>
      </c>
      <c r="Y39" s="7" t="s">
        <v>6</v>
      </c>
      <c r="Z39" s="31"/>
      <c r="AA39" s="12" t="str">
        <f t="shared" si="0"/>
        <v>IP01_AB_Create_SC_FreeText_Approval_34</v>
      </c>
      <c r="AB39" s="30" t="s">
        <v>292</v>
      </c>
      <c r="AC39" s="12" t="str">
        <f t="shared" si="1"/>
        <v>Shopping cart  has no errors</v>
      </c>
      <c r="AD39" s="12" t="str">
        <f t="shared" si="2"/>
        <v>Shopping cart %quote%IP01_AB_Create_SC_FreeText_Approval_34%quote% with number  ordered successfully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8"/>
    </row>
    <row r="40">
      <c r="A40" s="1">
        <v>40</v>
      </c>
      <c r="B40" s="1" t="s">
        <v>302</v>
      </c>
      <c r="C40" s="28" t="s">
        <v>3</v>
      </c>
      <c r="D40" s="5" t="s">
        <v>234</v>
      </c>
      <c r="E40" s="5" t="s">
        <v>128</v>
      </c>
      <c r="F40" s="5" t="s">
        <v>6</v>
      </c>
      <c r="G40" s="2" t="str">
        <f t="shared" si="6"/>
        <v>IP01_AB_Create_SC_FreeText_Approval_34</v>
      </c>
      <c r="H40" s="3" t="s">
        <v>84</v>
      </c>
      <c r="I40" s="7" t="s">
        <v>224</v>
      </c>
      <c r="J40" s="3" t="s">
        <v>130</v>
      </c>
      <c r="K40" s="3" t="s">
        <v>131</v>
      </c>
      <c r="L40" s="3" t="s">
        <v>238</v>
      </c>
      <c r="M40" s="3" t="s">
        <v>285</v>
      </c>
      <c r="N40" s="3" t="s">
        <v>239</v>
      </c>
      <c r="O40" s="3" t="s">
        <v>157</v>
      </c>
      <c r="P40" s="3" t="s">
        <v>7</v>
      </c>
      <c r="Q40" s="3" t="s">
        <v>202</v>
      </c>
      <c r="R40" s="3" t="s">
        <v>131</v>
      </c>
      <c r="S40" s="3" t="s">
        <v>238</v>
      </c>
      <c r="T40" s="3" t="s">
        <v>285</v>
      </c>
      <c r="U40" s="3" t="s">
        <v>239</v>
      </c>
      <c r="V40" s="3" t="s">
        <v>157</v>
      </c>
      <c r="W40" s="3" t="s">
        <v>203</v>
      </c>
      <c r="X40" s="9" t="s">
        <v>165</v>
      </c>
      <c r="Y40" s="7" t="s">
        <v>6</v>
      </c>
      <c r="Z40" s="31"/>
      <c r="AA40" s="12" t="str">
        <f t="shared" si="0"/>
        <v>IP01_AB_Create_SC_FreeText_Approval_34</v>
      </c>
      <c r="AB40" s="30" t="s">
        <v>292</v>
      </c>
      <c r="AC40" s="12" t="str">
        <f t="shared" si="1"/>
        <v>Shopping cart  has no errors</v>
      </c>
      <c r="AD40" s="12" t="str">
        <f t="shared" si="2"/>
        <v>Shopping cart %quote%IP01_AB_Create_SC_FreeText_Approval_34%quote% with number  ordered successfully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8"/>
    </row>
    <row r="41">
      <c r="A41" s="1">
        <v>41</v>
      </c>
      <c r="B41" s="1" t="s">
        <v>233</v>
      </c>
      <c r="C41" s="28" t="s">
        <v>3</v>
      </c>
      <c r="D41" s="5" t="s">
        <v>234</v>
      </c>
      <c r="E41" s="5" t="s">
        <v>128</v>
      </c>
      <c r="F41" s="5" t="s">
        <v>6</v>
      </c>
      <c r="G41" s="2" t="str">
        <f t="shared" si="6"/>
        <v>IP01_AB_Create_SC_FreeText_Approval_34</v>
      </c>
      <c r="H41" s="3" t="s">
        <v>84</v>
      </c>
      <c r="I41" s="7" t="s">
        <v>224</v>
      </c>
      <c r="J41" s="3" t="s">
        <v>130</v>
      </c>
      <c r="K41" s="3" t="s">
        <v>131</v>
      </c>
      <c r="L41" s="3" t="s">
        <v>238</v>
      </c>
      <c r="M41" s="3" t="s">
        <v>285</v>
      </c>
      <c r="N41" s="3" t="s">
        <v>239</v>
      </c>
      <c r="O41" s="3" t="s">
        <v>157</v>
      </c>
      <c r="P41" s="3" t="s">
        <v>7</v>
      </c>
      <c r="Q41" s="3" t="s">
        <v>202</v>
      </c>
      <c r="R41" s="3" t="s">
        <v>131</v>
      </c>
      <c r="S41" s="3" t="s">
        <v>238</v>
      </c>
      <c r="T41" s="3" t="s">
        <v>285</v>
      </c>
      <c r="U41" s="3" t="s">
        <v>239</v>
      </c>
      <c r="V41" s="3" t="s">
        <v>157</v>
      </c>
      <c r="W41" s="3" t="s">
        <v>203</v>
      </c>
      <c r="X41" s="9" t="s">
        <v>246</v>
      </c>
      <c r="Y41" s="7" t="s">
        <v>6</v>
      </c>
      <c r="Z41" s="31"/>
      <c r="AA41" s="12" t="str">
        <f t="shared" si="0"/>
        <v>IP01_AB_Create_SC_FreeText_Approval_34</v>
      </c>
      <c r="AB41" s="30" t="s">
        <v>292</v>
      </c>
      <c r="AC41" s="12" t="str">
        <f t="shared" si="1"/>
        <v>Shopping cart  has no errors</v>
      </c>
      <c r="AD41" s="12" t="str">
        <f t="shared" si="2"/>
        <v>Shopping cart %quote%IP01_AB_Create_SC_FreeText_Approval_34%quote% with number  ordered successfully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8"/>
    </row>
    <row r="42">
      <c r="A42" s="1">
        <v>42</v>
      </c>
      <c r="B42" s="1" t="s">
        <v>175</v>
      </c>
      <c r="C42" s="28" t="s">
        <v>3</v>
      </c>
      <c r="D42" s="5" t="s">
        <v>234</v>
      </c>
      <c r="E42" s="5" t="s">
        <v>128</v>
      </c>
      <c r="F42" s="5" t="s">
        <v>6</v>
      </c>
      <c r="G42" s="2" t="str">
        <f t="shared" si="6"/>
        <v>IP01_AB_Create_SC_FreeText_Approval_34</v>
      </c>
      <c r="H42" s="3" t="s">
        <v>84</v>
      </c>
      <c r="I42" s="7" t="s">
        <v>224</v>
      </c>
      <c r="J42" s="3" t="s">
        <v>130</v>
      </c>
      <c r="K42" s="3" t="s">
        <v>131</v>
      </c>
      <c r="L42" s="3" t="s">
        <v>238</v>
      </c>
      <c r="M42" s="3" t="s">
        <v>285</v>
      </c>
      <c r="N42" s="3" t="s">
        <v>239</v>
      </c>
      <c r="O42" s="3" t="s">
        <v>157</v>
      </c>
      <c r="P42" s="3" t="s">
        <v>7</v>
      </c>
      <c r="Q42" s="3" t="s">
        <v>202</v>
      </c>
      <c r="R42" s="3" t="s">
        <v>131</v>
      </c>
      <c r="S42" s="3" t="s">
        <v>238</v>
      </c>
      <c r="T42" s="3" t="s">
        <v>285</v>
      </c>
      <c r="U42" s="3" t="s">
        <v>239</v>
      </c>
      <c r="V42" s="3" t="s">
        <v>157</v>
      </c>
      <c r="W42" s="3" t="s">
        <v>203</v>
      </c>
      <c r="X42" s="9" t="s">
        <v>16</v>
      </c>
      <c r="Y42" s="7" t="s">
        <v>6</v>
      </c>
      <c r="Z42" s="31"/>
      <c r="AA42" s="12" t="str">
        <f t="shared" si="0"/>
        <v>IP01_AB_Create_SC_FreeText_Approval_34</v>
      </c>
      <c r="AB42" s="30" t="s">
        <v>292</v>
      </c>
      <c r="AC42" s="12" t="str">
        <f t="shared" si="1"/>
        <v>Shopping cart  has no errors</v>
      </c>
      <c r="AD42" s="12" t="str">
        <f t="shared" si="2"/>
        <v>Shopping cart %quote%IP01_AB_Create_SC_FreeText_Approval_34%quote% with number  ordered successfully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8"/>
    </row>
    <row r="43">
      <c r="A43" s="1">
        <v>43</v>
      </c>
      <c r="B43" s="1" t="s">
        <v>52</v>
      </c>
      <c r="C43" s="28" t="s">
        <v>3</v>
      </c>
      <c r="D43" s="5" t="s">
        <v>234</v>
      </c>
      <c r="E43" s="5" t="s">
        <v>128</v>
      </c>
      <c r="F43" s="5" t="s">
        <v>6</v>
      </c>
      <c r="G43" s="2" t="str">
        <f t="shared" si="6"/>
        <v>IP01_AB_Create_SC_FreeText_Approval_34</v>
      </c>
      <c r="H43" s="3" t="s">
        <v>84</v>
      </c>
      <c r="I43" s="7" t="s">
        <v>224</v>
      </c>
      <c r="J43" s="3" t="s">
        <v>130</v>
      </c>
      <c r="K43" s="3" t="s">
        <v>131</v>
      </c>
      <c r="L43" s="3" t="s">
        <v>238</v>
      </c>
      <c r="M43" s="3" t="s">
        <v>285</v>
      </c>
      <c r="N43" s="3" t="s">
        <v>239</v>
      </c>
      <c r="O43" s="3" t="s">
        <v>157</v>
      </c>
      <c r="P43" s="3" t="s">
        <v>7</v>
      </c>
      <c r="Q43" s="3" t="s">
        <v>202</v>
      </c>
      <c r="R43" s="3" t="s">
        <v>131</v>
      </c>
      <c r="S43" s="3" t="s">
        <v>238</v>
      </c>
      <c r="T43" s="3" t="s">
        <v>285</v>
      </c>
      <c r="U43" s="3" t="s">
        <v>239</v>
      </c>
      <c r="V43" s="3" t="s">
        <v>157</v>
      </c>
      <c r="W43" s="3" t="s">
        <v>203</v>
      </c>
      <c r="X43" s="9" t="s">
        <v>93</v>
      </c>
      <c r="Y43" s="7" t="s">
        <v>6</v>
      </c>
      <c r="Z43" s="31"/>
      <c r="AA43" s="12" t="str">
        <f t="shared" si="0"/>
        <v>IP01_AB_Create_SC_FreeText_Approval_34</v>
      </c>
      <c r="AB43" s="30" t="s">
        <v>292</v>
      </c>
      <c r="AC43" s="12" t="str">
        <f t="shared" si="1"/>
        <v>Shopping cart  has no errors</v>
      </c>
      <c r="AD43" s="12" t="str">
        <f t="shared" si="2"/>
        <v>Shopping cart %quote%IP01_AB_Create_SC_FreeText_Approval_34%quote% with number  ordered successfully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8"/>
    </row>
    <row r="44">
      <c r="A44" s="1">
        <v>44</v>
      </c>
      <c r="B44" s="1" t="s">
        <v>49</v>
      </c>
      <c r="C44" s="28" t="s">
        <v>3</v>
      </c>
      <c r="D44" s="6" t="s">
        <v>67</v>
      </c>
      <c r="E44" s="5" t="s">
        <v>223</v>
      </c>
      <c r="F44" s="6" t="s">
        <v>6</v>
      </c>
      <c r="G44" s="2" t="str">
        <f>"IP01_DLL_Create_SC_FreeText_BR19_"&amp;H44</f>
        <v>IP01_DLL_Create_SC_FreeText_BR19_26</v>
      </c>
      <c r="H44" s="2">
        <v>26</v>
      </c>
      <c r="I44" s="4" t="s">
        <v>224</v>
      </c>
      <c r="J44" s="2" t="s">
        <v>130</v>
      </c>
      <c r="K44" s="2" t="s">
        <v>34</v>
      </c>
      <c r="L44" s="2" t="s">
        <v>238</v>
      </c>
      <c r="M44" s="2" t="s">
        <v>285</v>
      </c>
      <c r="N44" s="2" t="s">
        <v>239</v>
      </c>
      <c r="O44" s="2" t="s">
        <v>157</v>
      </c>
      <c r="P44" s="3" t="s">
        <v>86</v>
      </c>
      <c r="Q44" s="2" t="s">
        <v>202</v>
      </c>
      <c r="R44" s="2" t="s">
        <v>34</v>
      </c>
      <c r="S44" s="2" t="s">
        <v>238</v>
      </c>
      <c r="T44" s="2" t="s">
        <v>285</v>
      </c>
      <c r="U44" s="2" t="s">
        <v>239</v>
      </c>
      <c r="V44" s="2" t="s">
        <v>157</v>
      </c>
      <c r="W44" s="3" t="s">
        <v>35</v>
      </c>
      <c r="X44" s="9" t="s">
        <v>166</v>
      </c>
      <c r="Y44" s="4" t="s">
        <v>6</v>
      </c>
      <c r="Z44" s="31"/>
      <c r="AA44" s="12" t="str">
        <f t="shared" si="0"/>
        <v>IP01_DLL_Create_SC_FreeText_BR19_26</v>
      </c>
      <c r="AB44" s="30" t="s">
        <v>292</v>
      </c>
      <c r="AC44" s="12" t="str">
        <f t="shared" si="1"/>
        <v>Shopping cart  has no errors</v>
      </c>
      <c r="AD44" s="12" t="str">
        <f t="shared" si="2"/>
        <v>Shopping cart %quote%IP01_DLL_Create_SC_FreeText_BR19_26%quote% with number  ordered successfully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8"/>
    </row>
    <row r="45">
      <c r="A45" s="1">
        <v>45</v>
      </c>
      <c r="B45" s="1" t="s">
        <v>276</v>
      </c>
      <c r="C45" s="28" t="s">
        <v>3</v>
      </c>
      <c r="D45" s="6" t="s">
        <v>67</v>
      </c>
      <c r="E45" s="5" t="s">
        <v>223</v>
      </c>
      <c r="F45" s="6" t="s">
        <v>6</v>
      </c>
      <c r="G45" s="2" t="str">
        <f>"IP01_DLL_Create_SC_FreeText_100_"&amp;H45</f>
        <v>IP01_DLL_Create_SC_FreeText_100_4</v>
      </c>
      <c r="H45" s="2">
        <v>4</v>
      </c>
      <c r="I45" s="4" t="s">
        <v>224</v>
      </c>
      <c r="J45" s="2" t="s">
        <v>130</v>
      </c>
      <c r="K45" s="2" t="s">
        <v>34</v>
      </c>
      <c r="L45" s="2" t="s">
        <v>238</v>
      </c>
      <c r="M45" s="2" t="s">
        <v>285</v>
      </c>
      <c r="N45" s="2" t="s">
        <v>239</v>
      </c>
      <c r="O45" s="2" t="s">
        <v>157</v>
      </c>
      <c r="P45" s="3">
        <v>10015279</v>
      </c>
      <c r="Q45" s="2" t="s">
        <v>202</v>
      </c>
      <c r="R45" s="2" t="s">
        <v>34</v>
      </c>
      <c r="S45" s="2" t="s">
        <v>238</v>
      </c>
      <c r="T45" s="2" t="s">
        <v>285</v>
      </c>
      <c r="U45" s="2" t="s">
        <v>239</v>
      </c>
      <c r="V45" s="2" t="s">
        <v>157</v>
      </c>
      <c r="W45" s="3" t="s">
        <v>35</v>
      </c>
      <c r="X45" s="9" t="s">
        <v>247</v>
      </c>
      <c r="Y45" s="4" t="s">
        <v>6</v>
      </c>
      <c r="Z45" s="31"/>
      <c r="AA45" s="12" t="str">
        <f t="shared" si="0"/>
        <v>IP01_DLL_Create_SC_FreeText_100_4</v>
      </c>
      <c r="AB45" s="30" t="s">
        <v>292</v>
      </c>
      <c r="AC45" s="12" t="str">
        <f t="shared" si="1"/>
        <v>Shopping cart  has no errors</v>
      </c>
      <c r="AD45" s="12" t="str">
        <f t="shared" si="2"/>
        <v>Shopping cart %quote%IP01_DLL_Create_SC_FreeText_100_4%quote% with number  ordered successfully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8"/>
    </row>
    <row r="46">
      <c r="A46" s="1">
        <v>46</v>
      </c>
      <c r="B46" s="1" t="s">
        <v>125</v>
      </c>
      <c r="C46" s="28" t="s">
        <v>3</v>
      </c>
      <c r="D46" s="6" t="s">
        <v>67</v>
      </c>
      <c r="E46" s="5" t="s">
        <v>223</v>
      </c>
      <c r="F46" s="6" t="s">
        <v>6</v>
      </c>
      <c r="G46" s="2" t="str">
        <f>"IP01_DLL_Create_SC_FreeText_BR19_"&amp;H46</f>
        <v>IP01_DLL_Create_SC_FreeText_BR19_32</v>
      </c>
      <c r="H46" s="2">
        <v>32</v>
      </c>
      <c r="I46" s="4" t="s">
        <v>224</v>
      </c>
      <c r="J46" s="2" t="s">
        <v>130</v>
      </c>
      <c r="K46" s="2" t="s">
        <v>34</v>
      </c>
      <c r="L46" s="2" t="s">
        <v>238</v>
      </c>
      <c r="M46" s="2" t="s">
        <v>285</v>
      </c>
      <c r="N46" s="2" t="s">
        <v>239</v>
      </c>
      <c r="O46" s="2" t="s">
        <v>157</v>
      </c>
      <c r="P46" s="3" t="s">
        <v>86</v>
      </c>
      <c r="Q46" s="2" t="s">
        <v>202</v>
      </c>
      <c r="R46" s="2" t="s">
        <v>34</v>
      </c>
      <c r="S46" s="2" t="s">
        <v>238</v>
      </c>
      <c r="T46" s="2" t="s">
        <v>285</v>
      </c>
      <c r="U46" s="2" t="s">
        <v>239</v>
      </c>
      <c r="V46" s="2" t="s">
        <v>157</v>
      </c>
      <c r="W46" s="3" t="s">
        <v>180</v>
      </c>
      <c r="X46" s="9" t="s">
        <v>17</v>
      </c>
      <c r="Y46" s="4" t="s">
        <v>6</v>
      </c>
      <c r="Z46" s="31"/>
      <c r="AA46" s="12" t="str">
        <f t="shared" si="0"/>
        <v>IP01_DLL_Create_SC_FreeText_BR19_32</v>
      </c>
      <c r="AB46" s="30" t="s">
        <v>292</v>
      </c>
      <c r="AC46" s="12" t="str">
        <f t="shared" si="1"/>
        <v>Shopping cart  has no errors</v>
      </c>
      <c r="AD46" s="12" t="str">
        <f t="shared" si="2"/>
        <v>Shopping cart %quote%IP01_DLL_Create_SC_FreeText_BR19_32%quote% with number  ordered successfully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8"/>
    </row>
    <row r="47">
      <c r="A47" s="1">
        <v>47</v>
      </c>
      <c r="B47" s="1"/>
      <c r="C47" s="28" t="s">
        <v>3</v>
      </c>
      <c r="D47" s="6"/>
      <c r="E47" s="5"/>
      <c r="F47" s="6"/>
      <c r="G47" s="2"/>
      <c r="H47" s="2"/>
      <c r="I47" s="4"/>
      <c r="J47" s="2"/>
      <c r="K47" s="2"/>
      <c r="L47" s="2"/>
      <c r="M47" s="2"/>
      <c r="N47" s="2"/>
      <c r="O47" s="2"/>
      <c r="P47" s="3"/>
      <c r="Q47" s="2"/>
      <c r="R47" s="2"/>
      <c r="S47" s="2"/>
      <c r="T47" s="2"/>
      <c r="U47" s="2"/>
      <c r="V47" s="2"/>
      <c r="W47" s="3"/>
      <c r="X47" s="9"/>
      <c r="Y47" s="4"/>
      <c r="Z47" s="31"/>
      <c r="AA47" s="12">
        <f t="shared" si="0"/>
        <v>0</v>
      </c>
      <c r="AB47" s="30" t="s">
        <v>292</v>
      </c>
      <c r="AC47" s="12" t="str">
        <f t="shared" si="1"/>
        <v>Shopping cart  has no errors</v>
      </c>
      <c r="AD47" s="12" t="str">
        <f t="shared" si="2"/>
        <v>Shopping cart %quote%%quote% with number  ordered successfully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8"/>
    </row>
    <row r="48">
      <c r="A48" s="1">
        <v>48</v>
      </c>
      <c r="B48" s="1" t="s">
        <v>81</v>
      </c>
      <c r="C48" s="28" t="s">
        <v>3</v>
      </c>
      <c r="D48" s="5" t="s">
        <v>234</v>
      </c>
      <c r="E48" s="5" t="s">
        <v>128</v>
      </c>
      <c r="F48" s="5" t="s">
        <v>6</v>
      </c>
      <c r="G48" s="2" t="str">
        <f>"AB_Create_SC_FreeText_Approval_25_"&amp;H48</f>
        <v>AB_Create_SC_FreeText_Approval_25_59</v>
      </c>
      <c r="H48" s="3" t="s">
        <v>32</v>
      </c>
      <c r="I48" s="7" t="s">
        <v>224</v>
      </c>
      <c r="J48" s="3" t="s">
        <v>130</v>
      </c>
      <c r="K48" s="3" t="s">
        <v>131</v>
      </c>
      <c r="L48" s="3" t="s">
        <v>238</v>
      </c>
      <c r="M48" s="3" t="s">
        <v>285</v>
      </c>
      <c r="N48" s="3" t="s">
        <v>239</v>
      </c>
      <c r="O48" s="3" t="s">
        <v>157</v>
      </c>
      <c r="P48" s="3" t="s">
        <v>7</v>
      </c>
      <c r="Q48" s="3" t="s">
        <v>202</v>
      </c>
      <c r="R48" s="3" t="s">
        <v>131</v>
      </c>
      <c r="S48" s="3" t="s">
        <v>238</v>
      </c>
      <c r="T48" s="3" t="s">
        <v>285</v>
      </c>
      <c r="U48" s="3" t="s">
        <v>239</v>
      </c>
      <c r="V48" s="3" t="s">
        <v>157</v>
      </c>
      <c r="W48" s="3" t="s">
        <v>203</v>
      </c>
      <c r="X48" s="9" t="s">
        <v>181</v>
      </c>
      <c r="Y48" s="7" t="s">
        <v>6</v>
      </c>
      <c r="Z48" s="31"/>
      <c r="AA48" s="12" t="str">
        <f t="shared" si="0"/>
        <v>AB_Create_SC_FreeText_Approval_25_59</v>
      </c>
      <c r="AB48" s="30" t="s">
        <v>292</v>
      </c>
      <c r="AC48" s="12" t="str">
        <f t="shared" si="1"/>
        <v>Shopping cart  has no errors</v>
      </c>
      <c r="AD48" s="12" t="str">
        <f t="shared" si="2"/>
        <v>Shopping cart %quote%AB_Create_SC_FreeText_Approval_25_59%quote% with number  ordered successfully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8"/>
    </row>
    <row r="49">
      <c r="A49" s="1">
        <v>49</v>
      </c>
      <c r="B49" s="1" t="s">
        <v>277</v>
      </c>
      <c r="C49" s="28" t="s">
        <v>3</v>
      </c>
      <c r="D49" s="6" t="s">
        <v>67</v>
      </c>
      <c r="E49" s="5" t="s">
        <v>223</v>
      </c>
      <c r="F49" s="6" t="s">
        <v>6</v>
      </c>
      <c r="G49" s="2" t="str">
        <f>"DLL_Create_SC_FreeText_Approval_25_"&amp;H49</f>
        <v>DLL_Create_SC_FreeText_Approval_25_53</v>
      </c>
      <c r="H49" s="2">
        <v>53</v>
      </c>
      <c r="I49" s="4" t="s">
        <v>224</v>
      </c>
      <c r="J49" s="2" t="s">
        <v>130</v>
      </c>
      <c r="K49" s="2" t="s">
        <v>34</v>
      </c>
      <c r="L49" s="2" t="s">
        <v>238</v>
      </c>
      <c r="M49" s="2" t="s">
        <v>285</v>
      </c>
      <c r="N49" s="2" t="s">
        <v>239</v>
      </c>
      <c r="O49" s="2" t="s">
        <v>157</v>
      </c>
      <c r="P49" s="3" t="s">
        <v>86</v>
      </c>
      <c r="Q49" s="2" t="s">
        <v>202</v>
      </c>
      <c r="R49" s="2" t="s">
        <v>34</v>
      </c>
      <c r="S49" s="2" t="s">
        <v>238</v>
      </c>
      <c r="T49" s="2" t="s">
        <v>285</v>
      </c>
      <c r="U49" s="2" t="s">
        <v>239</v>
      </c>
      <c r="V49" s="2" t="s">
        <v>157</v>
      </c>
      <c r="W49" s="3" t="s">
        <v>35</v>
      </c>
      <c r="X49" s="9" t="s">
        <v>262</v>
      </c>
      <c r="Y49" s="4" t="s">
        <v>6</v>
      </c>
      <c r="Z49" s="31"/>
      <c r="AA49" s="12" t="str">
        <f t="shared" si="0"/>
        <v>DLL_Create_SC_FreeText_Approval_25_53</v>
      </c>
      <c r="AB49" s="30" t="s">
        <v>292</v>
      </c>
      <c r="AC49" s="12" t="str">
        <f t="shared" si="1"/>
        <v>Shopping cart  has no errors</v>
      </c>
      <c r="AD49" s="12" t="str">
        <f t="shared" si="2"/>
        <v>Shopping cart %quote%DLL_Create_SC_FreeText_Approval_25_53%quote% with number  ordered successfully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8"/>
    </row>
    <row r="50">
      <c r="A50" s="1">
        <v>50</v>
      </c>
      <c r="B50" s="1"/>
      <c r="C50" s="28" t="s">
        <v>3</v>
      </c>
      <c r="D50" s="6"/>
      <c r="E50" s="5"/>
      <c r="F50" s="6"/>
      <c r="G50" s="2"/>
      <c r="H50" s="2"/>
      <c r="I50" s="4"/>
      <c r="J50" s="2"/>
      <c r="K50" s="2"/>
      <c r="L50" s="2"/>
      <c r="M50" s="2"/>
      <c r="N50" s="2"/>
      <c r="O50" s="2"/>
      <c r="P50" s="3"/>
      <c r="Q50" s="2"/>
      <c r="R50" s="2"/>
      <c r="S50" s="2"/>
      <c r="T50" s="2"/>
      <c r="U50" s="2"/>
      <c r="V50" s="2"/>
      <c r="W50" s="22"/>
      <c r="X50" s="9"/>
      <c r="Y50" s="4"/>
      <c r="Z50" s="31"/>
      <c r="AA50" s="12">
        <f t="shared" si="0"/>
        <v>0</v>
      </c>
      <c r="AB50" s="30" t="s">
        <v>292</v>
      </c>
      <c r="AC50" s="12" t="str">
        <f t="shared" si="1"/>
        <v>Shopping cart  has no errors</v>
      </c>
      <c r="AD50" s="12" t="str">
        <f t="shared" si="2"/>
        <v>Shopping cart %quote%%quote% with number  ordered successfully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8"/>
    </row>
    <row r="51">
      <c r="A51" s="1">
        <v>51</v>
      </c>
      <c r="B51" s="1" t="s">
        <v>126</v>
      </c>
      <c r="C51" s="28" t="s">
        <v>3</v>
      </c>
      <c r="D51" s="5" t="s">
        <v>234</v>
      </c>
      <c r="E51" s="5" t="s">
        <v>128</v>
      </c>
      <c r="F51" s="5" t="s">
        <v>6</v>
      </c>
      <c r="G51" s="2" t="str">
        <f>"AB_Create_SC_FreeText_Approval_27_"&amp;H51</f>
        <v>AB_Create_SC_FreeText_Approval_27_45</v>
      </c>
      <c r="H51" s="3" t="s">
        <v>106</v>
      </c>
      <c r="I51" s="7" t="s">
        <v>224</v>
      </c>
      <c r="J51" s="3" t="s">
        <v>130</v>
      </c>
      <c r="K51" s="3" t="s">
        <v>131</v>
      </c>
      <c r="L51" s="3" t="s">
        <v>238</v>
      </c>
      <c r="M51" s="3" t="s">
        <v>285</v>
      </c>
      <c r="N51" s="3" t="s">
        <v>239</v>
      </c>
      <c r="O51" s="3" t="s">
        <v>157</v>
      </c>
      <c r="P51" s="3" t="s">
        <v>7</v>
      </c>
      <c r="Q51" s="3" t="s">
        <v>202</v>
      </c>
      <c r="R51" s="3" t="s">
        <v>131</v>
      </c>
      <c r="S51" s="3" t="s">
        <v>238</v>
      </c>
      <c r="T51" s="3" t="s">
        <v>285</v>
      </c>
      <c r="U51" s="3" t="s">
        <v>239</v>
      </c>
      <c r="V51" s="3" t="s">
        <v>157</v>
      </c>
      <c r="W51" s="3" t="s">
        <v>203</v>
      </c>
      <c r="X51" s="9">
        <v>1000342472</v>
      </c>
      <c r="Y51" s="7" t="s">
        <v>6</v>
      </c>
      <c r="Z51" s="31"/>
      <c r="AA51" s="12" t="str">
        <f t="shared" si="0"/>
        <v>AB_Create_SC_FreeText_Approval_27_45</v>
      </c>
      <c r="AB51" s="30" t="s">
        <v>292</v>
      </c>
      <c r="AC51" s="12" t="str">
        <f t="shared" si="1"/>
        <v>Shopping cart  has no errors</v>
      </c>
      <c r="AD51" s="12" t="str">
        <f t="shared" si="2"/>
        <v>Shopping cart %quote%AB_Create_SC_FreeText_Approval_27_45%quote% with number  ordered successfully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8"/>
    </row>
    <row r="52">
      <c r="A52" s="1">
        <v>52</v>
      </c>
      <c r="B52" s="1" t="s">
        <v>25</v>
      </c>
      <c r="C52" s="28" t="s">
        <v>3</v>
      </c>
      <c r="D52" s="6" t="s">
        <v>305</v>
      </c>
      <c r="E52" s="5" t="s">
        <v>223</v>
      </c>
      <c r="F52" s="5" t="s">
        <v>6</v>
      </c>
      <c r="G52" s="2" t="str">
        <f>"IP01_DLL_Create_SC_FreeText_100_"&amp;H52</f>
        <v>IP01_DLL_Create_SC_FreeText_100_2</v>
      </c>
      <c r="H52" s="3" t="s">
        <v>283</v>
      </c>
      <c r="I52" s="7" t="s">
        <v>224</v>
      </c>
      <c r="J52" s="3" t="s">
        <v>130</v>
      </c>
      <c r="K52" s="2" t="s">
        <v>34</v>
      </c>
      <c r="L52" s="3" t="s">
        <v>238</v>
      </c>
      <c r="M52" s="3" t="s">
        <v>285</v>
      </c>
      <c r="N52" s="3" t="s">
        <v>239</v>
      </c>
      <c r="O52" s="3" t="s">
        <v>157</v>
      </c>
      <c r="P52" s="3">
        <v>10015279</v>
      </c>
      <c r="Q52" s="3" t="s">
        <v>202</v>
      </c>
      <c r="R52" s="2" t="s">
        <v>34</v>
      </c>
      <c r="S52" s="3" t="s">
        <v>238</v>
      </c>
      <c r="T52" s="3" t="s">
        <v>285</v>
      </c>
      <c r="U52" s="3" t="s">
        <v>239</v>
      </c>
      <c r="V52" s="3" t="s">
        <v>157</v>
      </c>
      <c r="W52" s="3" t="s">
        <v>35</v>
      </c>
      <c r="X52" s="9" t="s">
        <v>248</v>
      </c>
      <c r="Y52" s="7" t="s">
        <v>6</v>
      </c>
      <c r="Z52" s="31"/>
      <c r="AA52" s="12" t="str">
        <f t="shared" si="0"/>
        <v>IP01_DLL_Create_SC_FreeText_100_2</v>
      </c>
      <c r="AB52" s="30" t="s">
        <v>292</v>
      </c>
      <c r="AC52" s="12" t="str">
        <f t="shared" si="1"/>
        <v>Shopping cart  has no errors</v>
      </c>
      <c r="AD52" s="12" t="str">
        <f t="shared" si="2"/>
        <v>Shopping cart %quote%IP01_DLL_Create_SC_FreeText_100_2%quote% with number  ordered successfully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8"/>
    </row>
    <row r="53">
      <c r="A53" s="1">
        <v>53</v>
      </c>
      <c r="B53" s="1"/>
      <c r="C53" s="28" t="s">
        <v>3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3"/>
      <c r="X53" s="1"/>
      <c r="Y53" s="1"/>
      <c r="Z53" s="31"/>
      <c r="AA53" s="12">
        <f t="shared" si="0"/>
        <v>0</v>
      </c>
      <c r="AB53" s="30" t="s">
        <v>292</v>
      </c>
      <c r="AC53" s="12" t="str">
        <f t="shared" si="1"/>
        <v>Shopping cart  has no errors</v>
      </c>
      <c r="AD53" s="12" t="str">
        <f t="shared" si="2"/>
        <v>Shopping cart %quote%%quote% with number  ordered successfully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8"/>
    </row>
    <row r="54">
      <c r="A54" s="1">
        <v>54</v>
      </c>
      <c r="B54" s="1" t="s">
        <v>26</v>
      </c>
      <c r="C54" s="28" t="s">
        <v>3</v>
      </c>
      <c r="D54" s="5" t="s">
        <v>234</v>
      </c>
      <c r="E54" s="5" t="s">
        <v>128</v>
      </c>
      <c r="F54" s="5" t="s">
        <v>6</v>
      </c>
      <c r="G54" s="2" t="str">
        <f>"AB_Create_SC_FreeText_Approval_33_"&amp;H54</f>
        <v>AB_Create_SC_FreeText_Approval_33_2</v>
      </c>
      <c r="H54" s="3" t="s">
        <v>283</v>
      </c>
      <c r="I54" s="7" t="s">
        <v>224</v>
      </c>
      <c r="J54" s="3" t="s">
        <v>130</v>
      </c>
      <c r="K54" s="3" t="s">
        <v>131</v>
      </c>
      <c r="L54" s="3" t="s">
        <v>238</v>
      </c>
      <c r="M54" s="3" t="s">
        <v>285</v>
      </c>
      <c r="N54" s="3" t="s">
        <v>239</v>
      </c>
      <c r="O54" s="3" t="s">
        <v>157</v>
      </c>
      <c r="P54" s="3" t="s">
        <v>7</v>
      </c>
      <c r="Q54" s="3" t="s">
        <v>202</v>
      </c>
      <c r="R54" s="3" t="s">
        <v>131</v>
      </c>
      <c r="S54" s="3" t="s">
        <v>238</v>
      </c>
      <c r="T54" s="3" t="s">
        <v>285</v>
      </c>
      <c r="U54" s="3" t="s">
        <v>239</v>
      </c>
      <c r="V54" s="3" t="s">
        <v>157</v>
      </c>
      <c r="W54" s="3" t="s">
        <v>203</v>
      </c>
      <c r="X54" s="9" t="s">
        <v>94</v>
      </c>
      <c r="Y54" s="7" t="s">
        <v>6</v>
      </c>
      <c r="Z54" s="31"/>
      <c r="AA54" s="12" t="str">
        <f t="shared" si="0"/>
        <v>AB_Create_SC_FreeText_Approval_33_2</v>
      </c>
      <c r="AB54" s="30" t="s">
        <v>292</v>
      </c>
      <c r="AC54" s="12" t="str">
        <f t="shared" si="1"/>
        <v>Shopping cart  has no errors</v>
      </c>
      <c r="AD54" s="12" t="str">
        <f t="shared" si="2"/>
        <v>Shopping cart %quote%AB_Create_SC_FreeText_Approval_33_2%quote% with number  ordered successfully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8"/>
    </row>
    <row r="55">
      <c r="A55" s="1">
        <v>55</v>
      </c>
      <c r="B55" s="1" t="s">
        <v>303</v>
      </c>
      <c r="C55" s="28" t="s">
        <v>3</v>
      </c>
      <c r="D55" s="6" t="s">
        <v>67</v>
      </c>
      <c r="E55" s="5" t="s">
        <v>223</v>
      </c>
      <c r="F55" s="6" t="s">
        <v>6</v>
      </c>
      <c r="G55" s="2" t="str">
        <f>"DLL_Create_SC_FreeText_Approval_33_"&amp;H55</f>
        <v>DLL_Create_SC_FreeText_Approval_33_3</v>
      </c>
      <c r="H55" s="2">
        <v>3</v>
      </c>
      <c r="I55" s="4" t="s">
        <v>224</v>
      </c>
      <c r="J55" s="2" t="s">
        <v>130</v>
      </c>
      <c r="K55" s="2" t="s">
        <v>34</v>
      </c>
      <c r="L55" s="2" t="s">
        <v>238</v>
      </c>
      <c r="M55" s="2" t="s">
        <v>285</v>
      </c>
      <c r="N55" s="2" t="s">
        <v>239</v>
      </c>
      <c r="O55" s="2" t="s">
        <v>157</v>
      </c>
      <c r="P55" s="3" t="s">
        <v>86</v>
      </c>
      <c r="Q55" s="2" t="s">
        <v>202</v>
      </c>
      <c r="R55" s="2" t="s">
        <v>34</v>
      </c>
      <c r="S55" s="2" t="s">
        <v>238</v>
      </c>
      <c r="T55" s="2" t="s">
        <v>285</v>
      </c>
      <c r="U55" s="2" t="s">
        <v>239</v>
      </c>
      <c r="V55" s="2" t="s">
        <v>157</v>
      </c>
      <c r="W55" s="3" t="s">
        <v>35</v>
      </c>
      <c r="X55" s="9" t="s">
        <v>167</v>
      </c>
      <c r="Y55" s="4" t="s">
        <v>6</v>
      </c>
      <c r="Z55" s="31"/>
      <c r="AA55" s="12" t="str">
        <f t="shared" si="0"/>
        <v>DLL_Create_SC_FreeText_Approval_33_3</v>
      </c>
      <c r="AB55" s="30" t="s">
        <v>292</v>
      </c>
      <c r="AC55" s="12" t="str">
        <f t="shared" si="1"/>
        <v>Shopping cart  has no errors</v>
      </c>
      <c r="AD55" s="12" t="str">
        <f t="shared" si="2"/>
        <v>Shopping cart %quote%DLL_Create_SC_FreeText_Approval_33_3%quote% with number  ordered successfully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8"/>
    </row>
    <row r="56">
      <c r="A56" s="1">
        <v>56</v>
      </c>
      <c r="B56" s="1"/>
      <c r="C56" s="28" t="s">
        <v>3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31"/>
      <c r="AA56" s="12">
        <f t="shared" si="0"/>
        <v>0</v>
      </c>
      <c r="AB56" s="30" t="s">
        <v>292</v>
      </c>
      <c r="AC56" s="12" t="str">
        <f t="shared" si="1"/>
        <v>Shopping cart  has no errors</v>
      </c>
      <c r="AD56" s="12" t="str">
        <f t="shared" si="2"/>
        <v>Shopping cart %quote%%quote% with number  ordered successfully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8"/>
    </row>
    <row r="57">
      <c r="A57" s="1">
        <v>57</v>
      </c>
      <c r="B57" s="1" t="s">
        <v>66</v>
      </c>
      <c r="C57" s="28" t="s">
        <v>3</v>
      </c>
      <c r="D57" s="5" t="s">
        <v>234</v>
      </c>
      <c r="E57" s="5" t="s">
        <v>128</v>
      </c>
      <c r="F57" s="5" t="s">
        <v>6</v>
      </c>
      <c r="G57" s="2" t="str">
        <f>"AB_Create_SC_FreeText_Approval_35_"&amp;H57</f>
        <v>AB_Create_SC_FreeText_Approval_35_7</v>
      </c>
      <c r="H57" s="3" t="s">
        <v>69</v>
      </c>
      <c r="I57" s="7" t="s">
        <v>224</v>
      </c>
      <c r="J57" s="3" t="s">
        <v>130</v>
      </c>
      <c r="K57" s="3" t="s">
        <v>131</v>
      </c>
      <c r="L57" s="3" t="s">
        <v>238</v>
      </c>
      <c r="M57" s="3" t="s">
        <v>285</v>
      </c>
      <c r="N57" s="3" t="s">
        <v>239</v>
      </c>
      <c r="O57" s="3" t="s">
        <v>157</v>
      </c>
      <c r="P57" s="3" t="s">
        <v>7</v>
      </c>
      <c r="Q57" s="3" t="s">
        <v>202</v>
      </c>
      <c r="R57" s="3" t="s">
        <v>131</v>
      </c>
      <c r="S57" s="3" t="s">
        <v>238</v>
      </c>
      <c r="T57" s="3" t="s">
        <v>285</v>
      </c>
      <c r="U57" s="3" t="s">
        <v>239</v>
      </c>
      <c r="V57" s="3" t="s">
        <v>157</v>
      </c>
      <c r="W57" s="3" t="s">
        <v>203</v>
      </c>
      <c r="X57" s="9" t="s">
        <v>38</v>
      </c>
      <c r="Y57" s="7" t="s">
        <v>6</v>
      </c>
      <c r="Z57" s="31"/>
      <c r="AA57" s="12" t="str">
        <f t="shared" si="0"/>
        <v>AB_Create_SC_FreeText_Approval_35_7</v>
      </c>
      <c r="AB57" s="30" t="s">
        <v>292</v>
      </c>
      <c r="AC57" s="12" t="str">
        <f t="shared" si="1"/>
        <v>Shopping cart  has no errors</v>
      </c>
      <c r="AD57" s="12" t="str">
        <f t="shared" si="2"/>
        <v>Shopping cart %quote%AB_Create_SC_FreeText_Approval_35_7%quote% with number  ordered successfully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8"/>
    </row>
    <row r="58">
      <c r="A58" s="1">
        <v>58</v>
      </c>
      <c r="B58" s="1" t="s">
        <v>198</v>
      </c>
      <c r="C58" s="28" t="s">
        <v>3</v>
      </c>
      <c r="D58" s="6" t="s">
        <v>67</v>
      </c>
      <c r="E58" s="5" t="s">
        <v>223</v>
      </c>
      <c r="F58" s="6" t="s">
        <v>6</v>
      </c>
      <c r="G58" s="2" t="str">
        <f>"DLL_Create_SC_FreeText_Approval_35_"&amp;H58</f>
        <v>DLL_Create_SC_FreeText_Approval_35_4</v>
      </c>
      <c r="H58" s="2">
        <v>4</v>
      </c>
      <c r="I58" s="4" t="s">
        <v>224</v>
      </c>
      <c r="J58" s="2" t="s">
        <v>130</v>
      </c>
      <c r="K58" s="2" t="s">
        <v>34</v>
      </c>
      <c r="L58" s="2" t="s">
        <v>238</v>
      </c>
      <c r="M58" s="2" t="s">
        <v>285</v>
      </c>
      <c r="N58" s="2" t="s">
        <v>239</v>
      </c>
      <c r="O58" s="2" t="s">
        <v>157</v>
      </c>
      <c r="P58" s="3" t="s">
        <v>86</v>
      </c>
      <c r="Q58" s="2" t="s">
        <v>202</v>
      </c>
      <c r="R58" s="2" t="s">
        <v>34</v>
      </c>
      <c r="S58" s="2" t="s">
        <v>238</v>
      </c>
      <c r="T58" s="2" t="s">
        <v>285</v>
      </c>
      <c r="U58" s="2" t="s">
        <v>239</v>
      </c>
      <c r="V58" s="2" t="s">
        <v>157</v>
      </c>
      <c r="W58" s="3" t="s">
        <v>35</v>
      </c>
      <c r="X58" s="9" t="s">
        <v>109</v>
      </c>
      <c r="Y58" s="4" t="s">
        <v>6</v>
      </c>
      <c r="Z58" s="31"/>
      <c r="AA58" s="12" t="str">
        <f t="shared" si="0"/>
        <v>DLL_Create_SC_FreeText_Approval_35_4</v>
      </c>
      <c r="AB58" s="30" t="s">
        <v>292</v>
      </c>
      <c r="AC58" s="12" t="str">
        <f t="shared" si="1"/>
        <v>Shopping cart  has no errors</v>
      </c>
      <c r="AD58" s="12" t="str">
        <f t="shared" si="2"/>
        <v>Shopping cart %quote%DLL_Create_SC_FreeText_Approval_35_4%quote% with number  ordered successfully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8"/>
    </row>
    <row r="59">
      <c r="A59" s="1">
        <v>59</v>
      </c>
      <c r="B59" s="1"/>
      <c r="C59" s="28" t="s">
        <v>3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31"/>
      <c r="AA59" s="12">
        <f t="shared" si="0"/>
        <v>0</v>
      </c>
      <c r="AB59" s="30" t="s">
        <v>292</v>
      </c>
      <c r="AC59" s="12" t="str">
        <f t="shared" si="1"/>
        <v>Shopping cart  has no errors</v>
      </c>
      <c r="AD59" s="12" t="str">
        <f t="shared" si="2"/>
        <v>Shopping cart %quote%%quote% with number  ordered successfully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8"/>
    </row>
    <row r="60">
      <c r="A60" s="1">
        <v>60</v>
      </c>
      <c r="B60" s="1" t="s">
        <v>258</v>
      </c>
      <c r="C60" s="28" t="s">
        <v>3</v>
      </c>
      <c r="D60" s="5" t="s">
        <v>234</v>
      </c>
      <c r="E60" s="5" t="s">
        <v>128</v>
      </c>
      <c r="F60" s="5" t="s">
        <v>6</v>
      </c>
      <c r="G60" s="2" t="str">
        <f>"AB_Create_SC_FreeText_Approval_40_"&amp;H60</f>
        <v>AB_Create_SC_FreeText_Approval_40_7</v>
      </c>
      <c r="H60" s="3" t="s">
        <v>69</v>
      </c>
      <c r="I60" s="7" t="s">
        <v>224</v>
      </c>
      <c r="J60" s="3" t="s">
        <v>130</v>
      </c>
      <c r="K60" s="3" t="s">
        <v>131</v>
      </c>
      <c r="L60" s="3" t="s">
        <v>238</v>
      </c>
      <c r="M60" s="3" t="s">
        <v>285</v>
      </c>
      <c r="N60" s="3" t="s">
        <v>239</v>
      </c>
      <c r="O60" s="3" t="s">
        <v>157</v>
      </c>
      <c r="P60" s="3" t="s">
        <v>7</v>
      </c>
      <c r="Q60" s="3" t="s">
        <v>202</v>
      </c>
      <c r="R60" s="3" t="s">
        <v>131</v>
      </c>
      <c r="S60" s="3" t="s">
        <v>238</v>
      </c>
      <c r="T60" s="3" t="s">
        <v>285</v>
      </c>
      <c r="U60" s="3" t="s">
        <v>239</v>
      </c>
      <c r="V60" s="3" t="s">
        <v>157</v>
      </c>
      <c r="W60" s="3" t="s">
        <v>203</v>
      </c>
      <c r="X60" s="9" t="s">
        <v>18</v>
      </c>
      <c r="Y60" s="7" t="s">
        <v>6</v>
      </c>
      <c r="Z60" s="31"/>
      <c r="AA60" s="12" t="str">
        <f t="shared" si="0"/>
        <v>AB_Create_SC_FreeText_Approval_40_7</v>
      </c>
      <c r="AB60" s="30" t="s">
        <v>292</v>
      </c>
      <c r="AC60" s="12" t="str">
        <f t="shared" si="1"/>
        <v>Shopping cart  has no errors</v>
      </c>
      <c r="AD60" s="12" t="str">
        <f t="shared" si="2"/>
        <v>Shopping cart %quote%AB_Create_SC_FreeText_Approval_40_7%quote% with number  ordered successfully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8"/>
    </row>
    <row r="61">
      <c r="A61" s="1">
        <v>61</v>
      </c>
      <c r="B61" s="1" t="s">
        <v>199</v>
      </c>
      <c r="C61" s="28" t="s">
        <v>3</v>
      </c>
      <c r="D61" s="6" t="s">
        <v>67</v>
      </c>
      <c r="E61" s="5" t="s">
        <v>223</v>
      </c>
      <c r="F61" s="6" t="s">
        <v>6</v>
      </c>
      <c r="G61" s="2" t="str">
        <f>"DLL_Create_SC_FreeText_Approval_40_"&amp;H61</f>
        <v>DLL_Create_SC_FreeText_Approval_40_4</v>
      </c>
      <c r="H61" s="2">
        <v>4</v>
      </c>
      <c r="I61" s="4" t="s">
        <v>224</v>
      </c>
      <c r="J61" s="2" t="s">
        <v>130</v>
      </c>
      <c r="K61" s="2" t="s">
        <v>34</v>
      </c>
      <c r="L61" s="2" t="s">
        <v>238</v>
      </c>
      <c r="M61" s="2" t="s">
        <v>285</v>
      </c>
      <c r="N61" s="2" t="s">
        <v>239</v>
      </c>
      <c r="O61" s="2" t="s">
        <v>157</v>
      </c>
      <c r="P61" s="3" t="s">
        <v>86</v>
      </c>
      <c r="Q61" s="2" t="s">
        <v>202</v>
      </c>
      <c r="R61" s="2" t="s">
        <v>34</v>
      </c>
      <c r="S61" s="2" t="s">
        <v>238</v>
      </c>
      <c r="T61" s="2" t="s">
        <v>285</v>
      </c>
      <c r="U61" s="2" t="s">
        <v>239</v>
      </c>
      <c r="V61" s="2" t="s">
        <v>157</v>
      </c>
      <c r="W61" s="3" t="s">
        <v>35</v>
      </c>
      <c r="X61" s="9" t="s">
        <v>95</v>
      </c>
      <c r="Y61" s="4" t="s">
        <v>6</v>
      </c>
      <c r="Z61" s="31"/>
      <c r="AA61" s="12" t="str">
        <f t="shared" si="0"/>
        <v>DLL_Create_SC_FreeText_Approval_40_4</v>
      </c>
      <c r="AB61" s="30" t="s">
        <v>292</v>
      </c>
      <c r="AC61" s="12" t="str">
        <f t="shared" si="1"/>
        <v>Shopping cart  has no errors</v>
      </c>
      <c r="AD61" s="12" t="str">
        <f t="shared" si="2"/>
        <v>Shopping cart %quote%DLL_Create_SC_FreeText_Approval_40_4%quote% with number  ordered successfully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8"/>
    </row>
    <row r="62">
      <c r="A62" s="1">
        <v>62</v>
      </c>
      <c r="B62" s="1"/>
      <c r="C62" s="28" t="s">
        <v>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31"/>
      <c r="AA62" s="12">
        <f t="shared" si="0"/>
        <v>0</v>
      </c>
      <c r="AB62" s="30" t="s">
        <v>292</v>
      </c>
      <c r="AC62" s="12" t="str">
        <f t="shared" si="1"/>
        <v>Shopping cart  has no errors</v>
      </c>
      <c r="AD62" s="12" t="str">
        <f t="shared" si="2"/>
        <v>Shopping cart %quote%%quote% with number  ordered successfully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8"/>
    </row>
    <row r="63">
      <c r="A63" s="1">
        <v>63</v>
      </c>
      <c r="B63" s="1" t="s">
        <v>1</v>
      </c>
      <c r="C63" s="28" t="s">
        <v>3</v>
      </c>
      <c r="D63" s="6" t="s">
        <v>67</v>
      </c>
      <c r="E63" s="5" t="s">
        <v>68</v>
      </c>
      <c r="F63" s="6" t="s">
        <v>6</v>
      </c>
      <c r="G63" s="2" t="str">
        <f>"DLL_Create_SC_FreeText_Approval_41_"&amp;H63</f>
        <v>DLL_Create_SC_FreeText_Approval_41_36</v>
      </c>
      <c r="H63" s="2">
        <v>36</v>
      </c>
      <c r="I63" s="4" t="s">
        <v>224</v>
      </c>
      <c r="J63" s="2" t="s">
        <v>130</v>
      </c>
      <c r="K63" s="2" t="s">
        <v>34</v>
      </c>
      <c r="L63" s="2" t="s">
        <v>238</v>
      </c>
      <c r="M63" s="2" t="s">
        <v>285</v>
      </c>
      <c r="N63" s="2" t="s">
        <v>239</v>
      </c>
      <c r="O63" s="2" t="s">
        <v>157</v>
      </c>
      <c r="P63" s="3" t="s">
        <v>86</v>
      </c>
      <c r="Q63" s="2" t="s">
        <v>202</v>
      </c>
      <c r="R63" s="2" t="s">
        <v>34</v>
      </c>
      <c r="S63" s="2" t="s">
        <v>238</v>
      </c>
      <c r="T63" s="2" t="s">
        <v>285</v>
      </c>
      <c r="U63" s="2" t="s">
        <v>239</v>
      </c>
      <c r="V63" s="2" t="s">
        <v>157</v>
      </c>
      <c r="W63" s="3" t="s">
        <v>35</v>
      </c>
      <c r="X63" s="9" t="s">
        <v>249</v>
      </c>
      <c r="Y63" s="4" t="s">
        <v>6</v>
      </c>
      <c r="Z63" s="31" t="s">
        <v>43</v>
      </c>
      <c r="AA63" s="12" t="str">
        <f t="shared" si="0"/>
        <v>DLL_Create_SC_FreeText_Approval_41_36</v>
      </c>
      <c r="AB63" s="30" t="s">
        <v>292</v>
      </c>
      <c r="AC63" s="12" t="str">
        <f t="shared" si="1"/>
        <v>Shopping cart 1000010872 has no errors</v>
      </c>
      <c r="AD63" s="12" t="str">
        <f t="shared" si="2"/>
        <v>Shopping cart %quote%DLL_Create_SC_FreeText_Approval_41_36%quote% with number 1000010872 ordered successfully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8"/>
    </row>
    <row r="64">
      <c r="A64" s="1">
        <v>64</v>
      </c>
      <c r="B64" s="1"/>
      <c r="C64" s="28" t="s">
        <v>3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31"/>
      <c r="AA64" s="12">
        <f t="shared" si="0"/>
        <v>0</v>
      </c>
      <c r="AB64" s="30" t="s">
        <v>292</v>
      </c>
      <c r="AC64" s="12" t="str">
        <f t="shared" si="1"/>
        <v>Shopping cart  has no errors</v>
      </c>
      <c r="AD64" s="12" t="str">
        <f t="shared" si="2"/>
        <v>Shopping cart %quote%%quote% with number  ordered successfully</v>
      </c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8"/>
    </row>
    <row r="65">
      <c r="A65" s="1">
        <v>65</v>
      </c>
      <c r="B65" s="1" t="s">
        <v>127</v>
      </c>
      <c r="C65" s="28" t="s">
        <v>3</v>
      </c>
      <c r="D65" s="6" t="s">
        <v>67</v>
      </c>
      <c r="E65" s="5" t="s">
        <v>223</v>
      </c>
      <c r="F65" s="6" t="s">
        <v>6</v>
      </c>
      <c r="G65" s="2" t="str">
        <f>"DLL_Create_SC_FreeText_Approval_42_"&amp;H65</f>
        <v>DLL_Create_SC_FreeText_Approval_42_15</v>
      </c>
      <c r="H65" s="2">
        <v>15</v>
      </c>
      <c r="I65" s="4" t="s">
        <v>224</v>
      </c>
      <c r="J65" s="2" t="s">
        <v>130</v>
      </c>
      <c r="K65" s="2" t="s">
        <v>34</v>
      </c>
      <c r="L65" s="2" t="s">
        <v>238</v>
      </c>
      <c r="M65" s="2" t="s">
        <v>285</v>
      </c>
      <c r="N65" s="2" t="s">
        <v>239</v>
      </c>
      <c r="O65" s="2" t="s">
        <v>157</v>
      </c>
      <c r="P65" s="3" t="s">
        <v>86</v>
      </c>
      <c r="Q65" s="2" t="s">
        <v>202</v>
      </c>
      <c r="R65" s="2" t="s">
        <v>34</v>
      </c>
      <c r="S65" s="2" t="s">
        <v>238</v>
      </c>
      <c r="T65" s="2" t="s">
        <v>285</v>
      </c>
      <c r="U65" s="2" t="s">
        <v>239</v>
      </c>
      <c r="V65" s="2" t="s">
        <v>157</v>
      </c>
      <c r="W65" s="3" t="s">
        <v>35</v>
      </c>
      <c r="X65" s="9" t="s">
        <v>110</v>
      </c>
      <c r="Y65" s="4" t="s">
        <v>6</v>
      </c>
      <c r="Z65" s="31" t="s">
        <v>267</v>
      </c>
      <c r="AA65" s="12" t="str">
        <f t="shared" si="0"/>
        <v>DLL_Create_SC_FreeText_Approval_42_15</v>
      </c>
      <c r="AB65" s="30" t="s">
        <v>292</v>
      </c>
      <c r="AC65" s="12" t="str">
        <f t="shared" si="1"/>
        <v>Shopping cart 1000478954 has no errors</v>
      </c>
      <c r="AD65" s="12" t="str">
        <f t="shared" si="2"/>
        <v>Shopping cart %quote%DLL_Create_SC_FreeText_Approval_42_15%quote% with number 1000478954 ordered successfully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8"/>
    </row>
    <row r="66">
      <c r="A66" s="1">
        <v>66</v>
      </c>
      <c r="B66" s="1"/>
      <c r="C66" s="28" t="s">
        <v>3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9" t="s">
        <v>182</v>
      </c>
      <c r="Y66" s="1"/>
      <c r="Z66" s="31"/>
      <c r="AA66" s="12">
        <f t="shared" si="0"/>
        <v>0</v>
      </c>
      <c r="AB66" s="30" t="s">
        <v>292</v>
      </c>
      <c r="AC66" s="12" t="str">
        <f t="shared" si="1"/>
        <v>Shopping cart  has no errors</v>
      </c>
      <c r="AD66" s="12" t="str">
        <f t="shared" si="2"/>
        <v>Shopping cart %quote%%quote% with number  ordered successfully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8"/>
    </row>
    <row r="67">
      <c r="A67" s="1">
        <v>67</v>
      </c>
      <c r="B67" s="1" t="s">
        <v>221</v>
      </c>
      <c r="C67" s="28" t="s">
        <v>3</v>
      </c>
      <c r="D67" s="6" t="s">
        <v>67</v>
      </c>
      <c r="E67" s="5" t="s">
        <v>223</v>
      </c>
      <c r="F67" s="6" t="s">
        <v>6</v>
      </c>
      <c r="G67" s="2" t="str">
        <f>"DLL_Create_SC_FreeText_Approval_43_"&amp;H67</f>
        <v>DLL_Create_SC_FreeText_Approval_43_23</v>
      </c>
      <c r="H67" s="2">
        <v>23</v>
      </c>
      <c r="I67" s="4" t="s">
        <v>224</v>
      </c>
      <c r="J67" s="2" t="s">
        <v>130</v>
      </c>
      <c r="K67" s="2" t="s">
        <v>34</v>
      </c>
      <c r="L67" s="2" t="s">
        <v>238</v>
      </c>
      <c r="M67" s="2" t="s">
        <v>285</v>
      </c>
      <c r="N67" s="2" t="s">
        <v>239</v>
      </c>
      <c r="O67" s="2" t="s">
        <v>157</v>
      </c>
      <c r="P67" s="3" t="s">
        <v>86</v>
      </c>
      <c r="Q67" s="2" t="s">
        <v>202</v>
      </c>
      <c r="R67" s="2" t="s">
        <v>34</v>
      </c>
      <c r="S67" s="2" t="s">
        <v>238</v>
      </c>
      <c r="T67" s="2" t="s">
        <v>285</v>
      </c>
      <c r="U67" s="2" t="s">
        <v>239</v>
      </c>
      <c r="V67" s="2" t="s">
        <v>157</v>
      </c>
      <c r="W67" s="3" t="s">
        <v>35</v>
      </c>
      <c r="X67" s="9" t="s">
        <v>263</v>
      </c>
      <c r="Y67" s="4" t="s">
        <v>6</v>
      </c>
      <c r="Z67" s="31" t="s">
        <v>268</v>
      </c>
      <c r="AA67" s="12" t="str">
        <f t="shared" si="0"/>
        <v>DLL_Create_SC_FreeText_Approval_43_23</v>
      </c>
      <c r="AB67" s="30" t="s">
        <v>292</v>
      </c>
      <c r="AC67" s="12" t="str">
        <f t="shared" si="1"/>
        <v>Shopping cart 1000478823 has no errors</v>
      </c>
      <c r="AD67" s="12" t="str">
        <f t="shared" si="2"/>
        <v>Shopping cart %quote%DLL_Create_SC_FreeText_Approval_43_23%quote% with number 1000478823 ordered successfully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8"/>
    </row>
    <row r="68">
      <c r="A68" s="1">
        <v>68</v>
      </c>
      <c r="B68" s="1"/>
      <c r="C68" s="28" t="s">
        <v>3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31"/>
      <c r="AA68" s="12">
        <f t="shared" si="0"/>
        <v>0</v>
      </c>
      <c r="AB68" s="30" t="s">
        <v>292</v>
      </c>
      <c r="AC68" s="12" t="str">
        <f t="shared" si="1"/>
        <v>Shopping cart  has no errors</v>
      </c>
      <c r="AD68" s="12" t="str">
        <f t="shared" si="2"/>
        <v>Shopping cart %quote%%quote% with number  ordered successfully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8"/>
    </row>
    <row r="69">
      <c r="A69" s="1">
        <v>69</v>
      </c>
      <c r="B69" s="1" t="s">
        <v>27</v>
      </c>
      <c r="C69" s="28" t="s">
        <v>3</v>
      </c>
      <c r="D69" s="5" t="s">
        <v>234</v>
      </c>
      <c r="E69" s="5" t="s">
        <v>128</v>
      </c>
      <c r="F69" s="5" t="s">
        <v>6</v>
      </c>
      <c r="G69" s="2" t="str">
        <f>"AB_Create_SC_FreeText_Approval_44_"&amp;H69</f>
        <v>AB_Create_SC_FreeText_Approval_44_13</v>
      </c>
      <c r="H69" s="3" t="s">
        <v>155</v>
      </c>
      <c r="I69" s="7" t="s">
        <v>224</v>
      </c>
      <c r="J69" s="3" t="s">
        <v>130</v>
      </c>
      <c r="K69" s="3" t="s">
        <v>131</v>
      </c>
      <c r="L69" s="3" t="s">
        <v>238</v>
      </c>
      <c r="M69" s="3" t="s">
        <v>285</v>
      </c>
      <c r="N69" s="3" t="s">
        <v>239</v>
      </c>
      <c r="O69" s="3" t="s">
        <v>157</v>
      </c>
      <c r="P69" s="3" t="s">
        <v>7</v>
      </c>
      <c r="Q69" s="3" t="s">
        <v>202</v>
      </c>
      <c r="R69" s="3" t="s">
        <v>131</v>
      </c>
      <c r="S69" s="3" t="s">
        <v>238</v>
      </c>
      <c r="T69" s="3" t="s">
        <v>285</v>
      </c>
      <c r="U69" s="3" t="s">
        <v>239</v>
      </c>
      <c r="V69" s="3" t="s">
        <v>157</v>
      </c>
      <c r="W69" s="3" t="s">
        <v>203</v>
      </c>
      <c r="X69" s="9" t="s">
        <v>111</v>
      </c>
      <c r="Y69" s="7" t="s">
        <v>6</v>
      </c>
      <c r="Z69" s="31"/>
      <c r="AA69" s="12" t="str">
        <f t="shared" si="0"/>
        <v>AB_Create_SC_FreeText_Approval_44_13</v>
      </c>
      <c r="AB69" s="30" t="s">
        <v>292</v>
      </c>
      <c r="AC69" s="12" t="str">
        <f t="shared" si="1"/>
        <v>Shopping cart  has no errors</v>
      </c>
      <c r="AD69" s="12" t="str">
        <f t="shared" si="2"/>
        <v>Shopping cart %quote%AB_Create_SC_FreeText_Approval_44_13%quote% with number  ordered successfully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8"/>
    </row>
    <row r="70">
      <c r="A70" s="1">
        <v>70</v>
      </c>
      <c r="B70" s="1" t="s">
        <v>28</v>
      </c>
      <c r="C70" s="28" t="s">
        <v>3</v>
      </c>
      <c r="D70" s="6" t="s">
        <v>67</v>
      </c>
      <c r="E70" s="5" t="s">
        <v>223</v>
      </c>
      <c r="F70" s="6" t="s">
        <v>6</v>
      </c>
      <c r="G70" s="2" t="str">
        <f>"DLL_Create_SC_FreeText_Approval_44_"&amp;H70</f>
        <v>DLL_Create_SC_FreeText_Approval_44_17</v>
      </c>
      <c r="H70" s="2">
        <v>17</v>
      </c>
      <c r="I70" s="4" t="s">
        <v>224</v>
      </c>
      <c r="J70" s="2" t="s">
        <v>130</v>
      </c>
      <c r="K70" s="2" t="s">
        <v>34</v>
      </c>
      <c r="L70" s="2" t="s">
        <v>238</v>
      </c>
      <c r="M70" s="2" t="s">
        <v>285</v>
      </c>
      <c r="N70" s="2" t="s">
        <v>239</v>
      </c>
      <c r="O70" s="2" t="s">
        <v>157</v>
      </c>
      <c r="P70" s="3" t="s">
        <v>86</v>
      </c>
      <c r="Q70" s="2" t="s">
        <v>202</v>
      </c>
      <c r="R70" s="2" t="s">
        <v>34</v>
      </c>
      <c r="S70" s="2" t="s">
        <v>238</v>
      </c>
      <c r="T70" s="2" t="s">
        <v>285</v>
      </c>
      <c r="U70" s="2" t="s">
        <v>239</v>
      </c>
      <c r="V70" s="2" t="s">
        <v>157</v>
      </c>
      <c r="W70" s="3" t="s">
        <v>35</v>
      </c>
      <c r="X70" s="9" t="s">
        <v>250</v>
      </c>
      <c r="Y70" s="4" t="s">
        <v>6</v>
      </c>
      <c r="Z70" s="31" t="s">
        <v>207</v>
      </c>
      <c r="AA70" s="12" t="str">
        <f t="shared" si="0"/>
        <v>DLL_Create_SC_FreeText_Approval_44_17</v>
      </c>
      <c r="AB70" s="30" t="s">
        <v>292</v>
      </c>
      <c r="AC70" s="12" t="str">
        <f t="shared" si="1"/>
        <v>Shopping cart 1000478979 has no errors</v>
      </c>
      <c r="AD70" s="12" t="str">
        <f t="shared" si="2"/>
        <v>Shopping cart %quote%DLL_Create_SC_FreeText_Approval_44_17%quote% with number 1000478979 ordered successfully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8"/>
    </row>
    <row r="71">
      <c r="A71" s="1">
        <v>71</v>
      </c>
      <c r="B71" s="1"/>
      <c r="C71" s="28" t="s">
        <v>3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31"/>
      <c r="AA71" s="12">
        <f t="shared" si="0"/>
        <v>0</v>
      </c>
      <c r="AB71" s="30" t="s">
        <v>292</v>
      </c>
      <c r="AC71" s="12" t="str">
        <f t="shared" si="1"/>
        <v>Shopping cart  has no errors</v>
      </c>
      <c r="AD71" s="12" t="str">
        <f t="shared" si="2"/>
        <v>Shopping cart %quote%%quote% with number  ordered successfully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8"/>
    </row>
    <row r="72">
      <c r="A72" s="1">
        <v>72</v>
      </c>
      <c r="B72" s="1" t="s">
        <v>82</v>
      </c>
      <c r="C72" s="28" t="s">
        <v>3</v>
      </c>
      <c r="D72" s="5" t="s">
        <v>234</v>
      </c>
      <c r="E72" s="5" t="s">
        <v>128</v>
      </c>
      <c r="F72" s="5" t="s">
        <v>6</v>
      </c>
      <c r="G72" s="2" t="str">
        <f>"AB_Create_SC_FreeText_Approval_44_"&amp;H72</f>
        <v>AB_Create_SC_FreeText_Approval_44_24</v>
      </c>
      <c r="H72" s="3" t="s">
        <v>156</v>
      </c>
      <c r="I72" s="7" t="s">
        <v>224</v>
      </c>
      <c r="J72" s="3" t="s">
        <v>130</v>
      </c>
      <c r="K72" s="3" t="s">
        <v>131</v>
      </c>
      <c r="L72" s="3" t="s">
        <v>238</v>
      </c>
      <c r="M72" s="3" t="s">
        <v>285</v>
      </c>
      <c r="N72" s="3" t="s">
        <v>239</v>
      </c>
      <c r="O72" s="3" t="s">
        <v>157</v>
      </c>
      <c r="P72" s="3" t="s">
        <v>7</v>
      </c>
      <c r="Q72" s="3" t="s">
        <v>202</v>
      </c>
      <c r="R72" s="3" t="s">
        <v>131</v>
      </c>
      <c r="S72" s="3" t="s">
        <v>238</v>
      </c>
      <c r="T72" s="3" t="s">
        <v>285</v>
      </c>
      <c r="U72" s="3" t="s">
        <v>239</v>
      </c>
      <c r="V72" s="3" t="s">
        <v>157</v>
      </c>
      <c r="W72" s="3" t="s">
        <v>203</v>
      </c>
      <c r="X72" s="9" t="s">
        <v>96</v>
      </c>
      <c r="Y72" s="7" t="s">
        <v>6</v>
      </c>
      <c r="Z72" s="31"/>
      <c r="AA72" s="12" t="str">
        <f t="shared" si="0"/>
        <v>AB_Create_SC_FreeText_Approval_44_24</v>
      </c>
      <c r="AB72" s="30" t="s">
        <v>292</v>
      </c>
      <c r="AC72" s="12" t="str">
        <f t="shared" si="1"/>
        <v>Shopping cart  has no errors</v>
      </c>
      <c r="AD72" s="12" t="str">
        <f t="shared" si="2"/>
        <v>Shopping cart %quote%AB_Create_SC_FreeText_Approval_44_24%quote% with number  ordered successfully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8"/>
    </row>
    <row r="73">
      <c r="A73" s="1">
        <v>73</v>
      </c>
      <c r="B73" s="1" t="s">
        <v>53</v>
      </c>
      <c r="C73" s="28" t="s">
        <v>3</v>
      </c>
      <c r="D73" s="6" t="s">
        <v>67</v>
      </c>
      <c r="E73" s="5" t="s">
        <v>282</v>
      </c>
      <c r="F73" s="6" t="s">
        <v>6</v>
      </c>
      <c r="G73" s="2" t="str">
        <f>"DLL_Create_SC_FreeText_Approval_44_"&amp;H73</f>
        <v>DLL_Create_SC_FreeText_Approval_44_34</v>
      </c>
      <c r="H73" s="2">
        <v>34</v>
      </c>
      <c r="I73" s="4" t="s">
        <v>224</v>
      </c>
      <c r="J73" s="2" t="s">
        <v>130</v>
      </c>
      <c r="K73" s="2" t="s">
        <v>34</v>
      </c>
      <c r="L73" s="2" t="s">
        <v>238</v>
      </c>
      <c r="M73" s="2" t="s">
        <v>285</v>
      </c>
      <c r="N73" s="2" t="s">
        <v>239</v>
      </c>
      <c r="O73" s="2" t="s">
        <v>157</v>
      </c>
      <c r="P73" s="3" t="s">
        <v>86</v>
      </c>
      <c r="Q73" s="2" t="s">
        <v>202</v>
      </c>
      <c r="R73" s="2" t="s">
        <v>34</v>
      </c>
      <c r="S73" s="2" t="s">
        <v>238</v>
      </c>
      <c r="T73" s="2" t="s">
        <v>285</v>
      </c>
      <c r="U73" s="2" t="s">
        <v>239</v>
      </c>
      <c r="V73" s="2" t="s">
        <v>157</v>
      </c>
      <c r="W73" s="3" t="s">
        <v>35</v>
      </c>
      <c r="X73" s="9" t="s">
        <v>183</v>
      </c>
      <c r="Y73" s="4" t="s">
        <v>6</v>
      </c>
      <c r="Z73" s="31" t="s">
        <v>228</v>
      </c>
      <c r="AA73" s="12" t="str">
        <f t="shared" si="0"/>
        <v>DLL_Create_SC_FreeText_Approval_44_34</v>
      </c>
      <c r="AB73" s="30" t="s">
        <v>292</v>
      </c>
      <c r="AC73" s="12" t="str">
        <f t="shared" si="1"/>
        <v>Shopping cart 1000953631 has no errors</v>
      </c>
      <c r="AD73" s="12" t="str">
        <f t="shared" si="2"/>
        <v>Shopping cart %quote%DLL_Create_SC_FreeText_Approval_44_34%quote% with number 1000953631 ordered successfully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8"/>
    </row>
    <row r="74">
      <c r="A74" s="1">
        <v>74</v>
      </c>
      <c r="B74" s="1"/>
      <c r="C74" s="28" t="s">
        <v>3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31"/>
      <c r="AA74" s="12">
        <f t="shared" si="0"/>
        <v>0</v>
      </c>
      <c r="AB74" s="30" t="s">
        <v>292</v>
      </c>
      <c r="AC74" s="12" t="str">
        <f t="shared" si="1"/>
        <v>Shopping cart  has no errors</v>
      </c>
      <c r="AD74" s="12" t="str">
        <f t="shared" si="2"/>
        <v>Shopping cart %quote%%quote% with number  ordered successfully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8"/>
    </row>
    <row r="75">
      <c r="A75" s="1">
        <v>75</v>
      </c>
      <c r="B75" s="1" t="s">
        <v>154</v>
      </c>
      <c r="C75" s="28" t="s">
        <v>3</v>
      </c>
      <c r="D75" s="6" t="s">
        <v>67</v>
      </c>
      <c r="E75" s="5" t="s">
        <v>223</v>
      </c>
      <c r="F75" s="6" t="s">
        <v>6</v>
      </c>
      <c r="G75" s="2" t="str">
        <f>"DLL_Create_SC_FreeText_Approval_44_"&amp;H75</f>
        <v>DLL_Create_SC_FreeText_Approval_44_16</v>
      </c>
      <c r="H75" s="2">
        <v>16</v>
      </c>
      <c r="I75" s="4" t="s">
        <v>224</v>
      </c>
      <c r="J75" s="2" t="s">
        <v>130</v>
      </c>
      <c r="K75" s="2" t="s">
        <v>34</v>
      </c>
      <c r="L75" s="2" t="s">
        <v>238</v>
      </c>
      <c r="M75" s="2" t="s">
        <v>285</v>
      </c>
      <c r="N75" s="2" t="s">
        <v>239</v>
      </c>
      <c r="O75" s="2" t="s">
        <v>157</v>
      </c>
      <c r="P75" s="3" t="s">
        <v>86</v>
      </c>
      <c r="Q75" s="2" t="s">
        <v>202</v>
      </c>
      <c r="R75" s="2" t="s">
        <v>34</v>
      </c>
      <c r="S75" s="2" t="s">
        <v>238</v>
      </c>
      <c r="T75" s="2" t="s">
        <v>285</v>
      </c>
      <c r="U75" s="2" t="s">
        <v>239</v>
      </c>
      <c r="V75" s="2" t="s">
        <v>157</v>
      </c>
      <c r="W75" s="3" t="s">
        <v>35</v>
      </c>
      <c r="X75" s="24" t="str">
        <f>P75</f>
        <v>10008427</v>
      </c>
      <c r="Y75" s="4" t="s">
        <v>6</v>
      </c>
      <c r="Z75" s="31"/>
      <c r="AA75" s="12" t="str">
        <f t="shared" si="0"/>
        <v>DLL_Create_SC_FreeText_Approval_44_16</v>
      </c>
      <c r="AB75" s="30" t="s">
        <v>292</v>
      </c>
      <c r="AC75" s="12" t="str">
        <f t="shared" si="1"/>
        <v>Shopping cart  has no errors</v>
      </c>
      <c r="AD75" s="12" t="str">
        <f t="shared" si="2"/>
        <v>Shopping cart %quote%DLL_Create_SC_FreeText_Approval_44_16%quote% with number  ordered successfully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8"/>
    </row>
    <row r="76">
      <c r="A76" s="1">
        <v>76</v>
      </c>
      <c r="B76" s="1"/>
      <c r="C76" s="28" t="s">
        <v>3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31"/>
      <c r="AA76" s="12">
        <f t="shared" si="0"/>
        <v>0</v>
      </c>
      <c r="AB76" s="30" t="s">
        <v>292</v>
      </c>
      <c r="AC76" s="12" t="str">
        <f t="shared" si="1"/>
        <v>Shopping cart  has no errors</v>
      </c>
      <c r="AD76" s="12" t="str">
        <f t="shared" si="2"/>
        <v>Shopping cart %quote%%quote% with number  ordered successfully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8"/>
    </row>
    <row r="77">
      <c r="A77" s="1">
        <v>77</v>
      </c>
      <c r="B77" s="1" t="s">
        <v>176</v>
      </c>
      <c r="C77" s="28" t="s">
        <v>3</v>
      </c>
      <c r="D77" s="6" t="s">
        <v>67</v>
      </c>
      <c r="E77" s="5" t="s">
        <v>223</v>
      </c>
      <c r="F77" s="6" t="s">
        <v>6</v>
      </c>
      <c r="G77" s="2" t="str">
        <f>"DLL_Create_SC_FreeText_Approval_44_"&amp;H77</f>
        <v>DLL_Create_SC_FreeText_Approval_44_109</v>
      </c>
      <c r="H77" s="2">
        <v>109</v>
      </c>
      <c r="I77" s="4" t="s">
        <v>224</v>
      </c>
      <c r="J77" s="2" t="s">
        <v>130</v>
      </c>
      <c r="K77" s="2" t="s">
        <v>34</v>
      </c>
      <c r="L77" s="2" t="s">
        <v>238</v>
      </c>
      <c r="M77" s="2" t="s">
        <v>285</v>
      </c>
      <c r="N77" s="2" t="s">
        <v>239</v>
      </c>
      <c r="O77" s="2" t="s">
        <v>157</v>
      </c>
      <c r="P77" s="3" t="s">
        <v>226</v>
      </c>
      <c r="Q77" s="2" t="s">
        <v>202</v>
      </c>
      <c r="R77" s="2" t="s">
        <v>34</v>
      </c>
      <c r="S77" s="2" t="s">
        <v>238</v>
      </c>
      <c r="T77" s="2" t="s">
        <v>285</v>
      </c>
      <c r="U77" s="2" t="s">
        <v>239</v>
      </c>
      <c r="V77" s="2" t="s">
        <v>157</v>
      </c>
      <c r="W77" s="3" t="s">
        <v>35</v>
      </c>
      <c r="X77" s="9" t="s">
        <v>184</v>
      </c>
      <c r="Y77" s="4" t="s">
        <v>6</v>
      </c>
      <c r="Z77" s="31" t="s">
        <v>60</v>
      </c>
      <c r="AA77" s="12" t="str">
        <f t="shared" si="0"/>
        <v>DLL_Create_SC_FreeText_Approval_44_109</v>
      </c>
      <c r="AB77" s="30" t="s">
        <v>292</v>
      </c>
      <c r="AC77" s="12" t="str">
        <f t="shared" si="1"/>
        <v>Shopping cart 1000478966 has no errors</v>
      </c>
      <c r="AD77" s="12" t="str">
        <f t="shared" si="2"/>
        <v>Shopping cart %quote%DLL_Create_SC_FreeText_Approval_44_109%quote% with number 1000478966 ordered successfully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8"/>
    </row>
    <row r="78">
      <c r="A78" s="1">
        <v>78</v>
      </c>
      <c r="B78" s="1"/>
      <c r="C78" s="28" t="s">
        <v>3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31"/>
      <c r="AA78" s="12">
        <f t="shared" si="0"/>
        <v>0</v>
      </c>
      <c r="AB78" s="30" t="s">
        <v>292</v>
      </c>
      <c r="AC78" s="12" t="str">
        <f t="shared" si="1"/>
        <v>Shopping cart  has no errors</v>
      </c>
      <c r="AD78" s="12" t="str">
        <f t="shared" si="2"/>
        <v>Shopping cart %quote%%quote% with number  ordered successfully</v>
      </c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8"/>
    </row>
    <row r="79">
      <c r="A79" s="1">
        <v>79</v>
      </c>
      <c r="B79" s="1" t="s">
        <v>278</v>
      </c>
      <c r="C79" s="28" t="s">
        <v>3</v>
      </c>
      <c r="D79" s="5" t="s">
        <v>234</v>
      </c>
      <c r="E79" s="5" t="s">
        <v>128</v>
      </c>
      <c r="F79" s="5" t="s">
        <v>6</v>
      </c>
      <c r="G79" s="2" t="str">
        <f>"AB_Create_SC_FreeText_Approval_25_"&amp;H79</f>
        <v>AB_Create_SC_FreeText_Approval_25_66</v>
      </c>
      <c r="H79" s="3" t="s">
        <v>33</v>
      </c>
      <c r="I79" s="7" t="s">
        <v>224</v>
      </c>
      <c r="J79" s="3" t="s">
        <v>130</v>
      </c>
      <c r="K79" s="3" t="s">
        <v>131</v>
      </c>
      <c r="L79" s="3" t="s">
        <v>238</v>
      </c>
      <c r="M79" s="3" t="s">
        <v>285</v>
      </c>
      <c r="N79" s="3" t="s">
        <v>239</v>
      </c>
      <c r="O79" s="3" t="s">
        <v>157</v>
      </c>
      <c r="P79" s="3" t="s">
        <v>7</v>
      </c>
      <c r="Q79" s="3" t="s">
        <v>202</v>
      </c>
      <c r="R79" s="3" t="s">
        <v>131</v>
      </c>
      <c r="S79" s="3" t="s">
        <v>238</v>
      </c>
      <c r="T79" s="3" t="s">
        <v>285</v>
      </c>
      <c r="U79" s="3" t="s">
        <v>239</v>
      </c>
      <c r="V79" s="3" t="s">
        <v>157</v>
      </c>
      <c r="W79" s="3" t="s">
        <v>203</v>
      </c>
      <c r="X79" s="9" t="s">
        <v>39</v>
      </c>
      <c r="Y79" s="7" t="s">
        <v>6</v>
      </c>
      <c r="Z79" s="31"/>
      <c r="AA79" s="12" t="str">
        <f t="shared" si="0"/>
        <v>AB_Create_SC_FreeText_Approval_25_66</v>
      </c>
      <c r="AB79" s="30" t="s">
        <v>292</v>
      </c>
      <c r="AC79" s="12" t="str">
        <f t="shared" si="1"/>
        <v>Shopping cart  has no errors</v>
      </c>
      <c r="AD79" s="12" t="str">
        <f t="shared" si="2"/>
        <v>Shopping cart %quote%AB_Create_SC_FreeText_Approval_25_66%quote% with number  ordered successfully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8"/>
    </row>
    <row r="80">
      <c r="A80" s="1">
        <v>80</v>
      </c>
      <c r="B80" s="1" t="s">
        <v>279</v>
      </c>
      <c r="C80" s="28" t="s">
        <v>3</v>
      </c>
      <c r="D80" s="6" t="s">
        <v>67</v>
      </c>
      <c r="E80" s="5" t="s">
        <v>223</v>
      </c>
      <c r="F80" s="6" t="s">
        <v>6</v>
      </c>
      <c r="G80" s="2" t="str">
        <f>"DLL_Create_SC_FreeText_Approval_25_"&amp;H80</f>
        <v>DLL_Create_SC_FreeText_Approval_25_54</v>
      </c>
      <c r="H80" s="2">
        <v>54</v>
      </c>
      <c r="I80" s="4" t="s">
        <v>224</v>
      </c>
      <c r="J80" s="2" t="s">
        <v>130</v>
      </c>
      <c r="K80" s="2" t="s">
        <v>34</v>
      </c>
      <c r="L80" s="2" t="s">
        <v>238</v>
      </c>
      <c r="M80" s="2" t="s">
        <v>285</v>
      </c>
      <c r="N80" s="2" t="s">
        <v>239</v>
      </c>
      <c r="O80" s="2" t="s">
        <v>157</v>
      </c>
      <c r="P80" s="3" t="s">
        <v>86</v>
      </c>
      <c r="Q80" s="2" t="s">
        <v>202</v>
      </c>
      <c r="R80" s="2" t="s">
        <v>34</v>
      </c>
      <c r="S80" s="2" t="s">
        <v>238</v>
      </c>
      <c r="T80" s="2" t="s">
        <v>285</v>
      </c>
      <c r="U80" s="2" t="s">
        <v>239</v>
      </c>
      <c r="V80" s="2" t="s">
        <v>157</v>
      </c>
      <c r="W80" s="3" t="s">
        <v>35</v>
      </c>
      <c r="X80" s="9" t="s">
        <v>168</v>
      </c>
      <c r="Y80" s="4" t="s">
        <v>6</v>
      </c>
      <c r="Z80" s="31"/>
      <c r="AA80" s="12" t="str">
        <f t="shared" si="0"/>
        <v>DLL_Create_SC_FreeText_Approval_25_54</v>
      </c>
      <c r="AB80" s="30" t="s">
        <v>292</v>
      </c>
      <c r="AC80" s="12" t="str">
        <f t="shared" si="1"/>
        <v>Shopping cart  has no errors</v>
      </c>
      <c r="AD80" s="12" t="str">
        <f t="shared" si="2"/>
        <v>Shopping cart %quote%DLL_Create_SC_FreeText_Approval_25_54%quote% with number  ordered successfully</v>
      </c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8"/>
    </row>
    <row r="81">
      <c r="A81" s="1">
        <v>81</v>
      </c>
      <c r="B81" s="1"/>
      <c r="C81" s="28" t="s">
        <v>3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31"/>
      <c r="AA81" s="12">
        <f t="shared" si="0"/>
        <v>0</v>
      </c>
      <c r="AB81" s="30" t="s">
        <v>292</v>
      </c>
      <c r="AC81" s="12" t="str">
        <f t="shared" si="1"/>
        <v>Shopping cart  has no errors</v>
      </c>
      <c r="AD81" s="12" t="str">
        <f t="shared" si="2"/>
        <v>Shopping cart %quote%%quote% with number  ordered successfully</v>
      </c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8"/>
    </row>
    <row r="82">
      <c r="A82" s="1">
        <v>82</v>
      </c>
      <c r="B82" s="1" t="s">
        <v>2</v>
      </c>
      <c r="C82" s="28" t="s">
        <v>3</v>
      </c>
      <c r="D82" s="5" t="s">
        <v>234</v>
      </c>
      <c r="E82" s="5" t="s">
        <v>282</v>
      </c>
      <c r="F82" s="5" t="s">
        <v>6</v>
      </c>
      <c r="G82" s="2" t="str">
        <f>"Generic PO Creation - AB_"&amp;H82</f>
        <v>Generic PO Creation - AB_52</v>
      </c>
      <c r="H82" s="3" t="s">
        <v>107</v>
      </c>
      <c r="I82" s="7" t="s">
        <v>224</v>
      </c>
      <c r="J82" s="3" t="s">
        <v>130</v>
      </c>
      <c r="K82" s="3" t="s">
        <v>131</v>
      </c>
      <c r="L82" s="3" t="s">
        <v>238</v>
      </c>
      <c r="M82" s="3" t="s">
        <v>285</v>
      </c>
      <c r="N82" s="3" t="s">
        <v>239</v>
      </c>
      <c r="O82" s="3" t="s">
        <v>157</v>
      </c>
      <c r="P82" s="3" t="s">
        <v>7</v>
      </c>
      <c r="Q82" s="3" t="s">
        <v>202</v>
      </c>
      <c r="R82" s="3" t="s">
        <v>131</v>
      </c>
      <c r="S82" s="3" t="s">
        <v>238</v>
      </c>
      <c r="T82" s="3" t="s">
        <v>285</v>
      </c>
      <c r="U82" s="3" t="s">
        <v>239</v>
      </c>
      <c r="V82" s="3" t="s">
        <v>157</v>
      </c>
      <c r="W82" s="3" t="s">
        <v>203</v>
      </c>
      <c r="X82" s="9" t="s">
        <v>40</v>
      </c>
      <c r="Y82" s="7" t="s">
        <v>6</v>
      </c>
      <c r="Z82" s="31" t="s">
        <v>187</v>
      </c>
      <c r="AA82" s="12" t="str">
        <f t="shared" si="0"/>
        <v>Generic PO Creation - AB_52</v>
      </c>
      <c r="AB82" s="30" t="s">
        <v>292</v>
      </c>
      <c r="AC82" s="12" t="str">
        <f t="shared" si="1"/>
        <v>Shopping cart 1000478939 has no errors</v>
      </c>
      <c r="AD82" s="12" t="str">
        <f t="shared" si="2"/>
        <v>Shopping cart %quote%Generic PO Creation - AB_52%quote% with number 1000478939 ordered successfully</v>
      </c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8"/>
    </row>
    <row r="83">
      <c r="A83" s="1">
        <v>83</v>
      </c>
      <c r="B83" s="1" t="s">
        <v>222</v>
      </c>
      <c r="C83" s="28" t="s">
        <v>3</v>
      </c>
      <c r="D83" s="6" t="s">
        <v>67</v>
      </c>
      <c r="E83" s="5" t="s">
        <v>282</v>
      </c>
      <c r="F83" s="6" t="s">
        <v>6</v>
      </c>
      <c r="G83" s="2" t="str">
        <f>"Generic PO Creation - DLL_"&amp;H83</f>
        <v>Generic PO Creation - DLL_25</v>
      </c>
      <c r="H83" s="2">
        <v>25</v>
      </c>
      <c r="I83" s="4" t="s">
        <v>224</v>
      </c>
      <c r="J83" s="2" t="s">
        <v>130</v>
      </c>
      <c r="K83" s="2" t="s">
        <v>34</v>
      </c>
      <c r="L83" s="2" t="s">
        <v>238</v>
      </c>
      <c r="M83" s="2" t="s">
        <v>285</v>
      </c>
      <c r="N83" s="2" t="s">
        <v>239</v>
      </c>
      <c r="O83" s="2" t="s">
        <v>157</v>
      </c>
      <c r="P83" s="3" t="s">
        <v>86</v>
      </c>
      <c r="Q83" s="2" t="s">
        <v>202</v>
      </c>
      <c r="R83" s="2" t="s">
        <v>34</v>
      </c>
      <c r="S83" s="2" t="s">
        <v>238</v>
      </c>
      <c r="T83" s="2" t="s">
        <v>285</v>
      </c>
      <c r="U83" s="2" t="s">
        <v>239</v>
      </c>
      <c r="V83" s="2" t="s">
        <v>157</v>
      </c>
      <c r="W83" s="3" t="s">
        <v>35</v>
      </c>
      <c r="X83" s="9" t="s">
        <v>112</v>
      </c>
      <c r="Y83" s="4" t="s">
        <v>6</v>
      </c>
      <c r="Z83" s="31" t="s">
        <v>269</v>
      </c>
      <c r="AA83" s="12" t="str">
        <f t="shared" si="0"/>
        <v>Generic PO Creation - DLL_25</v>
      </c>
      <c r="AB83" s="30" t="s">
        <v>292</v>
      </c>
      <c r="AC83" s="12" t="str">
        <f t="shared" si="1"/>
        <v>Shopping cart 1000717136 has no errors</v>
      </c>
      <c r="AD83" s="12" t="str">
        <f t="shared" si="2"/>
        <v>Shopping cart %quote%Generic PO Creation - DLL_25%quote% with number 1000717136 ordered successfully</v>
      </c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8"/>
    </row>
    <row r="84">
      <c r="A84" s="1">
        <v>84</v>
      </c>
      <c r="B84" s="1"/>
      <c r="C84" s="28" t="s">
        <v>3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31"/>
      <c r="AA84" s="12">
        <f t="shared" si="0"/>
        <v>0</v>
      </c>
      <c r="AB84" s="30" t="s">
        <v>292</v>
      </c>
      <c r="AC84" s="12" t="str">
        <f t="shared" si="1"/>
        <v>Shopping cart  has no errors</v>
      </c>
      <c r="AD84" s="12" t="str">
        <f t="shared" si="2"/>
        <v>Shopping cart %quote%%quote% with number  ordered successfully</v>
      </c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8"/>
    </row>
    <row r="85">
      <c r="A85" s="1">
        <v>85</v>
      </c>
      <c r="B85" s="1" t="s">
        <v>145</v>
      </c>
      <c r="C85" s="28" t="s">
        <v>3</v>
      </c>
      <c r="D85" s="6" t="s">
        <v>67</v>
      </c>
      <c r="E85" s="5" t="s">
        <v>223</v>
      </c>
      <c r="F85" s="6" t="s">
        <v>6</v>
      </c>
      <c r="G85" s="2" t="str">
        <f>"DLL_Create_SC_FreeText_Approval_45_"&amp;H85</f>
        <v>DLL_Create_SC_FreeText_Approval_45_12</v>
      </c>
      <c r="H85" s="2">
        <v>12</v>
      </c>
      <c r="I85" s="4" t="s">
        <v>224</v>
      </c>
      <c r="J85" s="2" t="s">
        <v>130</v>
      </c>
      <c r="K85" s="2" t="s">
        <v>34</v>
      </c>
      <c r="L85" s="2" t="s">
        <v>238</v>
      </c>
      <c r="M85" s="2" t="s">
        <v>285</v>
      </c>
      <c r="N85" s="2" t="s">
        <v>239</v>
      </c>
      <c r="O85" s="2" t="s">
        <v>157</v>
      </c>
      <c r="P85" s="3" t="s">
        <v>86</v>
      </c>
      <c r="Q85" s="2" t="s">
        <v>202</v>
      </c>
      <c r="R85" s="2" t="s">
        <v>34</v>
      </c>
      <c r="S85" s="2" t="s">
        <v>238</v>
      </c>
      <c r="T85" s="2" t="s">
        <v>285</v>
      </c>
      <c r="U85" s="2" t="s">
        <v>239</v>
      </c>
      <c r="V85" s="2" t="s">
        <v>157</v>
      </c>
      <c r="W85" s="3" t="s">
        <v>35</v>
      </c>
      <c r="X85" s="9" t="s">
        <v>264</v>
      </c>
      <c r="Y85" s="4" t="s">
        <v>6</v>
      </c>
      <c r="Z85" s="31" t="s">
        <v>291</v>
      </c>
      <c r="AA85" s="12" t="str">
        <f t="shared" si="0"/>
        <v>DLL_Create_SC_FreeText_Approval_45_12</v>
      </c>
      <c r="AB85" s="30" t="s">
        <v>292</v>
      </c>
      <c r="AC85" s="12" t="str">
        <f t="shared" si="1"/>
        <v>Shopping cart 1000478958 has no errors</v>
      </c>
      <c r="AD85" s="12" t="str">
        <f t="shared" si="2"/>
        <v>Shopping cart %quote%DLL_Create_SC_FreeText_Approval_45_12%quote% with number 1000478958 ordered successfully</v>
      </c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8"/>
    </row>
    <row r="86">
      <c r="A86" s="1">
        <v>86</v>
      </c>
      <c r="B86" s="1"/>
      <c r="C86" s="28" t="s">
        <v>3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31"/>
      <c r="AA86" s="12">
        <f t="shared" si="0"/>
        <v>0</v>
      </c>
      <c r="AB86" s="30" t="s">
        <v>292</v>
      </c>
      <c r="AC86" s="12" t="str">
        <f t="shared" si="1"/>
        <v>Shopping cart  has no errors</v>
      </c>
      <c r="AD86" s="12" t="str">
        <f t="shared" si="2"/>
        <v>Shopping cart %quote%%quote% with number  ordered successfully</v>
      </c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8"/>
    </row>
    <row r="87">
      <c r="A87" s="1">
        <v>87</v>
      </c>
      <c r="B87" s="1" t="s">
        <v>54</v>
      </c>
      <c r="C87" s="28" t="s">
        <v>3</v>
      </c>
      <c r="D87" s="6" t="s">
        <v>67</v>
      </c>
      <c r="E87" s="5" t="s">
        <v>282</v>
      </c>
      <c r="F87" s="6" t="s">
        <v>6</v>
      </c>
      <c r="G87" s="2" t="str">
        <f>"DLL_Create_SC_FreeText_Approval_52_"&amp;H87</f>
        <v>DLL_Create_SC_FreeText_Approval_52_18</v>
      </c>
      <c r="H87" s="2">
        <v>18</v>
      </c>
      <c r="I87" s="4" t="s">
        <v>224</v>
      </c>
      <c r="J87" s="2" t="s">
        <v>130</v>
      </c>
      <c r="K87" s="2" t="s">
        <v>34</v>
      </c>
      <c r="L87" s="2" t="s">
        <v>238</v>
      </c>
      <c r="M87" s="2" t="s">
        <v>285</v>
      </c>
      <c r="N87" s="2" t="s">
        <v>239</v>
      </c>
      <c r="O87" s="2" t="s">
        <v>157</v>
      </c>
      <c r="P87" s="3" t="s">
        <v>86</v>
      </c>
      <c r="Q87" s="2" t="s">
        <v>202</v>
      </c>
      <c r="R87" s="2" t="s">
        <v>34</v>
      </c>
      <c r="S87" s="2" t="s">
        <v>238</v>
      </c>
      <c r="T87" s="2" t="s">
        <v>285</v>
      </c>
      <c r="U87" s="2" t="s">
        <v>239</v>
      </c>
      <c r="V87" s="2" t="s">
        <v>157</v>
      </c>
      <c r="W87" s="3" t="s">
        <v>35</v>
      </c>
      <c r="X87" s="9" t="s">
        <v>113</v>
      </c>
      <c r="Y87" s="4" t="s">
        <v>6</v>
      </c>
      <c r="Z87" s="31" t="s">
        <v>115</v>
      </c>
      <c r="AA87" s="12" t="str">
        <f t="shared" si="0"/>
        <v>DLL_Create_SC_FreeText_Approval_52_18</v>
      </c>
      <c r="AB87" s="30" t="s">
        <v>292</v>
      </c>
      <c r="AC87" s="12" t="str">
        <f t="shared" si="1"/>
        <v>Shopping cart 1000717116 has no errors</v>
      </c>
      <c r="AD87" s="12" t="str">
        <f t="shared" si="2"/>
        <v>Shopping cart %quote%DLL_Create_SC_FreeText_Approval_52_18%quote% with number 1000717116 ordered successfully</v>
      </c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8"/>
    </row>
    <row r="88">
      <c r="A88" s="1">
        <v>88</v>
      </c>
      <c r="B88" s="1"/>
      <c r="C88" s="28" t="s">
        <v>3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31"/>
      <c r="AA88" s="12">
        <f t="shared" si="0"/>
        <v>0</v>
      </c>
      <c r="AB88" s="30" t="s">
        <v>292</v>
      </c>
      <c r="AC88" s="12" t="str">
        <f t="shared" si="1"/>
        <v>Shopping cart  has no errors</v>
      </c>
      <c r="AD88" s="12" t="str">
        <f t="shared" si="2"/>
        <v>Shopping cart %quote%%quote% with number  ordered successfully</v>
      </c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8"/>
    </row>
    <row r="89">
      <c r="A89" s="1">
        <v>89</v>
      </c>
      <c r="B89" s="1" t="s">
        <v>154</v>
      </c>
      <c r="C89" s="28" t="s">
        <v>3</v>
      </c>
      <c r="D89" s="6" t="s">
        <v>67</v>
      </c>
      <c r="E89" s="5" t="s">
        <v>56</v>
      </c>
      <c r="F89" s="6" t="s">
        <v>6</v>
      </c>
      <c r="G89" s="2" t="str">
        <f>"DLL_PRE_VIM_53_"&amp;H89</f>
        <v>DLL_PRE_VIM_53_10</v>
      </c>
      <c r="H89" s="2">
        <v>10</v>
      </c>
      <c r="I89" s="4" t="s">
        <v>224</v>
      </c>
      <c r="J89" s="2" t="s">
        <v>130</v>
      </c>
      <c r="K89" s="2" t="s">
        <v>34</v>
      </c>
      <c r="L89" s="2" t="s">
        <v>238</v>
      </c>
      <c r="M89" s="2" t="s">
        <v>285</v>
      </c>
      <c r="N89" s="2" t="s">
        <v>239</v>
      </c>
      <c r="O89" s="2" t="s">
        <v>157</v>
      </c>
      <c r="P89" s="3" t="s">
        <v>86</v>
      </c>
      <c r="Q89" s="2" t="s">
        <v>202</v>
      </c>
      <c r="R89" s="2" t="s">
        <v>34</v>
      </c>
      <c r="S89" s="2" t="s">
        <v>238</v>
      </c>
      <c r="T89" s="2" t="s">
        <v>285</v>
      </c>
      <c r="U89" s="2" t="s">
        <v>239</v>
      </c>
      <c r="V89" s="2" t="s">
        <v>157</v>
      </c>
      <c r="W89" s="3" t="s">
        <v>35</v>
      </c>
      <c r="X89" s="9" t="s">
        <v>265</v>
      </c>
      <c r="Y89" s="4" t="s">
        <v>6</v>
      </c>
      <c r="Z89" s="31" t="s">
        <v>98</v>
      </c>
      <c r="AA89" s="12" t="str">
        <f t="shared" si="0"/>
        <v>DLL_PRE_VIM_53_10</v>
      </c>
      <c r="AB89" s="30" t="s">
        <v>292</v>
      </c>
      <c r="AC89" s="12" t="str">
        <f t="shared" si="1"/>
        <v>Shopping cart 1000953637 has no errors</v>
      </c>
      <c r="AD89" s="12" t="str">
        <f t="shared" si="2"/>
        <v>Shopping cart %quote%DLL_PRE_VIM_53_10%quote% with number 1000953637 ordered successfully</v>
      </c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8"/>
    </row>
    <row r="90">
      <c r="A90" s="1">
        <v>90</v>
      </c>
      <c r="B90" s="1"/>
      <c r="C90" s="28" t="s">
        <v>3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31"/>
      <c r="AA90" s="12">
        <f t="shared" si="0"/>
        <v>0</v>
      </c>
      <c r="AB90" s="30" t="s">
        <v>292</v>
      </c>
      <c r="AC90" s="12" t="str">
        <f t="shared" si="1"/>
        <v>Shopping cart  has no errors</v>
      </c>
      <c r="AD90" s="12" t="str">
        <f t="shared" si="2"/>
        <v>Shopping cart %quote%%quote% with number  ordered successfully</v>
      </c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8"/>
    </row>
    <row r="91">
      <c r="A91" s="1">
        <v>91</v>
      </c>
      <c r="B91" s="1" t="s">
        <v>200</v>
      </c>
      <c r="C91" s="28" t="s">
        <v>3</v>
      </c>
      <c r="D91" s="6" t="s">
        <v>4</v>
      </c>
      <c r="E91" s="5" t="s">
        <v>56</v>
      </c>
      <c r="F91" s="6" t="s">
        <v>6</v>
      </c>
      <c r="G91" s="2" t="str">
        <f>"SRM_163_DLL_1st_PO_"&amp;H91</f>
        <v>SRM_163_DLL_1st_PO_63</v>
      </c>
      <c r="H91" s="2">
        <v>63</v>
      </c>
      <c r="I91" s="4" t="s">
        <v>224</v>
      </c>
      <c r="J91" s="2" t="s">
        <v>130</v>
      </c>
      <c r="K91" s="2" t="s">
        <v>34</v>
      </c>
      <c r="L91" s="2" t="s">
        <v>238</v>
      </c>
      <c r="M91" s="2" t="s">
        <v>285</v>
      </c>
      <c r="N91" s="2" t="s">
        <v>239</v>
      </c>
      <c r="O91" s="2" t="s">
        <v>157</v>
      </c>
      <c r="P91" s="3" t="s">
        <v>86</v>
      </c>
      <c r="Q91" s="2" t="s">
        <v>202</v>
      </c>
      <c r="R91" s="2" t="s">
        <v>34</v>
      </c>
      <c r="S91" s="2" t="s">
        <v>238</v>
      </c>
      <c r="T91" s="2" t="s">
        <v>285</v>
      </c>
      <c r="U91" s="2" t="s">
        <v>239</v>
      </c>
      <c r="V91" s="2" t="s">
        <v>157</v>
      </c>
      <c r="W91" s="3" t="s">
        <v>35</v>
      </c>
      <c r="X91" s="9" t="s">
        <v>185</v>
      </c>
      <c r="Y91" s="4" t="s">
        <v>6</v>
      </c>
      <c r="Z91" s="31" t="s">
        <v>252</v>
      </c>
      <c r="AA91" s="12" t="str">
        <f t="shared" si="0"/>
        <v>SRM_163_DLL_1st_PO_63</v>
      </c>
      <c r="AB91" s="30" t="s">
        <v>292</v>
      </c>
      <c r="AC91" s="12" t="str">
        <f t="shared" si="1"/>
        <v>Shopping cart 1000953577 has no errors</v>
      </c>
      <c r="AD91" s="12" t="str">
        <f t="shared" si="2"/>
        <v>Shopping cart %quote%SRM_163_DLL_1st_PO_63%quote% with number 1000953577 ordered successfully</v>
      </c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8"/>
    </row>
    <row r="92">
      <c r="A92" s="1">
        <v>92</v>
      </c>
      <c r="B92" s="1" t="s">
        <v>304</v>
      </c>
      <c r="C92" s="28" t="s">
        <v>3</v>
      </c>
      <c r="D92" s="6" t="s">
        <v>4</v>
      </c>
      <c r="E92" s="5" t="s">
        <v>56</v>
      </c>
      <c r="F92" s="6" t="s">
        <v>6</v>
      </c>
      <c r="G92" s="2" t="str">
        <f>"SRM_163_DLL_2nd_PO_"&amp;H92</f>
        <v>SRM_163_DLL_2nd_PO_64</v>
      </c>
      <c r="H92" s="2">
        <v>64</v>
      </c>
      <c r="I92" s="4" t="s">
        <v>224</v>
      </c>
      <c r="J92" s="2" t="s">
        <v>130</v>
      </c>
      <c r="K92" s="2" t="s">
        <v>34</v>
      </c>
      <c r="L92" s="2" t="s">
        <v>238</v>
      </c>
      <c r="M92" s="2" t="s">
        <v>285</v>
      </c>
      <c r="N92" s="2" t="s">
        <v>239</v>
      </c>
      <c r="O92" s="2" t="s">
        <v>157</v>
      </c>
      <c r="P92" s="3" t="s">
        <v>86</v>
      </c>
      <c r="Q92" s="2" t="s">
        <v>202</v>
      </c>
      <c r="R92" s="2" t="s">
        <v>34</v>
      </c>
      <c r="S92" s="2" t="s">
        <v>238</v>
      </c>
      <c r="T92" s="2" t="s">
        <v>285</v>
      </c>
      <c r="U92" s="2" t="s">
        <v>239</v>
      </c>
      <c r="V92" s="2" t="s">
        <v>157</v>
      </c>
      <c r="W92" s="3" t="s">
        <v>35</v>
      </c>
      <c r="X92" s="9" t="s">
        <v>266</v>
      </c>
      <c r="Y92" s="4" t="s">
        <v>6</v>
      </c>
      <c r="Z92" s="31" t="s">
        <v>19</v>
      </c>
      <c r="AA92" s="12" t="str">
        <f t="shared" si="0"/>
        <v>SRM_163_DLL_2nd_PO_64</v>
      </c>
      <c r="AB92" s="30" t="s">
        <v>292</v>
      </c>
      <c r="AC92" s="12" t="str">
        <f t="shared" si="1"/>
        <v>Shopping cart 1000953578 has no errors</v>
      </c>
      <c r="AD92" s="12" t="str">
        <f t="shared" si="2"/>
        <v>Shopping cart %quote%SRM_163_DLL_2nd_PO_64%quote% with number 1000953578 ordered successfully</v>
      </c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8"/>
    </row>
    <row r="93">
      <c r="A93" s="1">
        <v>93</v>
      </c>
      <c r="B93" s="1" t="s">
        <v>146</v>
      </c>
      <c r="C93" s="28" t="s">
        <v>3</v>
      </c>
      <c r="D93" s="6" t="s">
        <v>4</v>
      </c>
      <c r="E93" s="5" t="s">
        <v>56</v>
      </c>
      <c r="F93" s="6" t="s">
        <v>6</v>
      </c>
      <c r="G93" s="2" t="str">
        <f>"SRM_163_DLL_3rd_PO_"&amp;H93</f>
        <v>SRM_163_DLL_3rd_PO_65</v>
      </c>
      <c r="H93" s="2">
        <v>65</v>
      </c>
      <c r="I93" s="4" t="s">
        <v>224</v>
      </c>
      <c r="J93" s="2" t="s">
        <v>130</v>
      </c>
      <c r="K93" s="2" t="s">
        <v>34</v>
      </c>
      <c r="L93" s="2" t="s">
        <v>238</v>
      </c>
      <c r="M93" s="2" t="s">
        <v>285</v>
      </c>
      <c r="N93" s="2" t="s">
        <v>239</v>
      </c>
      <c r="O93" s="2" t="s">
        <v>157</v>
      </c>
      <c r="P93" s="3" t="s">
        <v>86</v>
      </c>
      <c r="Q93" s="2" t="s">
        <v>202</v>
      </c>
      <c r="R93" s="2" t="s">
        <v>34</v>
      </c>
      <c r="S93" s="2" t="s">
        <v>238</v>
      </c>
      <c r="T93" s="2" t="s">
        <v>285</v>
      </c>
      <c r="U93" s="2" t="s">
        <v>239</v>
      </c>
      <c r="V93" s="2" t="s">
        <v>157</v>
      </c>
      <c r="W93" s="3" t="s">
        <v>35</v>
      </c>
      <c r="X93" s="9" t="s">
        <v>41</v>
      </c>
      <c r="Y93" s="4" t="s">
        <v>6</v>
      </c>
      <c r="Z93" s="31" t="s">
        <v>99</v>
      </c>
      <c r="AA93" s="12" t="str">
        <f t="shared" si="0"/>
        <v>SRM_163_DLL_3rd_PO_65</v>
      </c>
      <c r="AB93" s="30" t="s">
        <v>292</v>
      </c>
      <c r="AC93" s="12" t="str">
        <f t="shared" si="1"/>
        <v>Shopping cart 1000953579 has no errors</v>
      </c>
      <c r="AD93" s="12" t="str">
        <f t="shared" si="2"/>
        <v>Shopping cart %quote%SRM_163_DLL_3rd_PO_65%quote% with number 1000953579 ordered successfully</v>
      </c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8"/>
    </row>
    <row r="94">
      <c r="A94" s="1">
        <v>94</v>
      </c>
      <c r="B94" s="1" t="s">
        <v>29</v>
      </c>
      <c r="C94" s="28" t="s">
        <v>3</v>
      </c>
      <c r="D94" s="5" t="s">
        <v>67</v>
      </c>
      <c r="E94" s="5" t="s">
        <v>56</v>
      </c>
      <c r="F94" s="5" t="s">
        <v>6</v>
      </c>
      <c r="G94" s="2" t="str">
        <f>"Test_04.04.02.98 VIM_"&amp;H94</f>
        <v>Test_04.04.02.98 VIM_25</v>
      </c>
      <c r="H94" s="3" t="s">
        <v>236</v>
      </c>
      <c r="I94" s="7" t="s">
        <v>224</v>
      </c>
      <c r="J94" s="3" t="s">
        <v>130</v>
      </c>
      <c r="K94" s="3" t="s">
        <v>34</v>
      </c>
      <c r="L94" s="3" t="s">
        <v>238</v>
      </c>
      <c r="M94" s="3" t="s">
        <v>285</v>
      </c>
      <c r="N94" s="3" t="s">
        <v>239</v>
      </c>
      <c r="O94" s="3" t="s">
        <v>157</v>
      </c>
      <c r="P94" s="15" t="s">
        <v>286</v>
      </c>
      <c r="Q94" s="3" t="s">
        <v>202</v>
      </c>
      <c r="R94" s="3" t="s">
        <v>34</v>
      </c>
      <c r="S94" s="3" t="s">
        <v>238</v>
      </c>
      <c r="T94" s="3" t="s">
        <v>285</v>
      </c>
      <c r="U94" s="3" t="s">
        <v>239</v>
      </c>
      <c r="V94" s="3" t="s">
        <v>157</v>
      </c>
      <c r="W94" s="3" t="s">
        <v>35</v>
      </c>
      <c r="X94" s="9" t="s">
        <v>114</v>
      </c>
      <c r="Y94" s="7" t="s">
        <v>6</v>
      </c>
      <c r="Z94" s="31" t="s">
        <v>20</v>
      </c>
      <c r="AA94" s="12" t="str">
        <f t="shared" si="0"/>
        <v>Test_04.04.02.98 VIM_25</v>
      </c>
      <c r="AB94" s="30" t="s">
        <v>292</v>
      </c>
      <c r="AC94" s="12" t="str">
        <f t="shared" si="1"/>
        <v>Shopping cart 1001199479 has no errors</v>
      </c>
      <c r="AD94" s="12" t="str">
        <f t="shared" si="2"/>
        <v>Shopping cart %quote%Test_04.04.02.98 VIM_25%quote% with number 1001199479 ordered successfully</v>
      </c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8"/>
    </row>
    <row r="95">
      <c r="A95" s="1">
        <v>95</v>
      </c>
      <c r="B95" s="1" t="s">
        <v>280</v>
      </c>
      <c r="C95" s="1" t="s">
        <v>177</v>
      </c>
      <c r="D95" s="5" t="s">
        <v>67</v>
      </c>
      <c r="E95" s="5" t="s">
        <v>68</v>
      </c>
      <c r="F95" s="5" t="s">
        <v>6</v>
      </c>
      <c r="G95" s="2" t="str">
        <f>"IP01_DLL_Create_SC_FreeText_Approval_"&amp;H95</f>
        <v>IP01_DLL_Create_SC_FreeText_Approval_</v>
      </c>
      <c r="H95" s="3" t="s">
        <v>6</v>
      </c>
      <c r="I95" s="7" t="s">
        <v>224</v>
      </c>
      <c r="J95" s="3" t="s">
        <v>130</v>
      </c>
      <c r="K95" s="3" t="s">
        <v>34</v>
      </c>
      <c r="L95" s="3" t="s">
        <v>238</v>
      </c>
      <c r="M95" s="3" t="s">
        <v>285</v>
      </c>
      <c r="N95" s="3" t="s">
        <v>239</v>
      </c>
      <c r="O95" s="3" t="s">
        <v>157</v>
      </c>
      <c r="P95" s="3">
        <v>10010734</v>
      </c>
      <c r="Q95" s="3" t="s">
        <v>202</v>
      </c>
      <c r="R95" s="3" t="s">
        <v>34</v>
      </c>
      <c r="S95" s="3" t="s">
        <v>238</v>
      </c>
      <c r="T95" s="3" t="s">
        <v>285</v>
      </c>
      <c r="U95" s="3" t="s">
        <v>239</v>
      </c>
      <c r="V95" s="3" t="s">
        <v>157</v>
      </c>
      <c r="W95" s="8" t="s">
        <v>35</v>
      </c>
      <c r="X95" s="9" t="s">
        <v>186</v>
      </c>
      <c r="Y95" s="7" t="s">
        <v>6</v>
      </c>
      <c r="Z95" s="31" t="s">
        <v>75</v>
      </c>
      <c r="AA95" s="12" t="str">
        <f t="shared" si="0"/>
        <v>IP01_DLL_Create_SC_FreeText_Approval_</v>
      </c>
      <c r="AB95" s="30" t="s">
        <v>292</v>
      </c>
      <c r="AC95" s="12" t="str">
        <f t="shared" si="1"/>
        <v>Shopping cart 1000011062 has no errors</v>
      </c>
      <c r="AD95" s="12" t="str">
        <f t="shared" si="2"/>
        <v>Shopping cart %quote%IP01_DLL_Create_SC_FreeText_Approval_%quote% with number 1000011062 ordered successfully</v>
      </c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8"/>
    </row>
    <row r="96">
      <c r="A96" s="14">
        <v>95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4">
        <f t="shared" si="0"/>
        <v>0</v>
      </c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8"/>
    </row>
    <row r="97">
      <c r="A97" s="14">
        <v>96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4">
        <f t="shared" si="0"/>
        <v>0</v>
      </c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8"/>
    </row>
    <row r="98">
      <c r="A98" s="14">
        <v>97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4">
        <f t="shared" si="0"/>
        <v>0</v>
      </c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8"/>
    </row>
    <row r="99">
      <c r="A99" s="14">
        <v>98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4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8"/>
    </row>
    <row r="100">
      <c r="A100" s="14">
        <v>99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4">
        <f t="shared" si="7" ref="AA100:AA105">G100</f>
        <v>0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8"/>
    </row>
    <row r="101">
      <c r="A101" s="14">
        <v>100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4">
        <f t="shared" si="7"/>
        <v>0</v>
      </c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8"/>
    </row>
    <row r="102">
      <c r="A102" s="14">
        <v>101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4">
        <f t="shared" si="7"/>
        <v>0</v>
      </c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8"/>
    </row>
    <row r="103">
      <c r="A103" s="14">
        <v>102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4">
        <f t="shared" si="7"/>
        <v>0</v>
      </c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8"/>
    </row>
    <row r="104">
      <c r="A104" s="14">
        <v>103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4">
        <f t="shared" si="7"/>
        <v>0</v>
      </c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8"/>
    </row>
    <row r="105">
      <c r="A105" s="14">
        <v>104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4">
        <f t="shared" si="7"/>
        <v>0</v>
      </c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8"/>
    </row>
  </sheetData>
  <hyperlinks>
    <hyperlink ref="E2" r:id="rId1" display="Welcome@2022"/>
    <hyperlink ref="C2" r:id="rId2" location="Shell-home" display="https://sapportal-pre.delhaize.com/irj/portal/fiori_ad?spnego=disabled#Shell-home"/>
  </hyperlinks>
  <pageMargins left="0.7" right="0.7" top="0.75" bottom="0.75" header="0.3" footer="0.3"/>
  <pageSetup orientation="portrait" horizontalDpi="203" verticalDpi="20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125" defaultRowHeight="14.25"/>
  <cols>
    <col min="1" max="1" width="9.125" style="11" customWidth="1"/>
    <col min="2" max="2" width="20.125" style="11" customWidth="1"/>
    <col min="3" max="3" width="93.5" style="11" bestFit="1" customWidth="1"/>
    <col min="4" max="16384" width="9.125" style="11" customWidth="1"/>
  </cols>
  <sheetData>
    <row r="1" ht="12.75" customHeight="1" customFormat="1">
      <c r="A1" t="s">
        <v>216</v>
      </c>
      <c r="B1" t="s">
        <v>48</v>
      </c>
      <c r="C1" t="s">
        <v>211</v>
      </c>
    </row>
    <row r="2" ht="42.75">
      <c r="A2" s="1">
        <v>2</v>
      </c>
      <c r="B2" s="20" t="s">
        <v>173</v>
      </c>
      <c r="C2" s="23" t="s">
        <v>295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B40"/>
  <sheetViews>
    <sheetView workbookViewId="0">
      <selection activeCell="A2" sqref="A2"/>
    </sheetView>
  </sheetViews>
  <sheetFormatPr defaultColWidth="9.42578125" defaultRowHeight="14.25"/>
  <cols>
    <col min="1" max="1" width="11.625" style="11" bestFit="1" customWidth="1"/>
    <col min="2" max="2" width="14.875" style="11" bestFit="1" customWidth="1"/>
    <col min="3" max="16384" width="9.42578125" style="11" customWidth="1"/>
  </cols>
  <sheetData>
    <row r="1" ht="14.85" customFormat="1">
      <c r="A1" t="s">
        <v>212</v>
      </c>
      <c r="B1" t="s">
        <v>297</v>
      </c>
    </row>
    <row r="2">
      <c r="A2" s="4" t="s">
        <v>213</v>
      </c>
      <c r="B2" s="16" t="s">
        <v>172</v>
      </c>
    </row>
    <row r="3">
      <c r="A3" s="4" t="s">
        <v>296</v>
      </c>
      <c r="B3" s="16" t="s">
        <v>194</v>
      </c>
    </row>
    <row r="4">
      <c r="A4" s="4" t="s">
        <v>63</v>
      </c>
      <c r="B4" s="16" t="s">
        <v>152</v>
      </c>
    </row>
    <row r="5">
      <c r="A5" s="4" t="s">
        <v>138</v>
      </c>
      <c r="B5" s="16" t="s">
        <v>195</v>
      </c>
    </row>
    <row r="6">
      <c r="A6" s="4" t="s">
        <v>230</v>
      </c>
      <c r="B6" s="16" t="s">
        <v>195</v>
      </c>
    </row>
    <row r="7">
      <c r="A7" s="4" t="s">
        <v>310</v>
      </c>
      <c r="B7" s="16" t="s">
        <v>195</v>
      </c>
    </row>
    <row r="8">
      <c r="A8" s="4" t="s">
        <v>231</v>
      </c>
      <c r="B8" s="16" t="s">
        <v>298</v>
      </c>
    </row>
    <row r="9">
      <c r="A9" s="4" t="s">
        <v>214</v>
      </c>
      <c r="B9" s="16" t="s">
        <v>298</v>
      </c>
    </row>
    <row r="10">
      <c r="A10" s="4" t="s">
        <v>21</v>
      </c>
      <c r="B10" s="16" t="s">
        <v>172</v>
      </c>
    </row>
    <row r="11">
      <c r="A11" s="4" t="s">
        <v>4</v>
      </c>
      <c r="B11" s="16" t="s">
        <v>5</v>
      </c>
    </row>
    <row r="12">
      <c r="A12" s="4" t="s">
        <v>117</v>
      </c>
      <c r="B12" s="16" t="s">
        <v>195</v>
      </c>
    </row>
    <row r="13">
      <c r="A13" s="4" t="s">
        <v>190</v>
      </c>
      <c r="B13" s="16" t="s">
        <v>275</v>
      </c>
    </row>
    <row r="14">
      <c r="A14" s="4" t="s">
        <v>271</v>
      </c>
      <c r="B14" s="16" t="s">
        <v>275</v>
      </c>
    </row>
    <row r="15">
      <c r="A15" s="4" t="s">
        <v>30</v>
      </c>
      <c r="B15" s="16" t="s">
        <v>275</v>
      </c>
    </row>
    <row r="16">
      <c r="A16" s="4" t="s">
        <v>118</v>
      </c>
      <c r="B16" s="16" t="s">
        <v>195</v>
      </c>
    </row>
    <row r="17">
      <c r="A17" s="4" t="s">
        <v>191</v>
      </c>
      <c r="B17" s="16" t="s">
        <v>312</v>
      </c>
    </row>
    <row r="18">
      <c r="A18" s="4" t="s">
        <v>272</v>
      </c>
      <c r="B18" s="16" t="s">
        <v>215</v>
      </c>
    </row>
    <row r="19">
      <c r="A19" s="4" t="s">
        <v>45</v>
      </c>
      <c r="B19" s="16" t="s">
        <v>140</v>
      </c>
    </row>
    <row r="20">
      <c r="A20" s="4" t="s">
        <v>46</v>
      </c>
      <c r="B20" s="16" t="s">
        <v>195</v>
      </c>
    </row>
    <row r="21">
      <c r="A21" s="4" t="s">
        <v>311</v>
      </c>
      <c r="B21" s="16" t="s">
        <v>56</v>
      </c>
    </row>
    <row r="22">
      <c r="A22" s="4" t="s">
        <v>76</v>
      </c>
      <c r="B22" s="16" t="s">
        <v>56</v>
      </c>
    </row>
    <row r="23">
      <c r="A23" s="4" t="s">
        <v>150</v>
      </c>
      <c r="B23" s="16" t="s">
        <v>56</v>
      </c>
    </row>
    <row r="24">
      <c r="A24" s="4" t="s">
        <v>254</v>
      </c>
      <c r="B24" s="16" t="s">
        <v>56</v>
      </c>
    </row>
    <row r="25">
      <c r="A25" s="4" t="s">
        <v>100</v>
      </c>
      <c r="B25" s="16" t="s">
        <v>56</v>
      </c>
    </row>
    <row r="26">
      <c r="A26" s="4" t="s">
        <v>171</v>
      </c>
      <c r="B26" s="16" t="s">
        <v>56</v>
      </c>
    </row>
    <row r="27">
      <c r="A27" s="4" t="s">
        <v>255</v>
      </c>
      <c r="B27" s="16" t="s">
        <v>312</v>
      </c>
    </row>
    <row r="28">
      <c r="A28" s="4" t="s">
        <v>22</v>
      </c>
      <c r="B28" s="16" t="s">
        <v>312</v>
      </c>
    </row>
    <row r="29">
      <c r="A29" s="4" t="s">
        <v>151</v>
      </c>
      <c r="B29" s="16" t="s">
        <v>312</v>
      </c>
    </row>
    <row r="30">
      <c r="A30" s="4" t="s">
        <v>232</v>
      </c>
      <c r="B30" s="16" t="s">
        <v>312</v>
      </c>
    </row>
    <row r="31">
      <c r="A31" s="4" t="s">
        <v>119</v>
      </c>
      <c r="B31" s="16" t="s">
        <v>195</v>
      </c>
    </row>
    <row r="32">
      <c r="A32" s="4" t="s">
        <v>192</v>
      </c>
      <c r="B32" s="16" t="s">
        <v>195</v>
      </c>
    </row>
    <row r="33">
      <c r="A33" s="4" t="s">
        <v>273</v>
      </c>
      <c r="B33" s="16" t="s">
        <v>195</v>
      </c>
    </row>
    <row r="34">
      <c r="A34" s="4" t="s">
        <v>47</v>
      </c>
      <c r="B34" s="16" t="s">
        <v>152</v>
      </c>
    </row>
    <row r="35">
      <c r="A35" s="4" t="s">
        <v>120</v>
      </c>
      <c r="B35" s="16" t="s">
        <v>122</v>
      </c>
    </row>
    <row r="36">
      <c r="A36" s="4" t="s">
        <v>193</v>
      </c>
      <c r="B36" s="16" t="s">
        <v>195</v>
      </c>
    </row>
    <row r="37">
      <c r="A37" s="4" t="s">
        <v>274</v>
      </c>
      <c r="B37" s="16" t="s">
        <v>56</v>
      </c>
    </row>
    <row r="38">
      <c r="A38" s="4" t="s">
        <v>64</v>
      </c>
      <c r="B38" s="16" t="s">
        <v>195</v>
      </c>
    </row>
    <row r="39">
      <c r="A39" s="4" t="s">
        <v>139</v>
      </c>
      <c r="B39" s="16" t="s">
        <v>56</v>
      </c>
    </row>
    <row r="40">
      <c r="A40" s="4" t="s">
        <v>121</v>
      </c>
      <c r="B40" s="16" t="s">
        <v>152</v>
      </c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0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