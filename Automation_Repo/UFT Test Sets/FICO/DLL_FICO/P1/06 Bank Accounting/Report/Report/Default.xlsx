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est_BA_OP_01_Paie" sheetId="3" r:id="rId3"/>
    <sheet name="TC2_Test_BA_OP_08_Paiem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<sst xmlns="http://schemas.openxmlformats.org/spreadsheetml/2006/main" uniqueCount="95">
  <si>
    <t>Scripting</t>
  </si>
  <si>
    <t/>
  </si>
  <si>
    <t>DT_SAPTRANSACTIONCODE</t>
  </si>
  <si>
    <t>DT_FB60_0202_DOCS_ENTERED_UP_TO</t>
  </si>
  <si>
    <t>DT_FB60_1000_ALL_ITEMS</t>
  </si>
  <si>
    <t>DT_FB60_1106_DOCUMENT_NUMBER</t>
  </si>
  <si>
    <t>DT_FB60_0010_AMOUNT</t>
  </si>
  <si>
    <t>DT_FB60_1106_START_DATE</t>
  </si>
  <si>
    <t>Data Coming from another test</t>
  </si>
  <si>
    <t>R</t>
  </si>
  <si>
    <t>DT_FB60_0010_INVOICE_DATE</t>
  </si>
  <si>
    <t>20.11.2015</t>
  </si>
  <si>
    <t>DT_FB60_0010_REFERENCE</t>
  </si>
  <si>
    <t>FM</t>
  </si>
  <si>
    <t>Scenario</t>
  </si>
  <si>
    <t>Output Data</t>
  </si>
  <si>
    <t>AUTOFDLL</t>
  </si>
  <si>
    <t>3</t>
  </si>
  <si>
    <t>DT_FB60_1106_START_IMMEDIATELY</t>
  </si>
  <si>
    <t>DT_FB60_0201_CHECK_TEXT_OF_F110VSTATU</t>
  </si>
  <si>
    <t>DT_FB60_1000_VENDOR_ACCOUNT</t>
  </si>
  <si>
    <t>Formulas</t>
  </si>
  <si>
    <t>200</t>
  </si>
  <si>
    <t xml:space="preserve"> </t>
  </si>
  <si>
    <t>DT_FB60_0200_RUN_DATE</t>
  </si>
  <si>
    <t>/nfbl1n</t>
  </si>
  <si>
    <t>DT_GENERATED_DOC_Output</t>
  </si>
  <si>
    <t>C</t>
  </si>
  <si>
    <t>DT_SAPSYSTEM</t>
  </si>
  <si>
    <t>FB60</t>
  </si>
  <si>
    <t>DT_FB60_1000_COMPANY_CODE</t>
  </si>
  <si>
    <t>BE10</t>
  </si>
  <si>
    <t>0,00</t>
  </si>
  <si>
    <t>Document 1900106322 was posted in company code BE10</t>
  </si>
  <si>
    <t>DT_FB60_0200_PARAMETER</t>
  </si>
  <si>
    <t>DT_FB60_0202_TABLECELL_COMPANY_CODES_0</t>
  </si>
  <si>
    <t>Input Data</t>
  </si>
  <si>
    <t>DT_SAPLANGUAGE</t>
  </si>
  <si>
    <t>DT_SAPOPTIONS</t>
  </si>
  <si>
    <t>DT_FB60_0010_TEXT</t>
  </si>
  <si>
    <t>0</t>
  </si>
  <si>
    <t>Row</t>
  </si>
  <si>
    <t>56acaaf451b11d6164414173</t>
  </si>
  <si>
    <t>DT_FB60_1100_TRANSACTN</t>
  </si>
  <si>
    <t>DT_FB60_0100_TABLECELL_TAX_CODE_0</t>
  </si>
  <si>
    <t>DT_FB60_0100_TABLECELL_COST_CENTER_0</t>
  </si>
  <si>
    <t>BW000002</t>
  </si>
  <si>
    <t>DT_GENERATED_DOC</t>
  </si>
  <si>
    <t>DT_FB60_0202_POSTING_DATE</t>
  </si>
  <si>
    <t>DT_FB60_0200_ADDITIONAL_LOG</t>
  </si>
  <si>
    <t>Verifications</t>
  </si>
  <si>
    <t>Execution Control Data</t>
  </si>
  <si>
    <t>121</t>
  </si>
  <si>
    <t>DT_FB60_1100_CHECK_TEXT_OF_BAL</t>
  </si>
  <si>
    <t>@5B\QPayment@</t>
  </si>
  <si>
    <t>DT_FB60_0111_CHECK_GETCELLVALUE_OF_GRIDCELL_0_EXCEPT2</t>
  </si>
  <si>
    <t>DT_Statusbar_Output</t>
  </si>
  <si>
    <t>D</t>
  </si>
  <si>
    <t>BA_OP_08_Paiement Etranger hors zone EUR</t>
  </si>
  <si>
    <t>R3</t>
  </si>
  <si>
    <t>DT_FB60_0200_IDENTIFICATION</t>
  </si>
  <si>
    <t>DT_FB60_7004_VENDOR</t>
  </si>
  <si>
    <t>EN</t>
  </si>
  <si>
    <t>DT_INCREMENT</t>
  </si>
  <si>
    <t>DT_GENERATED_DOC_1</t>
  </si>
  <si>
    <t>1</t>
  </si>
  <si>
    <t>DT_FB60_0200_OKCD</t>
  </si>
  <si>
    <t>DT_FB60_0010_TAX_AMOUNT</t>
  </si>
  <si>
    <t>DT_FB60_0100_TABLECELL_GL_ACCT_0</t>
  </si>
  <si>
    <t>f110</t>
  </si>
  <si>
    <t>DT_FB60_0203_VALUES</t>
  </si>
  <si>
    <t>DT_FB60_0200_STATUS</t>
  </si>
  <si>
    <t>true</t>
  </si>
  <si>
    <t>R1E - SAP RETAIL Pre-Production EUROPE</t>
  </si>
  <si>
    <t>Fixed Data</t>
  </si>
  <si>
    <t>DT_SAPPASSWORD</t>
  </si>
  <si>
    <t>DT_FB60_0010_POSTING_DATE</t>
  </si>
  <si>
    <t>DT_FB60_0100_TABLECELL_AMOUNT_IN_DOCCURR_0</t>
  </si>
  <si>
    <t>@5B\QOutgoing Payment@</t>
  </si>
  <si>
    <t>Posting orders: 1 generated, 1 completed</t>
  </si>
  <si>
    <t>DT_FB60_1000_COMPANY_CODE_OCC1</t>
  </si>
  <si>
    <t>E</t>
  </si>
  <si>
    <t>Login Information</t>
  </si>
  <si>
    <t>DT_SAPUSER</t>
  </si>
  <si>
    <t>DT_FB60_0010_VENDOR</t>
  </si>
  <si>
    <t>DT_FB60_0100_OKCD</t>
  </si>
  <si>
    <t>DT_FB60_0200_FREE_SELECTION</t>
  </si>
  <si>
    <t>2</t>
  </si>
  <si>
    <t>DT_FB60_0111_CHECK_GETCELLVALUE_OF_GRIDCELL_0_EXCEPT</t>
  </si>
  <si>
    <t>Cleared</t>
  </si>
  <si>
    <t>DT_SAPCLIENT</t>
  </si>
  <si>
    <t>DT_FB60_0202_TABLECELL_PMT_METHS_0</t>
  </si>
  <si>
    <t>DT_FB60_0202_TABLECELL_NEXT_PDATE_0</t>
  </si>
  <si>
    <t>DT_FB60_1106_START_DATE_OCC1</t>
  </si>
  <si>
    <t>DT_FB60_0500_CHECK_GETCELLVALUE_OF_GRIDCELL_0_ICO_AUGP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</si>
</sst>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DT_BA_OP_08_Paiement%20Etranger%20hors%20zone%20EUR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A16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2" width="9.125" style="9" customWidth="1"/>
    <col min="3" max="3" width="38.125" style="9" customWidth="1"/>
    <col min="4" max="4" width="15" style="9" customWidth="1"/>
    <col min="5" max="5" width="13.625" style="9" customWidth="1"/>
    <col min="6" max="6" width="25.25" style="9" customWidth="1"/>
    <col min="7" max="7" width="18.625" style="9" customWidth="1"/>
    <col min="8" max="8" width="16.75" style="9" customWidth="1"/>
    <col min="9" max="9" width="27.125" style="9" customWidth="1"/>
    <col min="10" max="10" width="30.5" style="9" customWidth="1"/>
    <col min="11" max="11" width="26.625" style="9" customWidth="1"/>
    <col min="12" max="12" width="25.75" style="9" customWidth="1"/>
    <col min="13" max="13" width="23" style="9" customWidth="1"/>
    <col min="14" max="14" width="28.625" style="9" customWidth="1"/>
    <col min="15" max="15" width="26.5" style="9" customWidth="1"/>
    <col min="16" max="16" width="29.5" style="9" customWidth="1"/>
    <col min="17" max="17" width="23.125" style="9" customWidth="1"/>
    <col min="18" max="18" width="27.75" style="9" customWidth="1"/>
    <col min="19" max="19" width="39.75" style="9" customWidth="1"/>
    <col min="20" max="20" width="36.875" style="9" customWidth="1"/>
    <col min="21" max="21" width="49.875" style="9" customWidth="1"/>
    <col min="22" max="22" width="38.375" style="9" customWidth="1"/>
    <col min="23" max="23" width="42.375" style="9" customWidth="1"/>
    <col min="24" max="25" width="35.125" style="9" customWidth="1"/>
    <col min="26" max="26" width="64.25" style="9" customWidth="1"/>
    <col min="27" max="27" width="20.125" style="9" customWidth="1"/>
    <col min="28" max="28" width="25.25" style="9" customWidth="1"/>
    <col min="29" max="29" width="29.875" style="9" customWidth="1"/>
    <col min="30" max="30" width="26.75" style="9" customWidth="1"/>
    <col min="31" max="31" width="29.5" style="9" customWidth="1"/>
    <col min="32" max="32" width="37.625" style="9" customWidth="1"/>
    <col min="33" max="33" width="45.25" style="9" customWidth="1"/>
    <col min="34" max="34" width="40.125" style="9" customWidth="1"/>
    <col min="35" max="35" width="40.875" style="9" customWidth="1"/>
    <col min="36" max="36" width="23" style="9" customWidth="1"/>
    <col min="37" max="37" width="31.5" style="9" customWidth="1"/>
    <col min="38" max="38" width="22.375" style="9" customWidth="1"/>
    <col min="39" max="39" width="31" style="9" customWidth="1"/>
    <col min="40" max="40" width="22.625" style="9" customWidth="1"/>
    <col min="41" max="41" width="35" style="9" customWidth="1"/>
    <col min="42" max="42" width="27.5" style="9" customWidth="1"/>
    <col min="43" max="43" width="60.75" style="9" customWidth="1"/>
    <col min="44" max="44" width="61.75" style="9" customWidth="1"/>
    <col min="45" max="45" width="33.375" style="9" customWidth="1"/>
    <col min="46" max="46" width="43.375" style="9" customWidth="1"/>
    <col min="47" max="47" width="20.125" style="9" customWidth="1"/>
    <col min="48" max="48" width="25" style="9" customWidth="1"/>
    <col min="49" max="49" width="33.125" style="9" customWidth="1"/>
    <col min="50" max="50" width="36.375" style="9" customWidth="1"/>
    <col min="51" max="51" width="34.875" style="9" customWidth="1"/>
    <col min="52" max="52" width="62.75" style="9" customWidth="1"/>
    <col min="53" max="16384" width="9.125" style="9" customWidth="1"/>
  </cols>
  <sheetData>
    <row r="1" ht="12.75" customHeight="1" customFormat="1">
      <c r="A1" t="s">
        <v>41</v>
      </c>
      <c r="B1" t="s">
        <v>14</v>
      </c>
      <c r="C1" t="s">
        <v>28</v>
      </c>
      <c r="D1" t="s">
        <v>90</v>
      </c>
      <c r="E1" t="s">
        <v>83</v>
      </c>
      <c r="F1" t="s">
        <v>75</v>
      </c>
      <c r="G1" t="s">
        <v>37</v>
      </c>
      <c r="H1" t="s">
        <v>38</v>
      </c>
      <c r="I1" t="s">
        <v>2</v>
      </c>
      <c r="J1" t="s">
        <v>30</v>
      </c>
      <c r="K1" t="s">
        <v>43</v>
      </c>
      <c r="L1" t="s">
        <v>63</v>
      </c>
      <c r="M1" t="s">
        <v>84</v>
      </c>
      <c r="N1" t="s">
        <v>10</v>
      </c>
      <c r="O1" t="s">
        <v>12</v>
      </c>
      <c r="P1" t="s">
        <v>76</v>
      </c>
      <c r="Q1" t="s">
        <v>6</v>
      </c>
      <c r="R1" t="s">
        <v>67</v>
      </c>
      <c r="S1" t="s">
        <v>39</v>
      </c>
      <c r="T1" t="s">
        <v>68</v>
      </c>
      <c r="U1" t="s">
        <v>77</v>
      </c>
      <c r="V1" t="s">
        <v>44</v>
      </c>
      <c r="W1" t="s">
        <v>45</v>
      </c>
      <c r="X1" t="s">
        <v>53</v>
      </c>
      <c r="Y1" t="s">
        <v>47</v>
      </c>
      <c r="Z1" t="s">
        <v>64</v>
      </c>
      <c r="AA1" t="s">
        <v>85</v>
      </c>
      <c r="AB1" t="s">
        <v>24</v>
      </c>
      <c r="AC1" t="s">
        <v>60</v>
      </c>
      <c r="AD1" t="s">
        <v>34</v>
      </c>
      <c r="AE1" t="s">
        <v>48</v>
      </c>
      <c r="AF1" t="s">
        <v>3</v>
      </c>
      <c r="AG1" t="s">
        <v>35</v>
      </c>
      <c r="AH1" t="s">
        <v>91</v>
      </c>
      <c r="AI1" t="s">
        <v>92</v>
      </c>
      <c r="AJ1" t="s">
        <v>61</v>
      </c>
      <c r="AK1" t="s">
        <v>86</v>
      </c>
      <c r="AL1" t="s">
        <v>70</v>
      </c>
      <c r="AM1" t="s">
        <v>49</v>
      </c>
      <c r="AN1" t="s">
        <v>71</v>
      </c>
      <c r="AO1" t="s">
        <v>18</v>
      </c>
      <c r="AP1" t="s">
        <v>7</v>
      </c>
      <c r="AQ1" t="s">
        <v>88</v>
      </c>
      <c r="AR1" t="s">
        <v>55</v>
      </c>
      <c r="AS1" t="s">
        <v>93</v>
      </c>
      <c r="AT1" t="s">
        <v>19</v>
      </c>
      <c r="AU1" t="s">
        <v>66</v>
      </c>
      <c r="AV1" t="s">
        <v>4</v>
      </c>
      <c r="AW1" t="s">
        <v>20</v>
      </c>
      <c r="AX1" t="s">
        <v>80</v>
      </c>
      <c r="AY1" t="s">
        <v>5</v>
      </c>
      <c r="AZ1" t="s">
        <v>94</v>
      </c>
      <c r="BA1" t="s">
        <v>26</v>
      </c>
    </row>
    <row r="2">
      <c r="A2" s="1">
        <v>1</v>
      </c>
      <c r="B2" s="1" t="s">
        <v>0</v>
      </c>
      <c r="C2" s="6" t="s">
        <v>73</v>
      </c>
      <c r="D2" s="6" t="s">
        <v>22</v>
      </c>
      <c r="E2" s="6" t="s">
        <v>16</v>
      </c>
      <c r="F2" s="6" t="s">
        <v>42</v>
      </c>
      <c r="G2" s="3" t="s">
        <v>62</v>
      </c>
      <c r="H2" s="3" t="s">
        <v>1</v>
      </c>
      <c r="I2" s="3" t="s">
        <v>29</v>
      </c>
      <c r="J2" s="2" t="s">
        <v>31</v>
      </c>
      <c r="K2" s="2" t="s">
        <v>9</v>
      </c>
      <c r="L2" s="2">
        <v>28</v>
      </c>
      <c r="M2" s="2">
        <v>10006969</v>
      </c>
      <c r="N2" s="2" t="s">
        <v>11</v>
      </c>
      <c r="O2" s="7" t="str">
        <f>CONCATENATE("Test_BA_Etr_",L2)</f>
        <v>Test_BA_Etr_28</v>
      </c>
      <c r="P2" s="4">
        <f ca="1">TODAY()</f>
        <v>45957</v>
      </c>
      <c r="Q2" s="2" t="s">
        <v>52</v>
      </c>
      <c r="R2" s="2"/>
      <c r="S2" s="2" t="s">
        <v>58</v>
      </c>
      <c r="T2" s="2">
        <v>30384121</v>
      </c>
      <c r="U2" s="2">
        <v>121</v>
      </c>
      <c r="V2" s="2" t="s">
        <v>59</v>
      </c>
      <c r="W2" s="2" t="s">
        <v>46</v>
      </c>
      <c r="X2" s="5" t="s">
        <v>32</v>
      </c>
      <c r="Y2" s="1" t="e">
        <f>[1]Output!A2</f>
        <v>#REF!</v>
      </c>
      <c r="Z2" s="8" t="e">
        <f>"Document "&amp;Y2&amp;" was posted in company code BE10"</f>
        <v>#REF!</v>
      </c>
      <c r="AA2" s="2" t="s">
        <v>69</v>
      </c>
      <c r="AB2" s="4">
        <f ca="1">TODAY()</f>
        <v>45957</v>
      </c>
      <c r="AC2" s="7" t="str">
        <f>CONCATENATE("TE0",L2)</f>
        <v>TE028</v>
      </c>
      <c r="AD2" s="3" t="s">
        <v>65</v>
      </c>
      <c r="AE2" s="4">
        <f ca="1" t="shared" si="0" ref="AE2:AF2">TODAY()</f>
        <v>45957</v>
      </c>
      <c r="AF2" s="4">
        <f ca="1" t="shared" si="0"/>
        <v>45957</v>
      </c>
      <c r="AG2" s="2" t="s">
        <v>31</v>
      </c>
      <c r="AH2" s="2" t="s">
        <v>13</v>
      </c>
      <c r="AI2" s="4">
        <f ca="1">TODAY()+31</f>
        <v>45988</v>
      </c>
      <c r="AJ2" s="2">
        <f>M2</f>
        <v>10006969</v>
      </c>
      <c r="AK2" s="3" t="s">
        <v>87</v>
      </c>
      <c r="AL2" s="7" t="e">
        <f>MID(Z2,10,10)</f>
        <v>#REF!</v>
      </c>
      <c r="AM2" s="3" t="s">
        <v>17</v>
      </c>
      <c r="AN2" s="3" t="s">
        <v>40</v>
      </c>
      <c r="AO2" s="3" t="s">
        <v>72</v>
      </c>
      <c r="AP2" s="4">
        <f ca="1">TODAY()</f>
        <v>45957</v>
      </c>
      <c r="AQ2" s="5" t="s">
        <v>54</v>
      </c>
      <c r="AR2" s="5" t="s">
        <v>78</v>
      </c>
      <c r="AS2" s="4">
        <f ca="1">TODAY()</f>
        <v>45957</v>
      </c>
      <c r="AT2" s="5" t="s">
        <v>79</v>
      </c>
      <c r="AU2" s="2" t="s">
        <v>25</v>
      </c>
      <c r="AV2" s="3" t="s">
        <v>17</v>
      </c>
      <c r="AW2" s="2">
        <f>M2</f>
        <v>10006969</v>
      </c>
      <c r="AX2" s="2" t="str">
        <f>J2</f>
        <v>BE10</v>
      </c>
      <c r="AY2" s="2" t="e">
        <f>AL2</f>
        <v>#REF!</v>
      </c>
      <c r="AZ2" s="5" t="s">
        <v>89</v>
      </c>
      <c r="BA2" s="10">
        <v>1900024014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>
        <v>10002922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8" t="s">
        <v>33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0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0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0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0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0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0"/>
    </row>
    <row r="9">
      <c r="A9" s="1"/>
      <c r="B9" s="1"/>
      <c r="C9" s="6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0"/>
    </row>
    <row r="10">
      <c r="A10" s="1"/>
      <c r="B10" s="1"/>
      <c r="C10" s="2" t="s">
        <v>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0"/>
    </row>
    <row r="11">
      <c r="A11" s="1"/>
      <c r="B11" s="1"/>
      <c r="C11" s="14" t="s">
        <v>74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0"/>
    </row>
    <row r="12">
      <c r="A12" s="1"/>
      <c r="B12" s="1"/>
      <c r="C12" s="8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23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0"/>
    </row>
    <row r="13">
      <c r="A13" s="1"/>
      <c r="B13" s="1"/>
      <c r="C13" s="7" t="s">
        <v>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0"/>
    </row>
    <row r="14">
      <c r="A14" s="1"/>
      <c r="B14" s="1"/>
      <c r="C14" s="5" t="s">
        <v>50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0"/>
    </row>
    <row r="15">
      <c r="A15" s="1"/>
      <c r="B15" s="1"/>
      <c r="C15" s="13" t="s">
        <v>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0"/>
    </row>
    <row r="16">
      <c r="A16" s="1"/>
      <c r="B16" s="1"/>
      <c r="C16" s="12" t="s">
        <v>51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26</v>
      </c>
      <c r="B1" t="s">
        <v>56</v>
      </c>
      <c r="C1" t="s">
        <v>27</v>
      </c>
      <c r="D1" t="s">
        <v>57</v>
      </c>
      <c r="E1" t="s">
        <v>81</v>
      </c>
    </row>
    <row r="2">
      <c r="A2" s="1">
        <v>1900024245</v>
      </c>
      <c r="B2" s="1" t="s">
        <v>31</v>
      </c>
      <c r="C2" s="1"/>
      <c r="D2" s="1"/>
      <c r="E2" s="10">
        <v>2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1" customWidth="1"/>
  </cols>
  <sheetData>
    <row r="1" ht="15.1" customFormat="1"/>
  </sheetData>
  <pageMargins left="0.7" right="0.7" top="0.75" bottom="0.75" header="0.3" footer="0.3"/>
</worksheet>
</file>