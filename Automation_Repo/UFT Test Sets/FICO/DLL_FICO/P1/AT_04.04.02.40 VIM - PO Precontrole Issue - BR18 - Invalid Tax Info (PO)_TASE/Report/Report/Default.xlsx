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DT1_DataTransfer" sheetId="3" r:id="rId3"/>
    <sheet name="TC1_Test_04.04.02.40 VIM" sheetId="4" r:id="rId4"/>
  </sheets>
  <calcPr calcId="40001"/>
</workbook>
</file>

<file path=xl/sharedStrings.xml><?xml version="1.0" encoding="utf-8"?>
<sst xmlns="http://schemas.openxmlformats.org/spreadsheetml/2006/main" uniqueCount="144">
  <si>
    <t/>
  </si>
  <si>
    <t>DT_SAPTRANSACTIONCODE</t>
  </si>
  <si>
    <t>DT_OPTVIM_7AX2_2002_OPTVIM_BL_1RIDX_OCR_DATATAX_CODE</t>
  </si>
  <si>
    <t>DT_OPTVIM_7AX2_0002_CHECK_MESSAGEPARAMETER_OF_STATUSBAR</t>
  </si>
  <si>
    <t>AUTOFAB</t>
  </si>
  <si>
    <t>DT_OPTVIM_7AX2_2002_TAX_RATE_1</t>
  </si>
  <si>
    <t>=Output!C3</t>
  </si>
  <si>
    <t>=Output!D4</t>
  </si>
  <si>
    <t>DT_OPTVIM_7AX2_2002_VENDOR_REFERENCE1</t>
  </si>
  <si>
    <t>DT_OPTVIM_7AX2_2002_HANDLING_CHARGES</t>
  </si>
  <si>
    <t>F</t>
  </si>
  <si>
    <t>J</t>
  </si>
  <si>
    <t>04.04.02.40 VIM - PO Precontrole Issue - DLL</t>
  </si>
  <si>
    <t>Verifications Date</t>
  </si>
  <si>
    <t>Data Coming from another test</t>
  </si>
  <si>
    <t>577584efd9b4910c3472fea8</t>
  </si>
  <si>
    <t>DT_OPTVIM_7AX2_2002_VAT_AMOUNT</t>
  </si>
  <si>
    <t>DT_OPTVIM_7AX2_2002_OPTVIM_BL_1RIDX_OCR_DATATAX_RATE</t>
  </si>
  <si>
    <t>DT_OPTVIM_7AX2_1105_DOCUMENT_ID</t>
  </si>
  <si>
    <t>DT_OPTVIM_7AX2_2002_DOCUMENT_DATE</t>
  </si>
  <si>
    <t>DT_OPTVIM_7AX2_2002_BANK_NAME</t>
  </si>
  <si>
    <t>DT_OPTVIM_7AX2_0002_CHECK_MESSAGEPARAMETER_OF_STATUSBAR_OUTPUT</t>
  </si>
  <si>
    <t>DT_OPTVIM_7AX2_0002_CHECK_MESSAGEPARAMETER_OF_STATUSBAR_OCC1_OUTPUT</t>
  </si>
  <si>
    <t>N</t>
  </si>
  <si>
    <t>R</t>
  </si>
  <si>
    <t>V</t>
  </si>
  <si>
    <t>Output Data</t>
  </si>
  <si>
    <t>AUTOFDLL</t>
  </si>
  <si>
    <t>%blank%</t>
  </si>
  <si>
    <t>E1</t>
  </si>
  <si>
    <t>DT_OPTVIM_7AX2_2004_CHECK_GETCELLVALUE_OF_GRIDCELL_16_STATUS</t>
  </si>
  <si>
    <t>DT_OPTVIM_7AX2_1100_TAX_AMOUNT_1</t>
  </si>
  <si>
    <t>DT_OPTVIM_7AX2_2002_RECEPIENT_NAME</t>
  </si>
  <si>
    <t>000307421116</t>
  </si>
  <si>
    <t>Z</t>
  </si>
  <si>
    <t>200</t>
  </si>
  <si>
    <t>DT_OPTVIM_7AX2_2002_VENDOR_REFERENCE</t>
  </si>
  <si>
    <t>DT_OPTVIM_7AX2_2002_TAX_AMOUNT_1</t>
  </si>
  <si>
    <t>DT_EXPECTEDVALUE</t>
  </si>
  <si>
    <t>DT_OPTVIM_7AX2_1100_TAX_AMOUNT</t>
  </si>
  <si>
    <t>DT_OutputRow</t>
  </si>
  <si>
    <t>DT_OPTVIM_7AX2_2002_FREIGHT_AMOUNT</t>
  </si>
  <si>
    <t>DT_OPTVIM_7AX2_2002_VENDOR_VAT_NO</t>
  </si>
  <si>
    <t>000049327149</t>
  </si>
  <si>
    <t>AA</t>
  </si>
  <si>
    <t>DT_SAPSYSTEM</t>
  </si>
  <si>
    <t>init-123</t>
  </si>
  <si>
    <t>=Output!C4</t>
  </si>
  <si>
    <t>DT_OPTVIM_7AX2_2002_DOCUMENT_CURRENCY</t>
  </si>
  <si>
    <t>DT_OPTVIM_7AX2_2002_REQUESTOR_EMAIL</t>
  </si>
  <si>
    <t>DT_OPTVIM_7AX2_2002_VENDOR_TAX_NO</t>
  </si>
  <si>
    <t>DT_OPTVIM_7AX2_2002_TAX_RATE_2</t>
  </si>
  <si>
    <t>DT_OPTVIM_7AX2_2002_PAYMENT_TERMS</t>
  </si>
  <si>
    <t>DT_RANDOM_NUMBER</t>
  </si>
  <si>
    <t>G</t>
  </si>
  <si>
    <t>K</t>
  </si>
  <si>
    <t>Input Data</t>
  </si>
  <si>
    <t>DT_SAPLANGUAGE</t>
  </si>
  <si>
    <t>DT_SAPOPTIONS</t>
  </si>
  <si>
    <t>DT_OPTVIM_7AX2_0002_ARCH</t>
  </si>
  <si>
    <t>S</t>
  </si>
  <si>
    <t>DT_OPTVIM_7AX2_0002_CHECK_MESSAGEPARAMETER_OF_STATUSBAR_OCC1</t>
  </si>
  <si>
    <t>DT_OPTVIM_7AX2_0002_CHECK_TEXT_OF_STATUSBAR</t>
  </si>
  <si>
    <t>0</t>
  </si>
  <si>
    <t>DT_OPTVIM_7AX2_2002_POSTING_DATE</t>
  </si>
  <si>
    <t>DT_OPTVIM_7AX2_2002_DOCHEADER_TEXT</t>
  </si>
  <si>
    <t>O</t>
  </si>
  <si>
    <t>SCENARIO</t>
  </si>
  <si>
    <t>04.04.02.40 VIM - PO Precontrole Issue - MI</t>
  </si>
  <si>
    <t>A6</t>
  </si>
  <si>
    <t>4</t>
  </si>
  <si>
    <t>DT_OPTVIM_7AX2_1000_GRIDCELL_0_EXECUTE</t>
  </si>
  <si>
    <t>W</t>
  </si>
  <si>
    <t>04.04.02.40 VIM - PO Precontrole Issue - AB</t>
  </si>
  <si>
    <t>Formulas Date</t>
  </si>
  <si>
    <t>Verifications</t>
  </si>
  <si>
    <t>Execution Control Data</t>
  </si>
  <si>
    <t>DT_EXPECTEDVALUE_OCC1</t>
  </si>
  <si>
    <t>DT_OPTVIM_7AX2_1000_GRIDCELL_1_DOC_ID</t>
  </si>
  <si>
    <t>ICON_EXEC</t>
  </si>
  <si>
    <t>DT_OPTVIM_7AX2_2002_GROSS_INV_AMOUNT1</t>
  </si>
  <si>
    <t>DT_OPTVIM_7AX2_2002_PLANT</t>
  </si>
  <si>
    <t>DT_OPTVIM_7AX2_2002_PO_NUMBER1</t>
  </si>
  <si>
    <t>DT_OPTVIM_7AX2_2002_TAX_AMOUNT</t>
  </si>
  <si>
    <t>DT_OPTVIM_7AX2_0019_OPTVIM_BL_M1_SUBSCREENSTC_INDEX_ITEMS</t>
  </si>
  <si>
    <t>DT_OPTVIM_7AX2_2002_CM_REF_DAT</t>
  </si>
  <si>
    <t>AB</t>
  </si>
  <si>
    <t>Iovio03!</t>
  </si>
  <si>
    <t>/OPT/VIM_7AX2</t>
  </si>
  <si>
    <t>DT_OPTVIM_7AX2_2002_CHECK_TEXT_OF_VAT_AMOUNT</t>
  </si>
  <si>
    <t>N3</t>
  </si>
  <si>
    <t>=Output!D2</t>
  </si>
  <si>
    <t>DT_OPTVIM_7AX2_2002_POSTING_DATE_OCC1</t>
  </si>
  <si>
    <t>DT_OPTVIM_7AX2_2002_EXPENSE_TYPE</t>
  </si>
  <si>
    <t>DT_OPTVIM_7AX2_2002_TAX_AMOUNT_11</t>
  </si>
  <si>
    <t>DT_OPTVIM_7AX2_2002_TAX_AMOUNT_2</t>
  </si>
  <si>
    <t>H</t>
  </si>
  <si>
    <t>L</t>
  </si>
  <si>
    <t>AUTOFICO</t>
  </si>
  <si>
    <t>EN</t>
  </si>
  <si>
    <t>@08\QProcessed@</t>
  </si>
  <si>
    <t>DT_OPTVIM_7AX2_2002_RECEPIENT_VAT_NO</t>
  </si>
  <si>
    <t>DT_OPTVIM_7AX2_2002_SUPPLY_DATE</t>
  </si>
  <si>
    <t>P</t>
  </si>
  <si>
    <t>T</t>
  </si>
  <si>
    <t>Formulas General</t>
  </si>
  <si>
    <t>DT_OPTVIM_7AX2_2002_GROSS_INV_AMOUNT</t>
  </si>
  <si>
    <t>DT_OPTVIM_7AX2_2002_COMPANY_CODE</t>
  </si>
  <si>
    <t>DT_OPTVIM_7AX2_2002_REQUESTER_ID</t>
  </si>
  <si>
    <t>DT_OPTVIM_7AX2_2002_BANK_ACCOUNT</t>
  </si>
  <si>
    <t>X</t>
  </si>
  <si>
    <t>/n/OPT/VIM_WP</t>
  </si>
  <si>
    <t>DT_OPTVIM_7AX2_1002_BASIC_DATA</t>
  </si>
  <si>
    <t>10</t>
  </si>
  <si>
    <t>DT_OPTVIM_7AX2_2002_BANK_NUMBER</t>
  </si>
  <si>
    <t>DT_OPTVIM_7AX2_2002_BANK_NUMBER_OCC1</t>
  </si>
  <si>
    <t>Fixed Data</t>
  </si>
  <si>
    <t>R1E - SAP RETAIL Pre-Production EUROPE</t>
  </si>
  <si>
    <t>DT_SAPPASSWORD</t>
  </si>
  <si>
    <t>=Output!C2</t>
  </si>
  <si>
    <t>=Output!D3</t>
  </si>
  <si>
    <t>DT_OPTVIM_7AX2_2004_CHECK_GETCELLVALUE_OF_GRIDCELL_16_STATUS_OCC1</t>
  </si>
  <si>
    <t>DT_OPTVIM_7AX2_2002_PO_NUMBER</t>
  </si>
  <si>
    <t>E</t>
  </si>
  <si>
    <t>I</t>
  </si>
  <si>
    <t>M</t>
  </si>
  <si>
    <t>ROW</t>
  </si>
  <si>
    <t>Login Information</t>
  </si>
  <si>
    <t>DT_SAPUSER</t>
  </si>
  <si>
    <t>S5</t>
  </si>
  <si>
    <t>DT_OPTVIM_7AX2_0002_OKCD</t>
  </si>
  <si>
    <t>DT_OPTVIM_7AX2_0002_ARCH1</t>
  </si>
  <si>
    <t>DT_OPTVIM_7AX2_2002_VENDOR_NAME</t>
  </si>
  <si>
    <t>DT_OPTVIM_7AX2_2002_PO_LIST</t>
  </si>
  <si>
    <t>DT_OPTVIM_7AX2_2002_FISCAL_REP_VAT_NO</t>
  </si>
  <si>
    <t>Q</t>
  </si>
  <si>
    <t>U</t>
  </si>
  <si>
    <t>DT_SAPCLIENT</t>
  </si>
  <si>
    <t>DT_OPTVIM_7AX2_0002_ADDL_DOCS</t>
  </si>
  <si>
    <t>DT_OPTVIM_7AX2_0150_ALL_USERS_VIEW</t>
  </si>
  <si>
    <t>@0A\QException occured@</t>
  </si>
  <si>
    <t>DT_OPTVIM_7AX2_2002_VENDOR_NUMBER</t>
  </si>
  <si>
    <t>DT_OPTVIM_7AX2_2002_IBAN</t>
  </si>
  <si>
    <t>Y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</si>
</sst>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2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Border="1" applyProtection="1">
      <protection locked="0"/>
    </xf>
    <xf numFmtId="0" fontId="1" fillId="0" borderId="1" xfId="0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0" borderId="1" xfId="0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49" fontId="1" fillId="0" borderId="1" xfId="0" applyNumberForma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2" fillId="0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2" fillId="6" borderId="1" xfId="0" applyNumberFormat="1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0" borderId="2" xfId="0" applyBorder="1" applyProtection="1">
      <protection locked="0"/>
    </xf>
    <xf numFmtId="0" fontId="1" fillId="4" borderId="1" xfId="0" applyNumberForma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49" fontId="1" fillId="7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0" borderId="1" xfId="0" applyNumberFormat="1" applyFill="1" applyBorder="1" applyProtection="1">
      <protection locked="0"/>
    </xf>
    <xf numFmtId="0" fontId="1" fillId="0" borderId="2" xfId="0" applyFill="1" applyBorder="1" applyProtection="1">
      <protection locked="0"/>
    </xf>
    <xf numFmtId="0" fontId="1" fillId="0" borderId="0" xfId="0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0" fontId="3" fillId="0" borderId="1" xfId="0" applyFont="1" applyFill="1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3" fillId="0" borderId="0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164" fontId="2" fillId="8" borderId="1" xfId="0" applyNumberFormat="1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1" fontId="1" fillId="0" borderId="1" xfId="0" applyNumberFormat="1" applyBorder="1" applyProtection="1">
      <protection locked="0"/>
    </xf>
    <xf numFmtId="49" fontId="1" fillId="0" borderId="2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V15"/>
  <sheetViews>
    <sheetView zoomScale="70" workbookViewId="0">
      <pane xSplit="1" ySplit="0" topLeftCell="AD2" activePane="topRight"/>
      <selection activeCell="AD2" sqref="AD2"/>
      <selection pane="topRight" activeCell="AD2" sqref="AD2"/>
    </sheetView>
  </sheetViews>
  <sheetFormatPr defaultColWidth="9.125" defaultRowHeight="14.25"/>
  <cols>
    <col min="1" max="1" width="9.125" style="8" customWidth="1"/>
    <col min="2" max="2" width="48.375" style="8" customWidth="1"/>
    <col min="3" max="3" width="35.375" style="8" customWidth="1"/>
    <col min="4" max="4" width="14.5" style="8" customWidth="1"/>
    <col min="5" max="5" width="13" style="8" customWidth="1"/>
    <col min="6" max="6" width="23.875" style="8" customWidth="1"/>
    <col min="7" max="7" width="18.125" style="8" customWidth="1"/>
    <col min="8" max="8" width="16" style="8" customWidth="1"/>
    <col min="9" max="9" width="26.375" style="8" customWidth="1"/>
    <col min="10" max="10" width="28.375" style="8" customWidth="1"/>
    <col min="11" max="11" width="34.125" style="8" customWidth="1"/>
    <col min="12" max="12" width="51.875" style="8" customWidth="1"/>
    <col min="13" max="13" width="43" style="8" customWidth="1"/>
    <col min="14" max="14" width="35.625" style="8" customWidth="1"/>
    <col min="15" max="15" width="60.5" style="8" customWidth="1"/>
    <col min="16" max="16" width="42.625" style="8" customWidth="1"/>
    <col min="17" max="17" width="60.125" style="8" customWidth="1"/>
    <col min="18" max="18" width="34.375" style="8" customWidth="1"/>
    <col min="19" max="19" width="37.5" style="8" customWidth="1"/>
    <col min="20" max="20" width="20" style="8" customWidth="1"/>
    <col min="21" max="21" width="66.125" style="8" customWidth="1"/>
    <col min="22" max="22" width="72.125" style="8" customWidth="1"/>
    <col min="23" max="23" width="50.375" style="8" customWidth="1"/>
    <col min="24" max="24" width="28.125" style="8" customWidth="1"/>
    <col min="25" max="25" width="39.375" style="8" customWidth="1"/>
    <col min="26" max="26" width="26" style="8" customWidth="1"/>
    <col min="27" max="27" width="42.125" style="8" customWidth="1"/>
    <col min="28" max="28" width="36.5" style="8" customWidth="1"/>
    <col min="29" max="29" width="43.5" style="8" customWidth="1"/>
    <col min="30" max="30" width="34.625" style="8" customWidth="1"/>
    <col min="31" max="31" width="35.5" style="8" customWidth="1"/>
    <col min="32" max="32" width="69.125" style="8" customWidth="1"/>
    <col min="33" max="33" width="37.5" style="8" customWidth="1"/>
    <col min="34" max="34" width="75.125" style="8" customWidth="1"/>
    <col min="35" max="35" width="13.875" style="8" customWidth="1"/>
    <col min="36" max="36" width="34.5" style="26" customWidth="1"/>
    <col min="37" max="37" width="29.375" style="8" customWidth="1"/>
    <col min="38" max="38" width="39.375" style="8" customWidth="1"/>
    <col min="39" max="39" width="36.875" style="8" customWidth="1"/>
    <col min="40" max="40" width="42.875" style="8" customWidth="1"/>
    <col min="41" max="41" width="44.625" style="8" customWidth="1"/>
    <col min="42" max="42" width="43.625" style="8" customWidth="1"/>
    <col min="43" max="43" width="40" style="8" customWidth="1"/>
    <col min="44" max="44" width="44" style="8" customWidth="1"/>
    <col min="45" max="45" width="42.625" style="8" customWidth="1"/>
    <col min="46" max="46" width="39.875" style="8" customWidth="1"/>
    <col min="47" max="47" width="36.625" style="8" customWidth="1"/>
    <col min="48" max="48" width="37.375" style="8" customWidth="1"/>
    <col min="49" max="49" width="28.875" style="8" customWidth="1"/>
    <col min="50" max="50" width="35.5" style="8" customWidth="1"/>
    <col min="51" max="51" width="41" style="8" customWidth="1"/>
    <col min="52" max="52" width="38.375" style="8" customWidth="1"/>
    <col min="53" max="53" width="37" style="8" customWidth="1"/>
    <col min="54" max="54" width="39.875" style="8" customWidth="1"/>
    <col min="55" max="55" width="30.375" style="8" customWidth="1"/>
    <col min="56" max="56" width="39.125" style="8" customWidth="1"/>
    <col min="57" max="57" width="39" style="8" customWidth="1"/>
    <col min="58" max="58" width="35.5" style="8" customWidth="1"/>
    <col min="59" max="59" width="41.625" style="8" customWidth="1"/>
    <col min="60" max="60" width="42.625" style="8" customWidth="1"/>
    <col min="61" max="61" width="38.5" style="8" customWidth="1"/>
    <col min="62" max="62" width="34.375" style="8" customWidth="1"/>
    <col min="63" max="63" width="37.5" style="8" customWidth="1"/>
    <col min="64" max="64" width="66" style="8" customWidth="1"/>
    <col min="65" max="65" width="35.625" style="8" customWidth="1"/>
    <col min="66" max="66" width="39" style="8" customWidth="1"/>
    <col min="67" max="67" width="35.375" style="8" customWidth="1"/>
    <col min="68" max="68" width="34.5" style="8" customWidth="1"/>
    <col min="69" max="69" width="38" style="8" customWidth="1"/>
    <col min="70" max="70" width="27.5" style="8" customWidth="1"/>
    <col min="71" max="71" width="37" style="8" customWidth="1"/>
    <col min="72" max="72" width="43" style="8" customWidth="1"/>
    <col min="73" max="73" width="40" style="8" customWidth="1"/>
    <col min="74" max="74" width="22.375" style="8" bestFit="1" customWidth="1"/>
    <col min="75" max="16384" width="9.125" style="8" customWidth="1"/>
  </cols>
  <sheetData>
    <row r="1" ht="12.75" customHeight="1" customFormat="1">
      <c r="A1" t="s">
        <v>126</v>
      </c>
      <c r="B1" t="s">
        <v>67</v>
      </c>
      <c r="C1" t="s">
        <v>45</v>
      </c>
      <c r="D1" t="s">
        <v>137</v>
      </c>
      <c r="E1" t="s">
        <v>128</v>
      </c>
      <c r="F1" t="s">
        <v>118</v>
      </c>
      <c r="G1" t="s">
        <v>57</v>
      </c>
      <c r="H1" t="s">
        <v>58</v>
      </c>
      <c r="I1" t="s">
        <v>1</v>
      </c>
      <c r="J1" t="s">
        <v>59</v>
      </c>
      <c r="K1" t="s">
        <v>138</v>
      </c>
      <c r="L1" t="s">
        <v>89</v>
      </c>
      <c r="M1" t="s">
        <v>36</v>
      </c>
      <c r="N1" t="s">
        <v>16</v>
      </c>
      <c r="O1" t="s">
        <v>2</v>
      </c>
      <c r="P1" t="s">
        <v>106</v>
      </c>
      <c r="Q1" t="s">
        <v>17</v>
      </c>
      <c r="R1" t="s">
        <v>5</v>
      </c>
      <c r="S1" t="s">
        <v>37</v>
      </c>
      <c r="T1" t="s">
        <v>38</v>
      </c>
      <c r="U1" t="s">
        <v>3</v>
      </c>
      <c r="V1" t="s">
        <v>61</v>
      </c>
      <c r="W1" t="s">
        <v>62</v>
      </c>
      <c r="X1" t="s">
        <v>130</v>
      </c>
      <c r="Y1" t="s">
        <v>139</v>
      </c>
      <c r="Z1" t="s">
        <v>77</v>
      </c>
      <c r="AA1" t="s">
        <v>78</v>
      </c>
      <c r="AB1" t="s">
        <v>18</v>
      </c>
      <c r="AC1" t="s">
        <v>71</v>
      </c>
      <c r="AD1" t="s">
        <v>112</v>
      </c>
      <c r="AE1" t="s">
        <v>39</v>
      </c>
      <c r="AF1" t="s">
        <v>30</v>
      </c>
      <c r="AG1" t="s">
        <v>31</v>
      </c>
      <c r="AH1" t="s">
        <v>121</v>
      </c>
      <c r="AI1" t="s">
        <v>40</v>
      </c>
      <c r="AJ1" t="s">
        <v>122</v>
      </c>
      <c r="AK1" t="s">
        <v>131</v>
      </c>
      <c r="AL1" t="s">
        <v>19</v>
      </c>
      <c r="AM1" t="s">
        <v>64</v>
      </c>
      <c r="AN1" t="s">
        <v>92</v>
      </c>
      <c r="AO1" t="s">
        <v>48</v>
      </c>
      <c r="AP1" t="s">
        <v>80</v>
      </c>
      <c r="AQ1" t="s">
        <v>41</v>
      </c>
      <c r="AR1" t="s">
        <v>8</v>
      </c>
      <c r="AS1" t="s">
        <v>9</v>
      </c>
      <c r="AT1" t="s">
        <v>141</v>
      </c>
      <c r="AU1" t="s">
        <v>93</v>
      </c>
      <c r="AV1" t="s">
        <v>132</v>
      </c>
      <c r="AW1" t="s">
        <v>81</v>
      </c>
      <c r="AX1" t="s">
        <v>82</v>
      </c>
      <c r="AY1" t="s">
        <v>49</v>
      </c>
      <c r="AZ1" t="s">
        <v>107</v>
      </c>
      <c r="BA1" t="s">
        <v>108</v>
      </c>
      <c r="BB1" t="s">
        <v>32</v>
      </c>
      <c r="BC1" t="s">
        <v>133</v>
      </c>
      <c r="BD1" t="s">
        <v>42</v>
      </c>
      <c r="BE1" t="s">
        <v>50</v>
      </c>
      <c r="BF1" t="s">
        <v>83</v>
      </c>
      <c r="BG1" t="s">
        <v>101</v>
      </c>
      <c r="BH1" t="s">
        <v>134</v>
      </c>
      <c r="BI1" t="s">
        <v>94</v>
      </c>
      <c r="BJ1" t="s">
        <v>51</v>
      </c>
      <c r="BK1" t="s">
        <v>95</v>
      </c>
      <c r="BL1" t="s">
        <v>84</v>
      </c>
      <c r="BM1" t="s">
        <v>102</v>
      </c>
      <c r="BN1" t="s">
        <v>52</v>
      </c>
      <c r="BO1" t="s">
        <v>85</v>
      </c>
      <c r="BP1" t="s">
        <v>20</v>
      </c>
      <c r="BQ1" t="s">
        <v>109</v>
      </c>
      <c r="BR1" t="s">
        <v>142</v>
      </c>
      <c r="BS1" t="s">
        <v>114</v>
      </c>
      <c r="BT1" t="s">
        <v>115</v>
      </c>
      <c r="BU1" t="s">
        <v>65</v>
      </c>
      <c r="BV1" t="s">
        <v>53</v>
      </c>
    </row>
    <row r="2" s="8" customFormat="1">
      <c r="A2" s="11">
        <v>1</v>
      </c>
      <c r="B2" s="13" t="s">
        <v>12</v>
      </c>
      <c r="C2" s="7" t="s">
        <v>117</v>
      </c>
      <c r="D2" s="7" t="s">
        <v>35</v>
      </c>
      <c r="E2" s="7" t="s">
        <v>27</v>
      </c>
      <c r="F2" s="7" t="s">
        <v>15</v>
      </c>
      <c r="G2" s="7" t="s">
        <v>99</v>
      </c>
      <c r="H2" s="7" t="s">
        <v>0</v>
      </c>
      <c r="I2" s="5" t="s">
        <v>88</v>
      </c>
      <c r="J2" s="5" t="s">
        <v>129</v>
      </c>
      <c r="K2" s="5">
        <v>49318604</v>
      </c>
      <c r="L2" s="16" t="s">
        <v>0</v>
      </c>
      <c r="M2" s="5" t="str">
        <f t="shared" si="0" ref="M2:M4">BV2 &amp; " TAXNUM DLL"</f>
        <v>229 TAXNUM DLL</v>
      </c>
      <c r="N2" s="5" t="s">
        <v>28</v>
      </c>
      <c r="O2" s="19" t="s">
        <v>29</v>
      </c>
      <c r="P2" s="19">
        <v>2000</v>
      </c>
      <c r="Q2" s="5"/>
      <c r="R2" s="10">
        <f>Q2</f>
        <v>0</v>
      </c>
      <c r="S2" s="10">
        <f>Q2</f>
        <v>0</v>
      </c>
      <c r="T2" s="3" t="s">
        <v>60</v>
      </c>
      <c r="U2" s="17" t="s">
        <v>119</v>
      </c>
      <c r="V2" s="17" t="s">
        <v>91</v>
      </c>
      <c r="W2" s="12" t="str">
        <f t="shared" si="1" ref="W2:W4">"Document Number "&amp;U2&amp;" Workflow ID "&amp;V2&amp;""</f>
        <v>Document Number =Output!C2 Workflow ID =Output!D2</v>
      </c>
      <c r="X2" s="5" t="s">
        <v>111</v>
      </c>
      <c r="Y2" s="3" t="s">
        <v>70</v>
      </c>
      <c r="Z2" s="3"/>
      <c r="AA2" s="3" t="s">
        <v>28</v>
      </c>
      <c r="AB2" s="15" t="str">
        <f t="shared" si="2" ref="AB2:AB4">RIGHT(U2,7)</f>
        <v>tput!C2</v>
      </c>
      <c r="AC2" s="3" t="s">
        <v>79</v>
      </c>
      <c r="AD2" s="3" t="s">
        <v>63</v>
      </c>
      <c r="AE2" s="3" t="s">
        <v>113</v>
      </c>
      <c r="AF2" s="12" t="s">
        <v>140</v>
      </c>
      <c r="AG2" s="3" t="s">
        <v>28</v>
      </c>
      <c r="AH2" s="12" t="s">
        <v>100</v>
      </c>
      <c r="AI2" s="1"/>
      <c r="AJ2" s="24">
        <v>4308708983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4">
        <v>229</v>
      </c>
    </row>
    <row r="3" s="8" customFormat="1">
      <c r="A3" s="11">
        <v>2</v>
      </c>
      <c r="B3" s="13" t="s">
        <v>73</v>
      </c>
      <c r="C3" s="7" t="s">
        <v>117</v>
      </c>
      <c r="D3" s="7" t="s">
        <v>35</v>
      </c>
      <c r="E3" s="7" t="s">
        <v>4</v>
      </c>
      <c r="F3" s="7" t="s">
        <v>46</v>
      </c>
      <c r="G3" s="7" t="s">
        <v>99</v>
      </c>
      <c r="H3" s="7" t="s">
        <v>0</v>
      </c>
      <c r="I3" s="5" t="s">
        <v>88</v>
      </c>
      <c r="J3" s="5" t="s">
        <v>129</v>
      </c>
      <c r="K3" s="5">
        <v>2801658</v>
      </c>
      <c r="L3" s="16" t="s">
        <v>0</v>
      </c>
      <c r="M3" s="5" t="str">
        <f t="shared" si="0"/>
        <v>1 TAXNUM DLL</v>
      </c>
      <c r="N3" s="5" t="s">
        <v>28</v>
      </c>
      <c r="O3" s="19" t="s">
        <v>69</v>
      </c>
      <c r="P3" s="5">
        <v>2460</v>
      </c>
      <c r="Q3" s="5">
        <v>23</v>
      </c>
      <c r="R3" s="5">
        <v>23</v>
      </c>
      <c r="S3" s="5">
        <v>460</v>
      </c>
      <c r="T3" s="3" t="s">
        <v>60</v>
      </c>
      <c r="U3" s="17" t="s">
        <v>6</v>
      </c>
      <c r="V3" s="17" t="s">
        <v>120</v>
      </c>
      <c r="W3" s="12" t="str">
        <f t="shared" si="1"/>
        <v>Document Number =Output!C3 Workflow ID =Output!D3</v>
      </c>
      <c r="X3" s="5" t="s">
        <v>111</v>
      </c>
      <c r="Y3" s="3" t="s">
        <v>70</v>
      </c>
      <c r="Z3" s="3" t="s">
        <v>60</v>
      </c>
      <c r="AA3" s="3" t="s">
        <v>28</v>
      </c>
      <c r="AB3" s="15" t="str">
        <f t="shared" si="2"/>
        <v>tput!C3</v>
      </c>
      <c r="AC3" s="3" t="s">
        <v>79</v>
      </c>
      <c r="AD3" s="3" t="s">
        <v>63</v>
      </c>
      <c r="AE3" s="3" t="s">
        <v>113</v>
      </c>
      <c r="AF3" s="12" t="s">
        <v>140</v>
      </c>
      <c r="AG3" s="15">
        <f t="shared" si="3" ref="AG3:AG4">S3</f>
        <v>460</v>
      </c>
      <c r="AH3" s="12" t="s">
        <v>100</v>
      </c>
      <c r="AI3" s="1"/>
      <c r="AJ3" s="24">
        <v>6400061834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4">
        <v>1</v>
      </c>
    </row>
    <row r="4" s="8" customFormat="1">
      <c r="A4" s="11">
        <v>3</v>
      </c>
      <c r="B4" s="13" t="s">
        <v>68</v>
      </c>
      <c r="C4" s="7" t="s">
        <v>117</v>
      </c>
      <c r="D4" s="7" t="s">
        <v>35</v>
      </c>
      <c r="E4" s="7" t="s">
        <v>98</v>
      </c>
      <c r="F4" s="7" t="s">
        <v>87</v>
      </c>
      <c r="G4" s="7" t="s">
        <v>99</v>
      </c>
      <c r="H4" s="7" t="s">
        <v>0</v>
      </c>
      <c r="I4" s="5" t="s">
        <v>88</v>
      </c>
      <c r="J4" s="5" t="s">
        <v>129</v>
      </c>
      <c r="K4" s="5">
        <v>1236316</v>
      </c>
      <c r="L4" s="16" t="s">
        <v>0</v>
      </c>
      <c r="M4" s="5" t="str">
        <f t="shared" si="0"/>
        <v>1 TAXNUM DLL</v>
      </c>
      <c r="N4" s="5" t="s">
        <v>28</v>
      </c>
      <c r="O4" s="19" t="s">
        <v>90</v>
      </c>
      <c r="P4" s="5">
        <v>345</v>
      </c>
      <c r="Q4" s="5">
        <v>0</v>
      </c>
      <c r="R4" s="5">
        <v>0</v>
      </c>
      <c r="S4" s="5">
        <v>0</v>
      </c>
      <c r="T4" s="3" t="s">
        <v>60</v>
      </c>
      <c r="U4" s="17" t="s">
        <v>47</v>
      </c>
      <c r="V4" s="17" t="s">
        <v>7</v>
      </c>
      <c r="W4" s="12" t="str">
        <f t="shared" si="1"/>
        <v>Document Number =Output!C4 Workflow ID =Output!D4</v>
      </c>
      <c r="X4" s="5" t="s">
        <v>111</v>
      </c>
      <c r="Y4" s="3" t="s">
        <v>70</v>
      </c>
      <c r="Z4" s="3" t="s">
        <v>60</v>
      </c>
      <c r="AA4" s="3" t="s">
        <v>28</v>
      </c>
      <c r="AB4" s="15" t="str">
        <f t="shared" si="2"/>
        <v>tput!C4</v>
      </c>
      <c r="AC4" s="3" t="s">
        <v>79</v>
      </c>
      <c r="AD4" s="3" t="s">
        <v>63</v>
      </c>
      <c r="AE4" s="3" t="s">
        <v>113</v>
      </c>
      <c r="AF4" s="12" t="s">
        <v>140</v>
      </c>
      <c r="AG4" s="15">
        <f t="shared" si="3"/>
        <v>0</v>
      </c>
      <c r="AH4" s="12" t="s">
        <v>100</v>
      </c>
      <c r="AI4" s="1"/>
      <c r="AJ4" s="24">
        <v>6300057430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4">
        <v>1</v>
      </c>
    </row>
    <row r="5" s="22" customFormat="1">
      <c r="A5" s="2"/>
      <c r="B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6"/>
      <c r="U5" s="4"/>
      <c r="V5" s="4"/>
      <c r="W5" s="9"/>
      <c r="X5" s="4"/>
      <c r="Y5" s="6"/>
      <c r="Z5" s="6"/>
      <c r="AA5" s="6"/>
      <c r="AB5" s="20"/>
      <c r="AC5" s="6"/>
      <c r="AD5" s="6"/>
      <c r="AE5" s="6"/>
      <c r="AF5" s="9"/>
      <c r="AG5" s="20"/>
      <c r="AH5" s="9"/>
      <c r="AI5" s="2"/>
      <c r="AJ5" s="24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1"/>
    </row>
    <row r="6" s="8" customFormat="1">
      <c r="A6" s="1"/>
      <c r="B6" s="7" t="s">
        <v>127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24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4"/>
    </row>
    <row r="7" s="8" customFormat="1">
      <c r="A7" s="1"/>
      <c r="B7" s="5" t="s">
        <v>56</v>
      </c>
      <c r="C7" s="1"/>
      <c r="D7" s="1"/>
      <c r="E7" s="1"/>
      <c r="F7" s="1"/>
      <c r="G7" s="1"/>
      <c r="H7" s="1"/>
      <c r="I7" s="1"/>
      <c r="J7" s="1"/>
      <c r="K7" s="1"/>
      <c r="L7" s="1"/>
      <c r="M7" s="3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24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4"/>
    </row>
    <row r="8" s="8" customFormat="1">
      <c r="A8" s="1"/>
      <c r="B8" s="29" t="s">
        <v>116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24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4"/>
    </row>
    <row r="9" s="8" customFormat="1">
      <c r="A9" s="1"/>
      <c r="B9" s="16" t="s">
        <v>26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24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4"/>
    </row>
    <row r="10" s="8" customFormat="1">
      <c r="A10" s="1"/>
      <c r="B10" s="25" t="s">
        <v>74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24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4"/>
    </row>
    <row r="11" s="8" customFormat="1">
      <c r="A11" s="1"/>
      <c r="B11" s="10" t="s">
        <v>105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24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4"/>
    </row>
    <row r="12" s="8" customFormat="1">
      <c r="A12" s="1"/>
      <c r="B12" s="23" t="s">
        <v>75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24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4"/>
    </row>
    <row r="13" s="8" customFormat="1">
      <c r="A13" s="1"/>
      <c r="B13" s="28" t="s">
        <v>13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24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4"/>
    </row>
    <row r="14" s="8" customFormat="1">
      <c r="A14" s="1"/>
      <c r="B14" s="27" t="s">
        <v>14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24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4"/>
    </row>
    <row r="15" s="8" customFormat="1">
      <c r="A15" s="1"/>
      <c r="B15" s="11" t="s">
        <v>76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24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4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B18"/>
  <sheetViews>
    <sheetView topLeftCell="C1" workbookViewId="0">
      <selection activeCell="C2" sqref="C2"/>
    </sheetView>
  </sheetViews>
  <sheetFormatPr defaultColWidth="9.125" defaultRowHeight="14.25"/>
  <cols>
    <col min="1" max="1" width="9.125" style="8" customWidth="1"/>
    <col min="2" max="2" width="39.25" style="8" bestFit="1" customWidth="1"/>
    <col min="3" max="3" width="68.5" style="8" bestFit="1" customWidth="1"/>
    <col min="4" max="4" width="75" style="8" bestFit="1" customWidth="1"/>
    <col min="5" max="16384" width="9.125" style="8" customWidth="1"/>
  </cols>
  <sheetData>
    <row r="1" ht="12.75" customHeight="1" customFormat="1">
      <c r="A1" t="s">
        <v>126</v>
      </c>
      <c r="B1" t="s">
        <v>67</v>
      </c>
      <c r="C1" t="s">
        <v>21</v>
      </c>
      <c r="D1" t="s">
        <v>22</v>
      </c>
      <c r="E1" t="s">
        <v>123</v>
      </c>
      <c r="F1" t="s">
        <v>10</v>
      </c>
      <c r="G1" t="s">
        <v>54</v>
      </c>
      <c r="H1" t="s">
        <v>96</v>
      </c>
      <c r="I1" t="s">
        <v>124</v>
      </c>
      <c r="J1" t="s">
        <v>11</v>
      </c>
      <c r="K1" t="s">
        <v>55</v>
      </c>
      <c r="L1" t="s">
        <v>97</v>
      </c>
      <c r="M1" t="s">
        <v>125</v>
      </c>
      <c r="N1" t="s">
        <v>23</v>
      </c>
      <c r="O1" t="s">
        <v>66</v>
      </c>
      <c r="P1" t="s">
        <v>103</v>
      </c>
      <c r="Q1" t="s">
        <v>135</v>
      </c>
      <c r="R1" t="s">
        <v>24</v>
      </c>
      <c r="S1" t="s">
        <v>60</v>
      </c>
      <c r="T1" t="s">
        <v>104</v>
      </c>
      <c r="U1" t="s">
        <v>136</v>
      </c>
      <c r="V1" t="s">
        <v>25</v>
      </c>
      <c r="W1" t="s">
        <v>72</v>
      </c>
      <c r="X1" t="s">
        <v>110</v>
      </c>
      <c r="Y1" t="s">
        <v>143</v>
      </c>
      <c r="Z1" t="s">
        <v>34</v>
      </c>
      <c r="AA1" t="s">
        <v>44</v>
      </c>
      <c r="AB1" t="s">
        <v>86</v>
      </c>
    </row>
    <row r="2">
      <c r="A2" s="11">
        <v>1</v>
      </c>
      <c r="B2" s="13" t="s">
        <v>12</v>
      </c>
      <c r="C2" s="3" t="s">
        <v>43</v>
      </c>
      <c r="D2" s="3" t="s">
        <v>33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1"/>
    </row>
    <row r="3">
      <c r="A3" s="11">
        <v>2</v>
      </c>
      <c r="B3" s="13" t="s">
        <v>73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1"/>
    </row>
    <row r="4">
      <c r="A4" s="11">
        <v>3</v>
      </c>
      <c r="B4" s="13" t="s">
        <v>68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1"/>
    </row>
    <row r="5">
      <c r="A5" s="1"/>
      <c r="B5" s="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1"/>
    </row>
    <row r="6">
      <c r="A6" s="1"/>
      <c r="B6" s="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1"/>
    </row>
    <row r="7">
      <c r="A7" s="1"/>
      <c r="B7" s="1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1"/>
    </row>
    <row r="8">
      <c r="A8" s="1"/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1"/>
    </row>
    <row r="9">
      <c r="A9" s="1"/>
      <c r="B9" s="1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1"/>
    </row>
    <row r="10">
      <c r="A10" s="1"/>
      <c r="B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1"/>
    </row>
    <row r="11">
      <c r="A11" s="1"/>
      <c r="B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1"/>
    </row>
    <row r="12">
      <c r="A12" s="1"/>
      <c r="B12" s="1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1"/>
    </row>
    <row r="13">
      <c r="A13" s="1"/>
      <c r="B13" s="1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1"/>
    </row>
    <row r="14">
      <c r="A14" s="1"/>
      <c r="B14" s="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1"/>
    </row>
    <row r="15">
      <c r="A15" s="1"/>
      <c r="B15" s="1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1"/>
    </row>
    <row r="16">
      <c r="A16" s="1"/>
      <c r="B16" s="1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1"/>
    </row>
    <row r="17">
      <c r="A17" s="1"/>
      <c r="B17" s="1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1"/>
    </row>
    <row r="18">
      <c r="A18" s="1"/>
      <c r="B18" s="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1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8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8" customWidth="1"/>
  </cols>
  <sheetData>
    <row r="1" ht="15.1" customFormat="1"/>
  </sheetData>
  <pageMargins left="0.7" right="0.7" top="0.75" bottom="0.75" header="0.3" footer="0.3"/>
</worksheet>
</file>