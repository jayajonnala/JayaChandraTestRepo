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T1_DataTransfer" sheetId="3" r:id="rId3"/>
    <sheet name="TC1_Test_113_Update" sheetId="4" r:id="rId4"/>
    <sheet name="TC2_Test_159_Update Account" sheetId="5" r:id="rId5"/>
    <sheet name="TC3_Test_119_SRM Standard" sheetId="6" r:id="rId6"/>
    <sheet name="TC4_Test_119_SRM_Complete" sheetId="7" r:id="rId7"/>
    <sheet name="TC5_Test_119_SRM_Approve" sheetId="8" r:id="rId8"/>
    <sheet name="TC6_Test_119_SRM Standard SC" sheetId="9" r:id="rId9"/>
  </sheets>
  <externalReferences>
    <externalReference r:id="rId13"/>
  </externalReferences>
  <definedNames>
    <definedName name="_xlnm._FilterDatabase" localSheetId="0" hidden="1">Global!$A$2:$L$30</definedName>
    <definedName name="_xlfn.CONCAT" hidden="1">#NAME?</definedName>
  </definedNames>
  <calcPr calcId="40001"/>
</workbook>
</file>

<file path=xl/sharedStrings.xml><?xml version="1.0" encoding="utf-8"?>
<sst xmlns="http://schemas.openxmlformats.org/spreadsheetml/2006/main" uniqueCount="125">
  <si>
    <t>119_SRM Standard SC Catalog Item on Opex WBS (DLL)</t>
  </si>
  <si>
    <t>126_SRM Technical SC Catalog Items on Asset 3 Approvals (DLL-MI)</t>
  </si>
  <si>
    <t>AT_04.04.02.53 VIM - PO Precontrole Issue - Process PO Invoice (PO) - Auto Posting - Euro to Euro</t>
  </si>
  <si>
    <t>ASRMDLL01</t>
  </si>
  <si>
    <t>Welcome@2022</t>
  </si>
  <si>
    <t/>
  </si>
  <si>
    <t>IP121_AB_Catalog_and_Freetext_on_CC_43</t>
  </si>
  <si>
    <t>1000008630</t>
  </si>
  <si>
    <t>AT_04.04.02.98 VIM - Qty Mismatch Standard - Cancel &amp; Re-enter</t>
  </si>
  <si>
    <t>ASRMDLL05</t>
  </si>
  <si>
    <t>DT_NAME_OF_SHOPPING_CART</t>
  </si>
  <si>
    <t>IP126_DLL_TSC_Cat_onAsset_3Appr_141</t>
  </si>
  <si>
    <t>TEST_114b_41</t>
  </si>
  <si>
    <t>IP01_DLL_SC_VIM60_13</t>
  </si>
  <si>
    <t>DT___AGIM0U112021</t>
  </si>
  <si>
    <t>1000008634</t>
  </si>
  <si>
    <t>1000008638</t>
  </si>
  <si>
    <t>04.04.02.64 VIM - PO - Technical Approval</t>
  </si>
  <si>
    <t>AT_04.04.02.54 VIM - PO Precontrole Issue - Process PO Invoice (PO) - Auto Posting - Euro to RON</t>
  </si>
  <si>
    <t>AT_04.04.02.41 VIM - PO Precontrole Issue - BR19 - Unplanned. Delivery. Cost on Invoice (PO)</t>
  </si>
  <si>
    <t>AT_04.04.02.43 VIM - PO Precontrole Issue - BR21 - Tax code verification required (PO)</t>
  </si>
  <si>
    <t>Data Coming from another test</t>
  </si>
  <si>
    <t>DT_SAPURL</t>
  </si>
  <si>
    <t>Iovio2021</t>
  </si>
  <si>
    <t>IP119_DLL_Standard_SC_Catalog_Opex_11</t>
  </si>
  <si>
    <t>DLL_Create_SC_FreeText_Approval_44_16</t>
  </si>
  <si>
    <t>Test_115_41</t>
  </si>
  <si>
    <t>Scenario</t>
  </si>
  <si>
    <t>121_SRM Standard SC Catalog Item and Free text on Cost Center (DLL-AB)</t>
  </si>
  <si>
    <t>Output Data</t>
  </si>
  <si>
    <t>Test_115_45</t>
  </si>
  <si>
    <t>1000953815</t>
  </si>
  <si>
    <t>AT_04.04.02.55 VIM - PO Precontrole Issue - Process PO Invoice (PO) - Auto Posting - Subsequent document</t>
  </si>
  <si>
    <t>AT_04.04.02.99 VIM - Qty Mismatch Standard - GR</t>
  </si>
  <si>
    <t>Formulas</t>
  </si>
  <si>
    <t>1000008631</t>
  </si>
  <si>
    <t>DT_STATUS</t>
  </si>
  <si>
    <t>DT_OP_AGIM0U112021</t>
  </si>
  <si>
    <t>AT_04.04.02.57 VIM - PO Precontrole Issue - Process PO Invoice (PO) - Manual Posting - Euro to Euro</t>
  </si>
  <si>
    <t>AT_04.04.02.97 VIM - Qty Mismatch Standard - Request Credit Note</t>
  </si>
  <si>
    <t>ASRMMI05</t>
  </si>
  <si>
    <t>ASRMMI01</t>
  </si>
  <si>
    <t>Iovio-2222</t>
  </si>
  <si>
    <t>IP01_DLL_Create_SC_FreeText_Approval_63</t>
  </si>
  <si>
    <t>1000008580</t>
  </si>
  <si>
    <t>1000008635</t>
  </si>
  <si>
    <t>AT_04.04.02.42 VIM - PO Precontrole Issue - BR20 - Discount on Invoice (PO)</t>
  </si>
  <si>
    <t>Input Data</t>
  </si>
  <si>
    <t>Iovio001</t>
  </si>
  <si>
    <t>Iovio2222</t>
  </si>
  <si>
    <t>DT_SAPOPTIONS</t>
  </si>
  <si>
    <t>IP126_MI_TSC_Cat_onAsset_3Appr_12</t>
  </si>
  <si>
    <t>DLL_Create_SC_FreeText_Approval_44_109</t>
  </si>
  <si>
    <t>Test_115_42</t>
  </si>
  <si>
    <t>1000102976</t>
  </si>
  <si>
    <t>1000008577</t>
  </si>
  <si>
    <t>AT_04.04.02.59 VIM - PO Precontrole Issue - Process PO Invoice (PO) - Manual Posting - Subsequent document</t>
  </si>
  <si>
    <t>AT_04.04.02.44 VIM - PO Precontrole Issue - BR22 - Receipt Confirmation Required (PO)</t>
  </si>
  <si>
    <t>IP119_DLL_Standard_SC_CatOpex_164</t>
  </si>
  <si>
    <t>IP123_DLL_Std_SC_FreeText_on_Order_44</t>
  </si>
  <si>
    <t>Test_115_46</t>
  </si>
  <si>
    <t>DT_CREATED_ON</t>
  </si>
  <si>
    <t>6200058005</t>
  </si>
  <si>
    <t>1001200476</t>
  </si>
  <si>
    <t>AT_04.04.02.58 VIM - PO Precontrole Issue - Process PO Invoice (PO) - Manual Posting - Euro to RON</t>
  </si>
  <si>
    <t>AT_04.04.02.100 VIM-Qty Mismatch Standard_Create_confirmation</t>
  </si>
  <si>
    <t>Verifications</t>
  </si>
  <si>
    <t>Execution Control Data</t>
  </si>
  <si>
    <t>1000953289</t>
  </si>
  <si>
    <t>1000103366</t>
  </si>
  <si>
    <t>1000953794</t>
  </si>
  <si>
    <t>1000008621</t>
  </si>
  <si>
    <t>DT_ITEM</t>
  </si>
  <si>
    <t>DT_PO_ITEM</t>
  </si>
  <si>
    <t>ApprovedStatus</t>
  </si>
  <si>
    <t>Row_Number</t>
  </si>
  <si>
    <t>123_SRM Standard SC Free Text on order (DLL)</t>
  </si>
  <si>
    <t>Shopping Cart</t>
  </si>
  <si>
    <t>IP121_DLL_Catalog_and_Freetext_on_CC_88</t>
  </si>
  <si>
    <t>6200238857</t>
  </si>
  <si>
    <t xml:space="preserve">1002066022 </t>
  </si>
  <si>
    <t>1000008563</t>
  </si>
  <si>
    <t>1000008629</t>
  </si>
  <si>
    <t>1000008632</t>
  </si>
  <si>
    <t>1000008636</t>
  </si>
  <si>
    <t>DT_PONUM</t>
  </si>
  <si>
    <t>AT_04.04.02.56 VIM - PO Precontrole Issue - Process PO Invoice (PO) - Auto Posting - USD to USD</t>
  </si>
  <si>
    <t>ASRMAB01</t>
  </si>
  <si>
    <t>Test_115_43</t>
  </si>
  <si>
    <t>1000008578</t>
  </si>
  <si>
    <t>PRE_VIM</t>
  </si>
  <si>
    <t>AT_04.04.02.52 VIM - PO Precontrole Issue - Process PO Credit Memo (PO) - Subsequent document</t>
  </si>
  <si>
    <t>ASRMAB05</t>
  </si>
  <si>
    <t>Iovio002</t>
  </si>
  <si>
    <t>IP01_DLL_Create_SC_FreeText_BR19_4</t>
  </si>
  <si>
    <t>IP123_DLL_Std_SC_FreeText_on_Order_56</t>
  </si>
  <si>
    <t>6400061840</t>
  </si>
  <si>
    <t>1000953319</t>
  </si>
  <si>
    <t>DT_ITEM_NUMBER</t>
  </si>
  <si>
    <t>https://sapportal-pre.delhaize.com/irj/portal/fiori_ad?spnego=disabled</t>
  </si>
  <si>
    <t>1000953795</t>
  </si>
  <si>
    <t>Fixed Data</t>
  </si>
  <si>
    <t>DT_SAPPASSWORD</t>
  </si>
  <si>
    <t>IP01_DLL_Create_SC_FreeText_Approval_61</t>
  </si>
  <si>
    <t>IP01_DLL_Create_SC_FreeText_Approval_76</t>
  </si>
  <si>
    <t>IP01_DLL_Create_SC_FreeText_Approval_58</t>
  </si>
  <si>
    <t>1000008633</t>
  </si>
  <si>
    <t>1000008637</t>
  </si>
  <si>
    <t>DT_REFERENCE</t>
  </si>
  <si>
    <t>DT_PONUM_OUTPUT</t>
  </si>
  <si>
    <t>126b_SRM Technical SC Free Text on Asset 3 Approvals (AB)</t>
  </si>
  <si>
    <t>Login Information</t>
  </si>
  <si>
    <t>DT_SAPUSER</t>
  </si>
  <si>
    <t>DT_SEARCH_FOR</t>
  </si>
  <si>
    <t>IP125_DLL_TSC_Cat_onAsset_2Appr_195</t>
  </si>
  <si>
    <t>Test_115_40</t>
  </si>
  <si>
    <t>Test_115_44</t>
  </si>
  <si>
    <t>DT_SC_NUMBER</t>
  </si>
  <si>
    <t>1002066023</t>
  </si>
  <si>
    <t>125_SRM Technical SC Catalog Items on Asset 2 Approvals (DLL-MI)</t>
  </si>
  <si>
    <t>AT_04.04.02.60 VIM - PO Precontrole Issue - Process PO Invoice (PO) - Manual Posting - USD to USD</t>
  </si>
  <si>
    <t>Delh2025</t>
  </si>
  <si>
    <t>IP125_AB_TSC_Cat_onAsset_2Appr_35</t>
  </si>
  <si>
    <t>Test_115_37</t>
  </si>
  <si>
    <t>1000953050</t>
  </si>
</sst>
</file>

<file path=xl/styles.xml><?xml version="1.0" encoding="utf-8"?>
<styleSheet xmlns="http://schemas.openxmlformats.org/spreadsheetml/2006/main">
  <numFmts count="1">
    <numFmt numFmtId="164" formatCode="d\.mm\.yyyy"/>
  </numFmts>
  <fonts count="2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u/>
      <sz val="11"/>
      <color indexed="30"/>
      <name val="Mic Shell Dlg"/>
      <charset val="1"/>
    </font>
    <font>
      <b/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2" borderId="1" xfId="0" applyFill="1" applyBorder="1" applyProtection="1">
      <protection locked="0"/>
    </xf>
    <xf numFmtId="49" fontId="3" fillId="4" borderId="1" xfId="0" applyNumberFormat="1" applyFont="1" applyFill="1" applyBorder="1" applyProtection="1">
      <protection locked="0"/>
    </xf>
    <xf numFmtId="0" fontId="2" fillId="0" borderId="0" xfId="0" applyBorder="1" applyProtection="1"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49" fontId="2" fillId="3" borderId="1" xfId="0" applyNumberFormat="1" applyFon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5" fillId="3" borderId="1" xfId="1" applyNumberFormat="1" applyFill="1" applyBorder="1" applyProtection="1">
      <protection locked="0"/>
    </xf>
    <xf numFmtId="0" fontId="6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2" fillId="0" borderId="2" xfId="0" applyBorder="1" applyProtection="1">
      <protection locked="0"/>
    </xf>
    <xf numFmtId="49" fontId="2" fillId="0" borderId="1" xfId="0" applyNumberFormat="1" applyFont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4" fillId="5" borderId="1" xfId="0" applyNumberFormat="1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Protection="1">
      <protection locked="0"/>
    </xf>
    <xf numFmtId="0" fontId="2" fillId="0" borderId="0" xfId="0" applyBorder="1" applyAlignment="1" applyProtection="1">
      <alignment horizontal="center" vertical="center"/>
      <protection locked="0"/>
    </xf>
    <xf numFmtId="0" fontId="2" fillId="2" borderId="1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49" fontId="7" fillId="3" borderId="1" xfId="0" applyNumberFormat="1" applyFont="1" applyFill="1" applyBorder="1" applyProtection="1">
      <protection locked="0"/>
    </xf>
    <xf numFmtId="0" fontId="8" fillId="4" borderId="1" xfId="0" applyFont="1" applyFill="1" applyBorder="1" applyProtection="1">
      <protection locked="0"/>
    </xf>
    <xf numFmtId="164" fontId="8" fillId="4" borderId="1" xfId="0" applyNumberFormat="1" applyFont="1" applyFill="1" applyBorder="1" applyProtection="1">
      <protection locked="0"/>
    </xf>
    <xf numFmtId="0" fontId="9" fillId="4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2" fillId="9" borderId="1" xfId="0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9_SRM%20Standard%20SC%20Catalog%20Item%20on%20Opex%20WBS_P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Relationship Id="rId2" Type="http://schemas.openxmlformats.org/officeDocument/2006/relationships/hyperlink" Target="mailto:Welcome@2025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9"/>
  <sheetViews>
    <sheetView topLeftCell="E1" workbookViewId="0">
      <selection activeCell="E2" sqref="E2"/>
    </sheetView>
  </sheetViews>
  <sheetFormatPr defaultColWidth="9.125" defaultRowHeight="14.25"/>
  <cols>
    <col min="1" max="1" width="12.625" style="7" customWidth="1"/>
    <col min="2" max="2" width="93.875" style="7" customWidth="1"/>
    <col min="3" max="3" width="49.875" style="7" customWidth="1"/>
    <col min="4" max="4" width="13.625" style="7" customWidth="1"/>
    <col min="5" max="5" width="23" style="7" customWidth="1"/>
    <col min="6" max="6" width="16.75" style="7" customWidth="1"/>
    <col min="7" max="7" width="17.25" style="7" customWidth="1"/>
    <col min="8" max="8" width="44.25" style="7" customWidth="1"/>
    <col min="9" max="9" width="17.375" style="7" customWidth="1"/>
    <col min="10" max="10" width="19.75" style="22" customWidth="1"/>
    <col min="11" max="11" width="16.375" style="7" customWidth="1"/>
    <col min="12" max="12" width="16.125" style="7" customWidth="1"/>
    <col min="13" max="13" width="10.875" style="7" bestFit="1" customWidth="1"/>
    <col min="14" max="16384" width="9.125" style="7" customWidth="1"/>
  </cols>
  <sheetData>
    <row r="1" ht="12.75" customHeight="1" customFormat="1">
      <c r="A1" t="s">
        <v>75</v>
      </c>
      <c r="B1" t="s">
        <v>27</v>
      </c>
      <c r="C1" t="s">
        <v>22</v>
      </c>
      <c r="D1" t="s">
        <v>112</v>
      </c>
      <c r="E1" t="s">
        <v>102</v>
      </c>
      <c r="F1" t="s">
        <v>50</v>
      </c>
      <c r="G1" t="s">
        <v>113</v>
      </c>
      <c r="H1" t="s">
        <v>10</v>
      </c>
      <c r="I1" t="s">
        <v>61</v>
      </c>
      <c r="J1" t="s">
        <v>14</v>
      </c>
      <c r="K1" t="s">
        <v>117</v>
      </c>
      <c r="L1" t="s">
        <v>108</v>
      </c>
      <c r="M1" t="s">
        <v>85</v>
      </c>
      <c r="N1" t="s">
        <v>72</v>
      </c>
      <c r="O1" t="s">
        <v>73</v>
      </c>
      <c r="P1" t="s">
        <v>36</v>
      </c>
    </row>
    <row r="2" s="7" customFormat="1">
      <c r="A2" s="2">
        <v>2</v>
      </c>
      <c r="B2" s="2" t="s">
        <v>0</v>
      </c>
      <c r="C2" s="25" t="s">
        <v>99</v>
      </c>
      <c r="D2" s="4" t="s">
        <v>3</v>
      </c>
      <c r="E2" s="12" t="s">
        <v>4</v>
      </c>
      <c r="F2" s="18" t="s">
        <v>5</v>
      </c>
      <c r="G2" s="17" t="s">
        <v>77</v>
      </c>
      <c r="H2" s="6" t="s">
        <v>58</v>
      </c>
      <c r="I2" s="27">
        <f ca="1" t="shared" si="0" ref="I2:I30">TODAY()</f>
        <v>45993</v>
      </c>
      <c r="J2" s="20" t="e">
        <f>[1]Output!D2</f>
        <v>#REF!</v>
      </c>
      <c r="K2" s="6" t="s">
        <v>80</v>
      </c>
      <c r="L2" s="13" t="str">
        <f t="shared" si="1" ref="L2:L30">CONCATENATE(K2,"/1")</f>
        <v>1002066022 /1</v>
      </c>
      <c r="M2" s="1" t="e">
        <f>[1]Output!D2</f>
        <v>#REF!</v>
      </c>
      <c r="N2" s="1" t="e">
        <f>[1]Output!E2</f>
        <v>#REF!</v>
      </c>
      <c r="O2" s="1" t="e">
        <f>_xlfn.CONCAT(M2&amp;"/"&amp;N2)</f>
        <v>#NAME?</v>
      </c>
      <c r="P2" s="15" t="s">
        <v>74</v>
      </c>
    </row>
    <row r="3" s="7" customFormat="1">
      <c r="A3" s="2">
        <v>3</v>
      </c>
      <c r="B3" s="2" t="s">
        <v>28</v>
      </c>
      <c r="C3" s="25" t="s">
        <v>99</v>
      </c>
      <c r="D3" s="10" t="s">
        <v>87</v>
      </c>
      <c r="E3" s="4" t="s">
        <v>48</v>
      </c>
      <c r="F3" s="16" t="s">
        <v>5</v>
      </c>
      <c r="G3" s="11" t="s">
        <v>77</v>
      </c>
      <c r="H3" s="6" t="s">
        <v>6</v>
      </c>
      <c r="I3" s="27">
        <f ca="1" t="shared" si="0"/>
        <v>45993</v>
      </c>
      <c r="J3" s="8" t="s">
        <v>96</v>
      </c>
      <c r="K3" s="6" t="s">
        <v>54</v>
      </c>
      <c r="L3" s="13" t="str">
        <f t="shared" si="1"/>
        <v>1000102976/1</v>
      </c>
      <c r="M3" s="1"/>
      <c r="N3" s="1"/>
      <c r="O3" s="1"/>
      <c r="P3" s="15"/>
    </row>
    <row r="4" s="7" customFormat="1">
      <c r="A4" s="2">
        <v>4</v>
      </c>
      <c r="B4" s="5" t="s">
        <v>76</v>
      </c>
      <c r="C4" s="25" t="s">
        <v>99</v>
      </c>
      <c r="D4" s="10" t="s">
        <v>3</v>
      </c>
      <c r="E4" s="4" t="s">
        <v>23</v>
      </c>
      <c r="F4" s="1"/>
      <c r="G4" s="11" t="s">
        <v>77</v>
      </c>
      <c r="H4" s="14" t="s">
        <v>59</v>
      </c>
      <c r="I4" s="27">
        <f ca="1" t="shared" si="0"/>
        <v>45993</v>
      </c>
      <c r="J4" s="9">
        <v>6200238929</v>
      </c>
      <c r="K4" s="6" t="s">
        <v>63</v>
      </c>
      <c r="L4" s="13" t="str">
        <f t="shared" si="1"/>
        <v>1001200476/1</v>
      </c>
      <c r="M4" s="1"/>
      <c r="N4" s="1"/>
      <c r="O4" s="1"/>
      <c r="P4" s="15"/>
    </row>
    <row r="5" s="7" customFormat="1">
      <c r="A5" s="2">
        <v>5</v>
      </c>
      <c r="B5" s="5" t="s">
        <v>119</v>
      </c>
      <c r="C5" s="25" t="s">
        <v>99</v>
      </c>
      <c r="D5" s="10" t="s">
        <v>9</v>
      </c>
      <c r="E5" s="12" t="s">
        <v>121</v>
      </c>
      <c r="F5" s="1"/>
      <c r="G5" s="11" t="s">
        <v>77</v>
      </c>
      <c r="H5" s="14" t="s">
        <v>114</v>
      </c>
      <c r="I5" s="27">
        <f ca="1" t="shared" si="0"/>
        <v>45993</v>
      </c>
      <c r="J5" s="9">
        <v>6200151894</v>
      </c>
      <c r="K5" s="6" t="s">
        <v>118</v>
      </c>
      <c r="L5" s="13" t="str">
        <f t="shared" si="1"/>
        <v>1002066023/1</v>
      </c>
      <c r="M5" s="1" t="e">
        <f>[1]Output!D5</f>
        <v>#REF!</v>
      </c>
      <c r="N5" s="1" t="e">
        <f>[1]Output!E5</f>
        <v>#REF!</v>
      </c>
      <c r="O5" s="1" t="e">
        <f>_xlfn.CONCAT(M5&amp;"/"&amp;N5)</f>
        <v>#NAME?</v>
      </c>
      <c r="P5" s="15" t="s">
        <v>74</v>
      </c>
    </row>
    <row r="6" s="7" customFormat="1">
      <c r="A6" s="2">
        <v>6</v>
      </c>
      <c r="B6" s="5" t="s">
        <v>1</v>
      </c>
      <c r="C6" s="25" t="s">
        <v>99</v>
      </c>
      <c r="D6" s="10" t="s">
        <v>9</v>
      </c>
      <c r="E6" s="4" t="s">
        <v>49</v>
      </c>
      <c r="F6" s="1"/>
      <c r="G6" s="11" t="s">
        <v>77</v>
      </c>
      <c r="H6" s="14" t="s">
        <v>11</v>
      </c>
      <c r="I6" s="27">
        <f ca="1" t="shared" si="0"/>
        <v>45993</v>
      </c>
      <c r="J6" s="9">
        <v>6200238932</v>
      </c>
      <c r="K6" s="6" t="s">
        <v>31</v>
      </c>
      <c r="L6" s="13" t="str">
        <f t="shared" si="1"/>
        <v>1000953815/1</v>
      </c>
      <c r="M6" s="1"/>
      <c r="N6" s="1"/>
      <c r="O6" s="1"/>
      <c r="P6" s="15"/>
    </row>
    <row r="7" s="7" customFormat="1">
      <c r="A7" s="2">
        <v>7</v>
      </c>
      <c r="B7" s="5" t="s">
        <v>110</v>
      </c>
      <c r="C7" s="25" t="s">
        <v>99</v>
      </c>
      <c r="D7" s="10" t="s">
        <v>92</v>
      </c>
      <c r="E7" s="4" t="s">
        <v>93</v>
      </c>
      <c r="F7" s="1"/>
      <c r="G7" s="11" t="s">
        <v>77</v>
      </c>
      <c r="H7" s="14" t="str">
        <f>L7</f>
        <v>/1</v>
      </c>
      <c r="I7" s="27">
        <f ca="1" t="shared" si="0"/>
        <v>45993</v>
      </c>
      <c r="J7" s="9"/>
      <c r="K7" s="6"/>
      <c r="L7" s="13" t="str">
        <f t="shared" si="1"/>
        <v>/1</v>
      </c>
      <c r="M7" s="1"/>
      <c r="N7" s="1"/>
      <c r="O7" s="1"/>
      <c r="P7" s="15"/>
    </row>
    <row r="8" s="7" customFormat="1">
      <c r="A8" s="2">
        <v>8</v>
      </c>
      <c r="B8" s="5" t="s">
        <v>90</v>
      </c>
      <c r="C8" s="25" t="s">
        <v>99</v>
      </c>
      <c r="D8" s="4" t="s">
        <v>3</v>
      </c>
      <c r="E8" s="4" t="s">
        <v>23</v>
      </c>
      <c r="F8" s="1"/>
      <c r="G8" s="11" t="s">
        <v>77</v>
      </c>
      <c r="H8" s="6" t="s">
        <v>12</v>
      </c>
      <c r="I8" s="27">
        <f ca="1" t="shared" si="0"/>
        <v>45993</v>
      </c>
      <c r="J8" s="9">
        <v>6200058449</v>
      </c>
      <c r="K8" s="6" t="s">
        <v>81</v>
      </c>
      <c r="L8" s="13" t="str">
        <f t="shared" si="1"/>
        <v>1000008563/1</v>
      </c>
      <c r="M8" s="1"/>
      <c r="N8" s="1"/>
      <c r="O8" s="1"/>
      <c r="P8" s="15"/>
    </row>
    <row r="9" s="7" customFormat="1">
      <c r="A9" s="2">
        <v>9</v>
      </c>
      <c r="B9" s="2" t="s">
        <v>28</v>
      </c>
      <c r="C9" s="25" t="s">
        <v>99</v>
      </c>
      <c r="D9" s="4" t="s">
        <v>3</v>
      </c>
      <c r="E9" s="4" t="s">
        <v>23</v>
      </c>
      <c r="F9" s="16" t="s">
        <v>5</v>
      </c>
      <c r="G9" s="11" t="s">
        <v>77</v>
      </c>
      <c r="H9" s="6" t="s">
        <v>78</v>
      </c>
      <c r="I9" s="27">
        <f ca="1" t="shared" si="0"/>
        <v>45993</v>
      </c>
      <c r="J9" s="8" t="s">
        <v>79</v>
      </c>
      <c r="K9" s="6" t="s">
        <v>124</v>
      </c>
      <c r="L9" s="13" t="str">
        <f t="shared" si="1"/>
        <v>1000953050/1</v>
      </c>
      <c r="M9" s="1"/>
      <c r="N9" s="1"/>
      <c r="O9" s="1"/>
      <c r="P9" s="15"/>
    </row>
    <row r="10" s="7" customFormat="1">
      <c r="A10" s="2">
        <v>10</v>
      </c>
      <c r="B10" s="5" t="s">
        <v>119</v>
      </c>
      <c r="C10" s="25" t="s">
        <v>99</v>
      </c>
      <c r="D10" s="10" t="s">
        <v>40</v>
      </c>
      <c r="E10" s="4" t="s">
        <v>42</v>
      </c>
      <c r="F10" s="1"/>
      <c r="G10" s="11" t="s">
        <v>77</v>
      </c>
      <c r="H10" s="14" t="s">
        <v>122</v>
      </c>
      <c r="I10" s="27">
        <f ca="1" t="shared" si="0"/>
        <v>45993</v>
      </c>
      <c r="J10" s="9">
        <v>6300200461</v>
      </c>
      <c r="K10" s="6" t="s">
        <v>97</v>
      </c>
      <c r="L10" s="13" t="str">
        <f t="shared" si="1"/>
        <v>1000953319/1</v>
      </c>
      <c r="M10" s="1"/>
      <c r="N10" s="1"/>
      <c r="O10" s="1"/>
      <c r="P10" s="15"/>
    </row>
    <row r="11" s="7" customFormat="1">
      <c r="A11" s="2">
        <v>11</v>
      </c>
      <c r="B11" s="5" t="s">
        <v>1</v>
      </c>
      <c r="C11" s="25" t="s">
        <v>99</v>
      </c>
      <c r="D11" s="10" t="s">
        <v>40</v>
      </c>
      <c r="E11" s="4" t="s">
        <v>42</v>
      </c>
      <c r="F11" s="1"/>
      <c r="G11" s="11" t="s">
        <v>77</v>
      </c>
      <c r="H11" s="14" t="s">
        <v>51</v>
      </c>
      <c r="I11" s="27">
        <f ca="1" t="shared" si="0"/>
        <v>45993</v>
      </c>
      <c r="J11" s="9">
        <v>6300200459</v>
      </c>
      <c r="K11" s="6" t="s">
        <v>68</v>
      </c>
      <c r="L11" s="13" t="str">
        <f t="shared" si="1"/>
        <v>1000953289/1</v>
      </c>
      <c r="M11" s="1"/>
      <c r="N11" s="1"/>
      <c r="O11" s="1"/>
      <c r="P11" s="15"/>
    </row>
    <row r="12" s="7" customFormat="1">
      <c r="A12" s="2">
        <v>12</v>
      </c>
      <c r="B12" s="1" t="s">
        <v>17</v>
      </c>
      <c r="C12" s="25" t="s">
        <v>99</v>
      </c>
      <c r="D12" s="4" t="s">
        <v>3</v>
      </c>
      <c r="E12" s="4" t="s">
        <v>23</v>
      </c>
      <c r="F12" s="18" t="s">
        <v>5</v>
      </c>
      <c r="G12" s="17" t="s">
        <v>77</v>
      </c>
      <c r="H12" s="6" t="s">
        <v>24</v>
      </c>
      <c r="I12" s="27">
        <f ca="1" t="shared" si="0"/>
        <v>45993</v>
      </c>
      <c r="J12" s="8" t="s">
        <v>62</v>
      </c>
      <c r="K12" s="6"/>
      <c r="L12" s="13" t="str">
        <f t="shared" si="1"/>
        <v>/1</v>
      </c>
      <c r="M12" s="1"/>
      <c r="N12" s="1"/>
      <c r="O12" s="1"/>
      <c r="P12" s="15"/>
    </row>
    <row r="13" s="7" customFormat="1">
      <c r="A13" s="2">
        <v>13</v>
      </c>
      <c r="B13" s="5" t="s">
        <v>91</v>
      </c>
      <c r="C13" s="25" t="s">
        <v>99</v>
      </c>
      <c r="D13" s="4" t="s">
        <v>3</v>
      </c>
      <c r="E13" s="4" t="s">
        <v>23</v>
      </c>
      <c r="F13" s="1"/>
      <c r="G13" s="11" t="s">
        <v>77</v>
      </c>
      <c r="H13" s="26" t="s">
        <v>43</v>
      </c>
      <c r="I13" s="27">
        <f ca="1" t="shared" si="0"/>
        <v>45993</v>
      </c>
      <c r="J13" s="9">
        <v>6200058509</v>
      </c>
      <c r="K13" s="6" t="s">
        <v>69</v>
      </c>
      <c r="L13" s="13" t="str">
        <f t="shared" si="1"/>
        <v>1000103366/1</v>
      </c>
      <c r="M13" s="1"/>
      <c r="N13" s="1"/>
      <c r="O13" s="1"/>
      <c r="P13" s="15"/>
    </row>
    <row r="14" s="7" customFormat="1">
      <c r="A14" s="2">
        <v>14</v>
      </c>
      <c r="B14" s="5" t="s">
        <v>2</v>
      </c>
      <c r="C14" s="25" t="s">
        <v>99</v>
      </c>
      <c r="D14" s="4" t="s">
        <v>3</v>
      </c>
      <c r="E14" s="4" t="s">
        <v>23</v>
      </c>
      <c r="F14" s="1"/>
      <c r="G14" s="11" t="s">
        <v>77</v>
      </c>
      <c r="H14" s="26" t="s">
        <v>25</v>
      </c>
      <c r="I14" s="27">
        <f ca="1" t="shared" si="0"/>
        <v>45993</v>
      </c>
      <c r="J14" s="9">
        <v>6200120535</v>
      </c>
      <c r="K14" s="6" t="s">
        <v>55</v>
      </c>
      <c r="L14" s="13" t="str">
        <f t="shared" si="1"/>
        <v>1000008577/1</v>
      </c>
      <c r="M14" s="1"/>
      <c r="N14" s="1"/>
      <c r="O14" s="1"/>
      <c r="P14" s="15"/>
    </row>
    <row r="15" s="7" customFormat="1">
      <c r="A15" s="2">
        <v>15</v>
      </c>
      <c r="B15" s="5" t="s">
        <v>32</v>
      </c>
      <c r="C15" s="25" t="s">
        <v>99</v>
      </c>
      <c r="D15" s="4" t="s">
        <v>3</v>
      </c>
      <c r="E15" s="4" t="s">
        <v>23</v>
      </c>
      <c r="F15" s="1"/>
      <c r="G15" s="11" t="s">
        <v>77</v>
      </c>
      <c r="H15" s="26" t="s">
        <v>103</v>
      </c>
      <c r="I15" s="27">
        <f ca="1" t="shared" si="0"/>
        <v>45993</v>
      </c>
      <c r="J15" s="9">
        <v>6200151920</v>
      </c>
      <c r="K15" s="6" t="s">
        <v>89</v>
      </c>
      <c r="L15" s="13" t="str">
        <f t="shared" si="1"/>
        <v>1000008578/1</v>
      </c>
      <c r="M15" s="1"/>
      <c r="N15" s="1"/>
      <c r="O15" s="1"/>
      <c r="P15" s="15"/>
    </row>
    <row r="16" s="7" customFormat="1">
      <c r="A16" s="2">
        <v>16</v>
      </c>
      <c r="B16" s="5" t="s">
        <v>86</v>
      </c>
      <c r="C16" s="25" t="s">
        <v>99</v>
      </c>
      <c r="D16" s="4" t="s">
        <v>3</v>
      </c>
      <c r="E16" s="4" t="s">
        <v>23</v>
      </c>
      <c r="F16" s="1"/>
      <c r="G16" s="11" t="s">
        <v>77</v>
      </c>
      <c r="H16" s="26" t="s">
        <v>52</v>
      </c>
      <c r="I16" s="27">
        <f ca="1" t="shared" si="0"/>
        <v>45993</v>
      </c>
      <c r="J16" s="9">
        <v>6200151924</v>
      </c>
      <c r="K16" s="6" t="s">
        <v>44</v>
      </c>
      <c r="L16" s="13" t="str">
        <f t="shared" si="1"/>
        <v>1000008580/1</v>
      </c>
      <c r="M16" s="1"/>
      <c r="N16" s="1"/>
      <c r="O16" s="1"/>
      <c r="P16" s="15"/>
    </row>
    <row r="17" s="7" customFormat="1">
      <c r="A17" s="2">
        <v>17</v>
      </c>
      <c r="B17" s="5" t="s">
        <v>38</v>
      </c>
      <c r="C17" s="25" t="s">
        <v>99</v>
      </c>
      <c r="D17" s="4" t="s">
        <v>3</v>
      </c>
      <c r="E17" s="4" t="s">
        <v>23</v>
      </c>
      <c r="F17" s="1"/>
      <c r="G17" s="11" t="s">
        <v>77</v>
      </c>
      <c r="H17" s="26" t="s">
        <v>104</v>
      </c>
      <c r="I17" s="27">
        <f ca="1" t="shared" si="0"/>
        <v>45993</v>
      </c>
      <c r="J17" s="9">
        <v>6200238930</v>
      </c>
      <c r="K17" s="6" t="s">
        <v>70</v>
      </c>
      <c r="L17" s="13" t="str">
        <f t="shared" si="1"/>
        <v>1000953794/1</v>
      </c>
      <c r="M17" s="1"/>
      <c r="N17" s="1"/>
      <c r="O17" s="1"/>
      <c r="P17" s="15"/>
    </row>
    <row r="18" s="7" customFormat="1">
      <c r="A18" s="2">
        <v>18</v>
      </c>
      <c r="B18" s="5" t="s">
        <v>56</v>
      </c>
      <c r="C18" s="25" t="s">
        <v>99</v>
      </c>
      <c r="D18" s="4" t="s">
        <v>3</v>
      </c>
      <c r="E18" s="4" t="s">
        <v>23</v>
      </c>
      <c r="F18" s="1"/>
      <c r="G18" s="11" t="s">
        <v>77</v>
      </c>
      <c r="H18" s="26" t="s">
        <v>105</v>
      </c>
      <c r="I18" s="27">
        <f ca="1" t="shared" si="0"/>
        <v>45993</v>
      </c>
      <c r="J18" s="9">
        <v>6200151926</v>
      </c>
      <c r="K18" s="6" t="s">
        <v>71</v>
      </c>
      <c r="L18" s="13" t="str">
        <f t="shared" si="1"/>
        <v>1000008621/1</v>
      </c>
      <c r="M18" s="1"/>
      <c r="N18" s="1"/>
      <c r="O18" s="1"/>
      <c r="P18" s="15"/>
    </row>
    <row r="19" s="7" customFormat="1">
      <c r="A19" s="2">
        <v>19</v>
      </c>
      <c r="B19" s="5" t="s">
        <v>120</v>
      </c>
      <c r="C19" s="25" t="s">
        <v>99</v>
      </c>
      <c r="D19" s="4" t="s">
        <v>3</v>
      </c>
      <c r="E19" s="4" t="s">
        <v>23</v>
      </c>
      <c r="F19" s="1"/>
      <c r="G19" s="11" t="s">
        <v>77</v>
      </c>
      <c r="H19" s="26" t="s">
        <v>13</v>
      </c>
      <c r="I19" s="27">
        <f ca="1" t="shared" si="0"/>
        <v>45993</v>
      </c>
      <c r="J19" s="9">
        <v>6200238931</v>
      </c>
      <c r="K19" s="6" t="s">
        <v>100</v>
      </c>
      <c r="L19" s="13" t="str">
        <f t="shared" si="1"/>
        <v>1000953795/1</v>
      </c>
      <c r="M19" s="1"/>
      <c r="N19" s="1"/>
      <c r="O19" s="1"/>
      <c r="P19" s="15"/>
    </row>
    <row r="20" s="7" customFormat="1">
      <c r="A20" s="2">
        <v>20</v>
      </c>
      <c r="B20" s="5" t="s">
        <v>18</v>
      </c>
      <c r="C20" s="25" t="s">
        <v>99</v>
      </c>
      <c r="D20" s="4" t="s">
        <v>41</v>
      </c>
      <c r="E20" s="4" t="s">
        <v>93</v>
      </c>
      <c r="F20" s="1"/>
      <c r="G20" s="11" t="s">
        <v>77</v>
      </c>
      <c r="H20" s="26" t="s">
        <v>53</v>
      </c>
      <c r="I20" s="27">
        <f ca="1" t="shared" si="0"/>
        <v>45993</v>
      </c>
      <c r="J20" s="9">
        <v>6300002911</v>
      </c>
      <c r="K20" s="6" t="s">
        <v>82</v>
      </c>
      <c r="L20" s="13" t="str">
        <f t="shared" si="1"/>
        <v>1000008629/1</v>
      </c>
      <c r="M20" s="1"/>
      <c r="N20" s="1"/>
      <c r="O20" s="1"/>
      <c r="P20" s="15"/>
    </row>
    <row r="21" s="7" customFormat="1">
      <c r="A21" s="2">
        <v>21</v>
      </c>
      <c r="B21" s="5" t="s">
        <v>64</v>
      </c>
      <c r="C21" s="25" t="s">
        <v>99</v>
      </c>
      <c r="D21" s="4" t="s">
        <v>41</v>
      </c>
      <c r="E21" s="4" t="s">
        <v>93</v>
      </c>
      <c r="F21" s="1"/>
      <c r="G21" s="11" t="s">
        <v>77</v>
      </c>
      <c r="H21" s="26" t="s">
        <v>123</v>
      </c>
      <c r="I21" s="27">
        <f ca="1" t="shared" si="0"/>
        <v>45993</v>
      </c>
      <c r="J21" s="9">
        <v>6300002912</v>
      </c>
      <c r="K21" s="6" t="s">
        <v>7</v>
      </c>
      <c r="L21" s="13" t="str">
        <f t="shared" si="1"/>
        <v>1000008630/1</v>
      </c>
      <c r="M21" s="1"/>
      <c r="N21" s="1"/>
      <c r="O21" s="1"/>
      <c r="P21" s="15"/>
    </row>
    <row r="22" s="7" customFormat="1">
      <c r="A22" s="2">
        <v>22</v>
      </c>
      <c r="B22" s="5" t="s">
        <v>19</v>
      </c>
      <c r="C22" s="25" t="s">
        <v>99</v>
      </c>
      <c r="D22" s="4" t="s">
        <v>41</v>
      </c>
      <c r="E22" s="4" t="s">
        <v>93</v>
      </c>
      <c r="F22" s="1"/>
      <c r="G22" s="11" t="s">
        <v>77</v>
      </c>
      <c r="H22" s="26" t="s">
        <v>94</v>
      </c>
      <c r="I22" s="27">
        <f ca="1" t="shared" si="0"/>
        <v>45993</v>
      </c>
      <c r="J22" s="9">
        <v>6300002913</v>
      </c>
      <c r="K22" s="6" t="s">
        <v>35</v>
      </c>
      <c r="L22" s="13" t="str">
        <f t="shared" si="1"/>
        <v>1000008631/1</v>
      </c>
      <c r="M22" s="1"/>
      <c r="N22" s="1"/>
      <c r="O22" s="1"/>
      <c r="P22" s="15"/>
    </row>
    <row r="23" s="7" customFormat="1">
      <c r="A23" s="2">
        <v>23</v>
      </c>
      <c r="B23" s="5" t="s">
        <v>46</v>
      </c>
      <c r="C23" s="25" t="s">
        <v>99</v>
      </c>
      <c r="D23" s="4" t="s">
        <v>41</v>
      </c>
      <c r="E23" s="4" t="s">
        <v>93</v>
      </c>
      <c r="F23" s="1"/>
      <c r="G23" s="11" t="s">
        <v>77</v>
      </c>
      <c r="H23" s="26" t="s">
        <v>115</v>
      </c>
      <c r="I23" s="27">
        <f ca="1" t="shared" si="0"/>
        <v>45993</v>
      </c>
      <c r="J23" s="9">
        <v>6300002914</v>
      </c>
      <c r="K23" s="6" t="s">
        <v>83</v>
      </c>
      <c r="L23" s="13" t="str">
        <f t="shared" si="1"/>
        <v>1000008632/1</v>
      </c>
      <c r="M23" s="1"/>
      <c r="N23" s="1"/>
      <c r="O23" s="1"/>
      <c r="P23" s="15"/>
    </row>
    <row r="24" s="7" customFormat="1">
      <c r="A24" s="2">
        <v>24</v>
      </c>
      <c r="B24" s="5" t="s">
        <v>20</v>
      </c>
      <c r="C24" s="25" t="s">
        <v>99</v>
      </c>
      <c r="D24" s="4" t="s">
        <v>41</v>
      </c>
      <c r="E24" s="4" t="s">
        <v>93</v>
      </c>
      <c r="F24" s="1"/>
      <c r="G24" s="11" t="s">
        <v>77</v>
      </c>
      <c r="H24" s="26" t="s">
        <v>26</v>
      </c>
      <c r="I24" s="27">
        <f ca="1" t="shared" si="0"/>
        <v>45993</v>
      </c>
      <c r="J24" s="9">
        <v>6300002915</v>
      </c>
      <c r="K24" s="6" t="s">
        <v>106</v>
      </c>
      <c r="L24" s="13" t="str">
        <f t="shared" si="1"/>
        <v>1000008633/1</v>
      </c>
      <c r="M24" s="1"/>
      <c r="N24" s="1"/>
      <c r="O24" s="1"/>
      <c r="P24" s="15"/>
    </row>
    <row r="25" s="7" customFormat="1">
      <c r="A25" s="2">
        <v>25</v>
      </c>
      <c r="B25" s="5" t="s">
        <v>57</v>
      </c>
      <c r="C25" s="25" t="s">
        <v>99</v>
      </c>
      <c r="D25" s="4" t="s">
        <v>41</v>
      </c>
      <c r="E25" s="4" t="s">
        <v>93</v>
      </c>
      <c r="F25" s="1"/>
      <c r="G25" s="11" t="s">
        <v>77</v>
      </c>
      <c r="H25" s="26" t="s">
        <v>53</v>
      </c>
      <c r="I25" s="27">
        <f ca="1" t="shared" si="0"/>
        <v>45993</v>
      </c>
      <c r="J25" s="9">
        <v>6300002916</v>
      </c>
      <c r="K25" s="6" t="s">
        <v>15</v>
      </c>
      <c r="L25" s="13" t="str">
        <f t="shared" si="1"/>
        <v>1000008634/1</v>
      </c>
      <c r="M25" s="1"/>
      <c r="N25" s="1"/>
      <c r="O25" s="1"/>
      <c r="P25" s="15"/>
    </row>
    <row r="26" s="7" customFormat="1">
      <c r="A26" s="2">
        <v>26</v>
      </c>
      <c r="B26" s="5" t="s">
        <v>39</v>
      </c>
      <c r="C26" s="25" t="s">
        <v>99</v>
      </c>
      <c r="D26" s="4" t="s">
        <v>41</v>
      </c>
      <c r="E26" s="4" t="s">
        <v>93</v>
      </c>
      <c r="F26" s="1"/>
      <c r="G26" s="11" t="s">
        <v>77</v>
      </c>
      <c r="H26" s="26" t="s">
        <v>88</v>
      </c>
      <c r="I26" s="27">
        <f ca="1" t="shared" si="0"/>
        <v>45993</v>
      </c>
      <c r="J26" s="9">
        <v>6300002917</v>
      </c>
      <c r="K26" s="6" t="s">
        <v>45</v>
      </c>
      <c r="L26" s="13" t="str">
        <f t="shared" si="1"/>
        <v>1000008635/1</v>
      </c>
      <c r="M26" s="1"/>
      <c r="N26" s="1"/>
      <c r="O26" s="1"/>
      <c r="P26" s="15"/>
    </row>
    <row r="27" s="7" customFormat="1">
      <c r="A27" s="2">
        <v>27</v>
      </c>
      <c r="B27" s="5" t="s">
        <v>8</v>
      </c>
      <c r="C27" s="25" t="s">
        <v>99</v>
      </c>
      <c r="D27" s="4" t="s">
        <v>41</v>
      </c>
      <c r="E27" s="4" t="s">
        <v>93</v>
      </c>
      <c r="F27" s="1"/>
      <c r="G27" s="11" t="s">
        <v>77</v>
      </c>
      <c r="H27" s="26" t="s">
        <v>116</v>
      </c>
      <c r="I27" s="27">
        <f ca="1" t="shared" si="0"/>
        <v>45993</v>
      </c>
      <c r="J27" s="9">
        <v>6300002918</v>
      </c>
      <c r="K27" s="6" t="s">
        <v>84</v>
      </c>
      <c r="L27" s="13" t="str">
        <f t="shared" si="1"/>
        <v>1000008636/1</v>
      </c>
      <c r="M27" s="1"/>
      <c r="N27" s="1"/>
      <c r="O27" s="1"/>
      <c r="P27" s="15"/>
    </row>
    <row r="28" s="7" customFormat="1">
      <c r="A28" s="2">
        <v>28</v>
      </c>
      <c r="B28" s="5" t="s">
        <v>33</v>
      </c>
      <c r="C28" s="25" t="s">
        <v>99</v>
      </c>
      <c r="D28" s="4" t="s">
        <v>41</v>
      </c>
      <c r="E28" s="4" t="s">
        <v>93</v>
      </c>
      <c r="F28" s="1"/>
      <c r="G28" s="11" t="s">
        <v>77</v>
      </c>
      <c r="H28" s="26" t="s">
        <v>30</v>
      </c>
      <c r="I28" s="27">
        <f ca="1" t="shared" si="0"/>
        <v>45993</v>
      </c>
      <c r="J28" s="9">
        <v>6300002919</v>
      </c>
      <c r="K28" s="6" t="s">
        <v>107</v>
      </c>
      <c r="L28" s="13" t="str">
        <f t="shared" si="1"/>
        <v>1000008637/1</v>
      </c>
      <c r="M28" s="1"/>
      <c r="N28" s="1"/>
      <c r="O28" s="1"/>
      <c r="P28" s="15"/>
    </row>
    <row r="29" s="7" customFormat="1">
      <c r="A29" s="2">
        <v>29</v>
      </c>
      <c r="B29" s="5" t="s">
        <v>65</v>
      </c>
      <c r="C29" s="25" t="s">
        <v>99</v>
      </c>
      <c r="D29" s="4" t="s">
        <v>41</v>
      </c>
      <c r="E29" s="4" t="s">
        <v>93</v>
      </c>
      <c r="F29" s="1"/>
      <c r="G29" s="11" t="s">
        <v>77</v>
      </c>
      <c r="H29" s="26" t="s">
        <v>60</v>
      </c>
      <c r="I29" s="27">
        <f ca="1" t="shared" si="0"/>
        <v>45993</v>
      </c>
      <c r="J29" s="9">
        <v>6300002920</v>
      </c>
      <c r="K29" s="6" t="s">
        <v>16</v>
      </c>
      <c r="L29" s="13" t="str">
        <f t="shared" si="1"/>
        <v>1000008638/1</v>
      </c>
      <c r="M29" s="1"/>
      <c r="N29" s="1"/>
      <c r="O29" s="1"/>
      <c r="P29" s="15"/>
    </row>
    <row r="30" s="7" customFormat="1">
      <c r="A30" s="2">
        <v>30</v>
      </c>
      <c r="B30" s="5" t="s">
        <v>56</v>
      </c>
      <c r="C30" s="25" t="s">
        <v>99</v>
      </c>
      <c r="D30" s="4" t="s">
        <v>3</v>
      </c>
      <c r="E30" s="4" t="s">
        <v>23</v>
      </c>
      <c r="F30" s="1"/>
      <c r="G30" s="11" t="s">
        <v>77</v>
      </c>
      <c r="H30" s="26" t="s">
        <v>95</v>
      </c>
      <c r="I30" s="27">
        <f ca="1" t="shared" si="0"/>
        <v>45993</v>
      </c>
      <c r="J30" s="9">
        <v>6200151937</v>
      </c>
      <c r="K30" s="6" t="s">
        <v>71</v>
      </c>
      <c r="L30" s="13" t="str">
        <f t="shared" si="1"/>
        <v>1000008621/1</v>
      </c>
      <c r="M30" s="1"/>
      <c r="N30" s="1"/>
      <c r="O30" s="1"/>
      <c r="P30" s="15"/>
    </row>
    <row r="31" s="7" customFormat="1">
      <c r="A31" s="23"/>
      <c r="B31" s="5"/>
      <c r="C31" s="4"/>
      <c r="D31" s="4"/>
      <c r="E31" s="4"/>
      <c r="F31" s="1"/>
      <c r="G31" s="1"/>
      <c r="H31" s="1"/>
      <c r="I31" s="1"/>
      <c r="J31" s="1"/>
      <c r="K31" s="1"/>
      <c r="L31" s="1"/>
      <c r="M31" s="1"/>
      <c r="N31" s="1"/>
      <c r="O31" s="1"/>
      <c r="P31" s="15"/>
    </row>
    <row r="32" s="7" customFormat="1">
      <c r="A32" s="1"/>
      <c r="B32" s="24" t="s">
        <v>111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5"/>
    </row>
    <row r="33" s="7" customFormat="1">
      <c r="A33" s="1"/>
      <c r="B33" s="19" t="s">
        <v>47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5"/>
    </row>
    <row r="34" s="7" customFormat="1">
      <c r="A34" s="1"/>
      <c r="B34" s="21" t="s">
        <v>101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5"/>
    </row>
    <row r="35" s="7" customFormat="1">
      <c r="A35" s="1"/>
      <c r="B35" s="29" t="s">
        <v>29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5"/>
    </row>
    <row r="36" s="7" customFormat="1">
      <c r="A36" s="1"/>
      <c r="B36" s="30" t="s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5"/>
    </row>
    <row r="37" s="7" customFormat="1">
      <c r="A37" s="1"/>
      <c r="B37" s="13" t="s">
        <v>66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5"/>
    </row>
    <row r="38" s="7" customFormat="1">
      <c r="A38" s="1"/>
      <c r="B38" s="28" t="s">
        <v>21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5"/>
    </row>
    <row r="39" s="7" customFormat="1">
      <c r="A39" s="1"/>
      <c r="B39" s="2" t="s">
        <v>67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5"/>
    </row>
  </sheetData>
  <hyperlinks>
    <hyperlink ref="E2" r:id="rId1" display="Welcome@2022"/>
    <hyperlink ref="E5" r:id="rId2" display="Welcome@2025"/>
  </hyperlinks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5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49" style="7" customWidth="1"/>
    <col min="3" max="3" width="20" style="7" customWidth="1"/>
    <col min="4" max="4" width="20.5" style="7" bestFit="1" customWidth="1"/>
    <col min="5" max="16384" width="9.125" style="7" customWidth="1"/>
  </cols>
  <sheetData>
    <row r="1" ht="12.75" customHeight="1" customFormat="1">
      <c r="A1" t="s">
        <v>75</v>
      </c>
      <c r="B1" t="s">
        <v>27</v>
      </c>
      <c r="C1" t="s">
        <v>37</v>
      </c>
      <c r="D1" t="s">
        <v>109</v>
      </c>
      <c r="E1" t="s">
        <v>98</v>
      </c>
    </row>
    <row r="2">
      <c r="A2" s="2">
        <v>2</v>
      </c>
      <c r="B2" s="2" t="s">
        <v>0</v>
      </c>
      <c r="C2" s="1"/>
      <c r="D2" s="1">
        <v>6200434452</v>
      </c>
      <c r="E2" s="15">
        <v>10</v>
      </c>
    </row>
    <row r="3">
      <c r="A3" s="1"/>
      <c r="B3" s="1"/>
      <c r="C3" s="1"/>
      <c r="D3" s="1"/>
      <c r="E3" s="15"/>
    </row>
    <row r="4">
      <c r="A4" s="1"/>
      <c r="B4" s="1"/>
      <c r="C4" s="1"/>
      <c r="D4" s="1"/>
      <c r="E4" s="15"/>
    </row>
    <row r="5">
      <c r="A5" s="2">
        <v>5</v>
      </c>
      <c r="B5" s="5" t="s">
        <v>119</v>
      </c>
      <c r="C5" s="1"/>
      <c r="D5" s="1">
        <v>6200434453</v>
      </c>
      <c r="E5" s="15">
        <v>10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