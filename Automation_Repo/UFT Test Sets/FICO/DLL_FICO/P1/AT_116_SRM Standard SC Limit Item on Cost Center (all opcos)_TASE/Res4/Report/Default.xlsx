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<sst xmlns="http://schemas.openxmlformats.org/spreadsheetml/2006/main" uniqueCount="59">
  <si>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</si>
  <si>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</si>
  <si>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</si>
  <si>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</si>
  <si>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</si>
  <si>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</si>
  <si>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</si>
  <si>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</si>
  <si>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</si>
  <si>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</si>
  <si>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</si>
  <si>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</si>
  <si>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</si>
  <si>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</si>
  <si>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</si>
  <si>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</si>
  <si>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</si>
  <si>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</si>
  <si>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</si>
  <si>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</si>
  <si>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</si>
  <si>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</si>
  <si>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</si>
  <si>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</si>
  <si>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</si>
  <si>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</si>
  <si>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</si>
  <si>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</si>
  <si>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Shopping cart "IP116_DLL_Standard_SC_Limit_ItemonCC_172" with number 1001879924 ordered successfully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</si>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</sst>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1" xfId="0" applyNumberFormat="1" applyBorder="1" applyProtection="1">
      <protection locked="0"/>
    </xf>
    <xf numFmtId="0" fontId="2" fillId="0" borderId="2" xfId="0" applyBorder="1" applyProtection="1">
      <protection locked="0"/>
    </xf>
    <xf numFmtId="0" fontId="2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49" fontId="2" fillId="6" borderId="1" xfId="0" applyNumberFormat="1" applyFill="1" applyBorder="1" applyProtection="1">
      <protection locked="0"/>
    </xf>
    <xf numFmtId="0" fontId="2" fillId="6" borderId="1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8" bestFit="1" customWidth="1"/>
    <col min="2" max="2" width="70.5" style="8" customWidth="1"/>
    <col min="3" max="3" width="61.875" style="8" bestFit="1" customWidth="1"/>
    <col min="4" max="4" width="13.625" style="8" customWidth="1"/>
    <col min="5" max="5" width="19.375" style="8" bestFit="1" customWidth="1"/>
    <col min="6" max="6" width="16.75" style="8" customWidth="1"/>
    <col min="7" max="8" width="42.5" style="8" customWidth="1"/>
    <col min="9" max="9" width="18.625" style="8" bestFit="1" customWidth="1"/>
    <col min="10" max="10" width="28.625" style="8" bestFit="1" customWidth="1"/>
    <col min="11" max="11" width="16.75" style="8" bestFit="1" customWidth="1"/>
    <col min="12" max="12" width="22" style="8" bestFit="1" customWidth="1"/>
    <col min="13" max="13" width="8.75" style="8" bestFit="1" customWidth="1"/>
    <col min="14" max="14" width="14" style="8" bestFit="1" customWidth="1"/>
    <col min="15" max="15" width="25" style="8" bestFit="1" customWidth="1"/>
    <col min="16" max="16" width="34.875" style="8" bestFit="1" customWidth="1"/>
    <col min="17" max="17" width="23" style="8" bestFit="1" customWidth="1"/>
    <col min="18" max="18" width="28.375" style="8" bestFit="1" customWidth="1"/>
    <col min="19" max="19" width="10.75" style="8" bestFit="1" customWidth="1"/>
    <col min="20" max="20" width="20.5" style="8" bestFit="1" customWidth="1"/>
    <col min="21" max="21" width="18.625" style="8" bestFit="1" customWidth="1"/>
    <col min="22" max="22" width="16.25" style="8" bestFit="1" customWidth="1"/>
    <col min="23" max="23" width="12" style="8" customWidth="1"/>
    <col min="24" max="24" width="41.125" style="8" bestFit="1" customWidth="1"/>
    <col min="25" max="25" width="13.125" style="8" bestFit="1" customWidth="1"/>
    <col min="26" max="26" width="98.25" style="8" bestFit="1" customWidth="1"/>
    <col min="27" max="16384" width="9.125" style="8" customWidth="1"/>
  </cols>
  <sheetData>
    <row r="1" ht="12.75" customHeight="1" customFormat="1">
      <c r="A1" t="s">
        <v>29</v>
      </c>
      <c r="B1" t="s">
        <v>9</v>
      </c>
      <c r="C1" t="s">
        <v>8</v>
      </c>
      <c r="D1" t="s">
        <v>47</v>
      </c>
      <c r="E1" t="s">
        <v>42</v>
      </c>
      <c r="F1" t="s">
        <v>19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27</v>
      </c>
      <c r="N1" t="s">
        <v>22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30</v>
      </c>
      <c r="V1" t="s">
        <v>13</v>
      </c>
      <c r="W1" t="s">
        <v>11</v>
      </c>
      <c r="X1" t="s">
        <v>26</v>
      </c>
      <c r="Y1" t="s">
        <v>41</v>
      </c>
      <c r="Z1" t="s">
        <v>32</v>
      </c>
    </row>
    <row r="2">
      <c r="A2" s="4">
        <v>2</v>
      </c>
      <c r="B2" s="4" t="s">
        <v>23</v>
      </c>
      <c r="C2" s="5" t="s">
        <v>38</v>
      </c>
      <c r="D2" s="3" t="s">
        <v>0</v>
      </c>
      <c r="E2" s="11" t="s">
        <v>1</v>
      </c>
      <c r="F2" s="3" t="s">
        <v>2</v>
      </c>
      <c r="G2" s="6">
        <v>173</v>
      </c>
      <c r="H2" s="6" t="str">
        <f>CONCATENATE("IP116_DLL_Standard_SC_Limit_ItemonCC_",G2)</f>
        <v>IP116_DLL_Standard_SC_Limit_ItemonCC_173</v>
      </c>
      <c r="I2" s="12" t="s">
        <v>35</v>
      </c>
      <c r="J2" s="2" t="s">
        <v>50</v>
      </c>
      <c r="K2" s="2" t="s">
        <v>12</v>
      </c>
      <c r="L2" s="2" t="s">
        <v>12</v>
      </c>
      <c r="M2" s="2" t="s">
        <v>24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24</v>
      </c>
      <c r="T2" s="2" t="s">
        <v>52</v>
      </c>
      <c r="U2" s="2" t="s">
        <v>7</v>
      </c>
      <c r="V2" s="10" t="s">
        <v>25</v>
      </c>
      <c r="W2" s="15" t="e">
        <f>MID(Z2,70,10)</f>
        <v>#REF!</v>
      </c>
      <c r="X2" s="1" t="s">
        <v>55</v>
      </c>
      <c r="Y2" s="1">
        <v>30</v>
      </c>
      <c r="Z2" s="7" t="e">
        <f>[1]Output!D2</f>
        <v>#REF!</v>
      </c>
    </row>
    <row r="3">
      <c r="A3" s="4">
        <v>3</v>
      </c>
      <c r="B3" s="4" t="s">
        <v>23</v>
      </c>
      <c r="C3" s="3" t="s">
        <v>17</v>
      </c>
      <c r="D3" s="3" t="s">
        <v>33</v>
      </c>
      <c r="E3" s="3" t="s">
        <v>18</v>
      </c>
      <c r="F3" s="3" t="s">
        <v>2</v>
      </c>
      <c r="G3" s="6">
        <v>131</v>
      </c>
      <c r="H3" s="6" t="str">
        <f>CONCATENATE("IP116_AB_Standard_SC_Limit_ItemonCC_",G3)</f>
        <v>IP116_AB_Standard_SC_Limit_ItemonCC_131</v>
      </c>
      <c r="I3" s="12" t="s">
        <v>35</v>
      </c>
      <c r="J3" s="2" t="s">
        <v>20</v>
      </c>
      <c r="K3" s="2" t="s">
        <v>12</v>
      </c>
      <c r="L3" s="2" t="s">
        <v>12</v>
      </c>
      <c r="M3" s="2" t="s">
        <v>24</v>
      </c>
      <c r="N3" s="2" t="s">
        <v>3</v>
      </c>
      <c r="O3" s="2" t="s">
        <v>53</v>
      </c>
      <c r="P3" s="2" t="s">
        <v>20</v>
      </c>
      <c r="Q3" s="2" t="s">
        <v>12</v>
      </c>
      <c r="R3" s="2" t="s">
        <v>12</v>
      </c>
      <c r="S3" s="2" t="s">
        <v>24</v>
      </c>
      <c r="T3" s="2" t="s">
        <v>3</v>
      </c>
      <c r="U3" s="2" t="s">
        <v>36</v>
      </c>
      <c r="V3" s="10" t="s">
        <v>25</v>
      </c>
      <c r="W3" s="14" t="s">
        <v>54</v>
      </c>
      <c r="X3" s="1" t="s">
        <v>55</v>
      </c>
      <c r="Y3" s="1"/>
      <c r="Z3" s="7"/>
    </row>
    <row r="4">
      <c r="A4" s="4">
        <v>4</v>
      </c>
      <c r="B4" s="4" t="s">
        <v>23</v>
      </c>
      <c r="C4" s="3" t="s">
        <v>17</v>
      </c>
      <c r="D4" s="3" t="s">
        <v>14</v>
      </c>
      <c r="E4" s="3" t="s">
        <v>37</v>
      </c>
      <c r="F4" s="3" t="s">
        <v>2</v>
      </c>
      <c r="G4" s="6">
        <v>78</v>
      </c>
      <c r="H4" s="6" t="str">
        <f t="shared" si="0" ref="H4:H5">CONCATENATE("IP116_DLL_Standard_SC_Limit_ItemonCC_",G4)</f>
        <v>IP116_DLL_Standard_SC_Limit_ItemonCC_78</v>
      </c>
      <c r="I4" s="12" t="s">
        <v>35</v>
      </c>
      <c r="J4" s="2" t="s">
        <v>21</v>
      </c>
      <c r="K4" s="2" t="s">
        <v>12</v>
      </c>
      <c r="L4" s="2" t="s">
        <v>12</v>
      </c>
      <c r="M4" s="2" t="s">
        <v>24</v>
      </c>
      <c r="N4" s="2" t="s">
        <v>15</v>
      </c>
      <c r="O4" s="2" t="s">
        <v>53</v>
      </c>
      <c r="P4" s="2" t="s">
        <v>21</v>
      </c>
      <c r="Q4" s="2" t="s">
        <v>12</v>
      </c>
      <c r="R4" s="2" t="s">
        <v>12</v>
      </c>
      <c r="S4" s="2" t="s">
        <v>24</v>
      </c>
      <c r="T4" s="2" t="s">
        <v>15</v>
      </c>
      <c r="U4" s="2" t="s">
        <v>31</v>
      </c>
      <c r="V4" s="10" t="s">
        <v>25</v>
      </c>
      <c r="W4" s="14" t="s">
        <v>40</v>
      </c>
      <c r="X4" s="1" t="s">
        <v>55</v>
      </c>
      <c r="Y4" s="1"/>
      <c r="Z4" s="7"/>
    </row>
    <row r="5">
      <c r="A5" s="4">
        <v>5</v>
      </c>
      <c r="B5" s="4" t="s">
        <v>46</v>
      </c>
      <c r="C5" s="3" t="s">
        <v>17</v>
      </c>
      <c r="D5" s="3" t="s">
        <v>14</v>
      </c>
      <c r="E5" s="3" t="s">
        <v>37</v>
      </c>
      <c r="F5" s="3" t="s">
        <v>2</v>
      </c>
      <c r="G5" s="6">
        <v>78</v>
      </c>
      <c r="H5" s="6" t="str">
        <f t="shared" si="0"/>
        <v>IP116_DLL_Standard_SC_Limit_ItemonCC_78</v>
      </c>
      <c r="I5" s="12" t="s">
        <v>35</v>
      </c>
      <c r="J5" s="2" t="s">
        <v>21</v>
      </c>
      <c r="K5" s="2" t="s">
        <v>12</v>
      </c>
      <c r="L5" s="2" t="s">
        <v>12</v>
      </c>
      <c r="M5" s="2" t="s">
        <v>24</v>
      </c>
      <c r="N5" s="2" t="s">
        <v>15</v>
      </c>
      <c r="O5" s="2" t="s">
        <v>53</v>
      </c>
      <c r="P5" s="2" t="s">
        <v>21</v>
      </c>
      <c r="Q5" s="2" t="s">
        <v>12</v>
      </c>
      <c r="R5" s="2" t="s">
        <v>12</v>
      </c>
      <c r="S5" s="2" t="s">
        <v>24</v>
      </c>
      <c r="T5" s="2" t="s">
        <v>15</v>
      </c>
      <c r="U5" s="2" t="s">
        <v>31</v>
      </c>
      <c r="V5" s="10" t="s">
        <v>25</v>
      </c>
      <c r="W5" s="14" t="s">
        <v>45</v>
      </c>
      <c r="X5" s="1" t="s">
        <v>55</v>
      </c>
      <c r="Y5" s="1"/>
      <c r="Z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7"/>
    </row>
    <row r="7">
      <c r="A7" s="1"/>
      <c r="B7" s="1"/>
      <c r="C7" s="5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36.125" style="8" customWidth="1"/>
    <col min="3" max="3" width="23.75" style="8" customWidth="1"/>
    <col min="4" max="4" width="93.25" style="8" bestFit="1" customWidth="1"/>
    <col min="5" max="16384" width="9.125" style="8" customWidth="1"/>
  </cols>
  <sheetData>
    <row r="1" ht="12.75" customHeight="1" customFormat="1">
      <c r="A1" t="s">
        <v>29</v>
      </c>
      <c r="B1" t="s">
        <v>9</v>
      </c>
      <c r="C1" t="s">
        <v>16</v>
      </c>
      <c r="D1" t="s">
        <v>58</v>
      </c>
    </row>
    <row r="2" ht="28.5">
      <c r="A2" s="4">
        <v>2</v>
      </c>
      <c r="B2" s="13" t="s">
        <v>23</v>
      </c>
      <c r="C2" s="1">
        <v>1001496019</v>
      </c>
      <c r="D2" s="7" t="s">
        <v>28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