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Action1" sheetId="2" r:id="rId2"/>
    <sheet name="Action1 {RunTimeResultFolde..00" sheetId="3" r:id="rId3"/>
    <sheet name="Action1 {Test_113_Update Us..00" sheetId="4" r:id="rId4"/>
    <sheet name="Action1 {Test_159_Update Ac..00" sheetId="5" r:id="rId5"/>
    <sheet name="Action1 {Test_116_SRM Stand..00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<sst xmlns="http://schemas.openxmlformats.org/spreadsheetml/2006/main" uniqueCount="59">
  <si>
    <t>ASRMDLL01</t>
  </si>
  <si>
    <t>Welcome@2022</t>
  </si>
  <si>
    <t/>
  </si>
  <si>
    <t>10002268</t>
  </si>
  <si>
    <t>DT_NAME_OF_SHOPPING_CART</t>
  </si>
  <si>
    <t>DT_PRODUCT_CATEGORY_ID</t>
  </si>
  <si>
    <t>DT_SUPPLIER_OCC1</t>
  </si>
  <si>
    <t>BZ000121</t>
  </si>
  <si>
    <t>DT_SAPURL</t>
  </si>
  <si>
    <t>Scenario</t>
  </si>
  <si>
    <t>DT_VALUE_LIMIT_OCC1</t>
  </si>
  <si>
    <t>DT_SCNUM</t>
  </si>
  <si>
    <t>1000</t>
  </si>
  <si>
    <t>DT__OCC2</t>
  </si>
  <si>
    <t>ASRMMI01</t>
  </si>
  <si>
    <t>10004186</t>
  </si>
  <si>
    <t>DT_OP_SCNUM</t>
  </si>
  <si>
    <t>http://sapportal-pre.delhaize.com/irj/portal?spnego=disabled</t>
  </si>
  <si>
    <t>Iovio001</t>
  </si>
  <si>
    <t>DT_SAPOPTIONS</t>
  </si>
  <si>
    <t>IP-O-0606</t>
  </si>
  <si>
    <t>IP-O-0108</t>
  </si>
  <si>
    <t>DT_SUPPLIER</t>
  </si>
  <si>
    <t>116_SRM Standard SC Limit Item on Cost Center (all opcos)</t>
  </si>
  <si>
    <t>On</t>
  </si>
  <si>
    <t>Awaiting Approval</t>
  </si>
  <si>
    <t>DT_FILE</t>
  </si>
  <si>
    <t>DT_REQ</t>
  </si>
  <si>
    <t>Shopping cart "IP116_DLL_Standard_SC_Limit_ItemonCC_172" with number 1001879924 ordered successfully</t>
  </si>
  <si>
    <t>Row_Number</t>
  </si>
  <si>
    <t>DT_COST_CENTER</t>
  </si>
  <si>
    <t>RS000004</t>
  </si>
  <si>
    <t>DT_MESSAGE</t>
  </si>
  <si>
    <t>ASRMAB01</t>
  </si>
  <si>
    <t>DT_INCREMENT</t>
  </si>
  <si>
    <t>ITEM 1</t>
  </si>
  <si>
    <t>GZ000025</t>
  </si>
  <si>
    <t>Iovio002</t>
  </si>
  <si>
    <t>https://sapportal-pre.delhaize.com/irj/portal/fiori_ad?spnego=disabled</t>
  </si>
  <si>
    <t>DT_EXPECTED_VALUE</t>
  </si>
  <si>
    <t>1000343202</t>
  </si>
  <si>
    <t>DT_NUMBER</t>
  </si>
  <si>
    <t>DT_SAPPASSWORD</t>
  </si>
  <si>
    <t>DT_DESCRIPTION__OCC1</t>
  </si>
  <si>
    <t>DT_EXPECTED_VALUE_OCC1</t>
  </si>
  <si>
    <t>1000103178</t>
  </si>
  <si>
    <t>AT_04.04.02.45 VIM - PO Precontrole Issue - BR23 - Missing Good Receipt (PO</t>
  </si>
  <si>
    <t>DT_SAPUSER</t>
  </si>
  <si>
    <t>Iovio2020</t>
  </si>
  <si>
    <t>DT_DESCRIPTION_</t>
  </si>
  <si>
    <t>20040201B</t>
  </si>
  <si>
    <t>DT_VALUE_LIMIT</t>
  </si>
  <si>
    <t>10012864</t>
  </si>
  <si>
    <t>ITEM 2</t>
  </si>
  <si>
    <t>1000478878</t>
  </si>
  <si>
    <t>S:\TestAssets\FICO AB\SRM\DT_Free_Text.xls</t>
  </si>
  <si>
    <t>DT_PRODUCT_CATEGORY_ID_OCC1</t>
  </si>
  <si>
    <t>DT__OCC1</t>
  </si>
  <si>
    <t>DT_MESSAGE_OUTPUT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</si>
</sst>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Mic Shell Dlg"/>
      <charset val="1"/>
    </font>
    <font>
      <u/>
      <sz val="11"/>
      <color indexed="30"/>
      <name val="Mic Shell Dlg"/>
      <charset val="1"/>
    </font>
    <font>
      <sz val="11"/>
      <color indexed="9"/>
      <name val="Mic Shell Dlg"/>
      <charset val="1"/>
    </font>
    <font>
      <u/>
      <sz val="11"/>
      <color theme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1" xfId="0" applyBorder="1" applyProtection="1">
      <protection locked="0"/>
    </xf>
    <xf numFmtId="49" fontId="2" fillId="2" borderId="1" xfId="0" applyNumberFormat="1" applyFill="1" applyBorder="1" applyProtection="1">
      <protection locked="0"/>
    </xf>
    <xf numFmtId="49" fontId="2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2" fillId="4" borderId="1" xfId="0" applyFill="1" applyBorder="1" applyProtection="1">
      <protection locked="0"/>
    </xf>
    <xf numFmtId="0" fontId="2" fillId="0" borderId="1" xfId="0" applyNumberFormat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0" fontId="2" fillId="0" borderId="2" xfId="0" applyBorder="1" applyProtection="1">
      <protection locked="0"/>
    </xf>
    <xf numFmtId="0" fontId="2" fillId="0" borderId="0" xfId="0" applyBorder="1" applyProtection="1">
      <protection locked="0"/>
    </xf>
    <xf numFmtId="49" fontId="2" fillId="0" borderId="1" xfId="0" applyNumberFormat="1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49" fontId="5" fillId="3" borderId="1" xfId="1" applyNumberFormat="1" applyFill="1" applyBorder="1" applyProtection="1">
      <protection locked="0"/>
    </xf>
    <xf numFmtId="0" fontId="2" fillId="6" borderId="1" xfId="0" applyNumberFormat="1" applyFill="1" applyBorder="1" applyProtection="1">
      <protection locked="0"/>
    </xf>
    <xf numFmtId="49" fontId="2" fillId="6" borderId="1" xfId="0" applyNumberFormat="1" applyFill="1" applyBorder="1" applyProtection="1">
      <protection locked="0"/>
    </xf>
    <xf numFmtId="0" fontId="2" fillId="4" borderId="1" xfId="0" applyFill="1" applyBorder="1" applyAlignment="1" applyProtection="1">
      <alignment wrapText="1"/>
      <protection locked="0"/>
    </xf>
  </cellXfs>
  <cellStyles count="2">
    <cellStyle name="Hyperlink" xfId="1" builtinId="8"/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LL\FICO\TASE_DT_116_SRM%20Standard%20SC%20Limit%20Item%20on%20Cost%20Center%20(all%20opcos)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mailto:Welcome@2022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7"/>
  <sheetViews>
    <sheetView topLeftCell="D1" zoomScale="80" workbookViewId="0">
      <selection activeCell="D2" sqref="D2"/>
    </sheetView>
  </sheetViews>
  <sheetFormatPr defaultColWidth="9.125" defaultRowHeight="14.25"/>
  <cols>
    <col min="1" max="1" width="13.125" style="9" bestFit="1" customWidth="1"/>
    <col min="2" max="2" width="70.5" style="9" customWidth="1"/>
    <col min="3" max="3" width="61.875" style="9" bestFit="1" customWidth="1"/>
    <col min="4" max="4" width="13.625" style="9" customWidth="1"/>
    <col min="5" max="5" width="19.375" style="9" bestFit="1" customWidth="1"/>
    <col min="6" max="6" width="16.75" style="9" customWidth="1"/>
    <col min="7" max="8" width="42.5" style="9" customWidth="1"/>
    <col min="9" max="9" width="18.625" style="9" bestFit="1" customWidth="1"/>
    <col min="10" max="10" width="28.625" style="9" bestFit="1" customWidth="1"/>
    <col min="11" max="11" width="16.75" style="9" bestFit="1" customWidth="1"/>
    <col min="12" max="12" width="22" style="9" bestFit="1" customWidth="1"/>
    <col min="13" max="13" width="8.75" style="9" bestFit="1" customWidth="1"/>
    <col min="14" max="14" width="14" style="9" bestFit="1" customWidth="1"/>
    <col min="15" max="15" width="25" style="9" bestFit="1" customWidth="1"/>
    <col min="16" max="16" width="34.875" style="9" bestFit="1" customWidth="1"/>
    <col min="17" max="17" width="23" style="9" bestFit="1" customWidth="1"/>
    <col min="18" max="18" width="28.375" style="9" bestFit="1" customWidth="1"/>
    <col min="19" max="19" width="10.75" style="9" bestFit="1" customWidth="1"/>
    <col min="20" max="20" width="20.5" style="9" bestFit="1" customWidth="1"/>
    <col min="21" max="21" width="18.625" style="9" bestFit="1" customWidth="1"/>
    <col min="22" max="22" width="16.25" style="9" bestFit="1" customWidth="1"/>
    <col min="23" max="23" width="12" style="9" customWidth="1"/>
    <col min="24" max="24" width="41.125" style="9" bestFit="1" customWidth="1"/>
    <col min="25" max="25" width="13.125" style="9" bestFit="1" customWidth="1"/>
    <col min="26" max="26" width="98.25" style="9" bestFit="1" customWidth="1"/>
    <col min="27" max="16384" width="9.125" style="9" customWidth="1"/>
  </cols>
  <sheetData>
    <row r="1" ht="12.75" customHeight="1" customFormat="1">
      <c r="A1" t="s">
        <v>29</v>
      </c>
      <c r="B1" t="s">
        <v>9</v>
      </c>
      <c r="C1" t="s">
        <v>8</v>
      </c>
      <c r="D1" t="s">
        <v>47</v>
      </c>
      <c r="E1" t="s">
        <v>42</v>
      </c>
      <c r="F1" t="s">
        <v>19</v>
      </c>
      <c r="G1" t="s">
        <v>34</v>
      </c>
      <c r="H1" t="s">
        <v>4</v>
      </c>
      <c r="I1" t="s">
        <v>49</v>
      </c>
      <c r="J1" t="s">
        <v>5</v>
      </c>
      <c r="K1" t="s">
        <v>51</v>
      </c>
      <c r="L1" t="s">
        <v>39</v>
      </c>
      <c r="M1" t="s">
        <v>27</v>
      </c>
      <c r="N1" t="s">
        <v>22</v>
      </c>
      <c r="O1" t="s">
        <v>43</v>
      </c>
      <c r="P1" t="s">
        <v>56</v>
      </c>
      <c r="Q1" t="s">
        <v>10</v>
      </c>
      <c r="R1" t="s">
        <v>44</v>
      </c>
      <c r="S1" t="s">
        <v>57</v>
      </c>
      <c r="T1" t="s">
        <v>6</v>
      </c>
      <c r="U1" t="s">
        <v>30</v>
      </c>
      <c r="V1" t="s">
        <v>13</v>
      </c>
      <c r="W1" t="s">
        <v>11</v>
      </c>
      <c r="X1" t="s">
        <v>26</v>
      </c>
      <c r="Y1" t="s">
        <v>41</v>
      </c>
      <c r="Z1" t="s">
        <v>32</v>
      </c>
    </row>
    <row r="2">
      <c r="A2" s="5">
        <v>2</v>
      </c>
      <c r="B2" s="5" t="s">
        <v>23</v>
      </c>
      <c r="C2" s="7" t="s">
        <v>38</v>
      </c>
      <c r="D2" s="3" t="s">
        <v>0</v>
      </c>
      <c r="E2" s="12" t="s">
        <v>1</v>
      </c>
      <c r="F2" s="3" t="s">
        <v>2</v>
      </c>
      <c r="G2" s="6">
        <v>172</v>
      </c>
      <c r="H2" s="6" t="str">
        <f>CONCATENATE("IP116_DLL_Standard_SC_Limit_ItemonCC_",G2)</f>
        <v>IP116_DLL_Standard_SC_Limit_ItemonCC_172</v>
      </c>
      <c r="I2" s="10" t="s">
        <v>35</v>
      </c>
      <c r="J2" s="2" t="s">
        <v>50</v>
      </c>
      <c r="K2" s="2" t="s">
        <v>12</v>
      </c>
      <c r="L2" s="2" t="s">
        <v>12</v>
      </c>
      <c r="M2" s="2" t="s">
        <v>24</v>
      </c>
      <c r="N2" s="2" t="s">
        <v>52</v>
      </c>
      <c r="O2" s="2" t="s">
        <v>53</v>
      </c>
      <c r="P2" s="2" t="s">
        <v>50</v>
      </c>
      <c r="Q2" s="2" t="s">
        <v>12</v>
      </c>
      <c r="R2" s="2" t="s">
        <v>12</v>
      </c>
      <c r="S2" s="2" t="s">
        <v>24</v>
      </c>
      <c r="T2" s="2" t="s">
        <v>52</v>
      </c>
      <c r="U2" s="2" t="s">
        <v>7</v>
      </c>
      <c r="V2" s="11" t="s">
        <v>25</v>
      </c>
      <c r="W2" s="13" t="e">
        <f>MID(Z2,70,10)</f>
        <v>#REF!</v>
      </c>
      <c r="X2" s="1" t="s">
        <v>55</v>
      </c>
      <c r="Y2" s="1">
        <v>30</v>
      </c>
      <c r="Z2" s="8" t="e">
        <f>[1]Output!D2</f>
        <v>#REF!</v>
      </c>
    </row>
    <row r="3">
      <c r="A3" s="5">
        <v>3</v>
      </c>
      <c r="B3" s="5" t="s">
        <v>23</v>
      </c>
      <c r="C3" s="3" t="s">
        <v>17</v>
      </c>
      <c r="D3" s="3" t="s">
        <v>33</v>
      </c>
      <c r="E3" s="3" t="s">
        <v>18</v>
      </c>
      <c r="F3" s="3" t="s">
        <v>2</v>
      </c>
      <c r="G3" s="6">
        <v>131</v>
      </c>
      <c r="H3" s="6" t="str">
        <f>CONCATENATE("IP116_AB_Standard_SC_Limit_ItemonCC_",G3)</f>
        <v>IP116_AB_Standard_SC_Limit_ItemonCC_131</v>
      </c>
      <c r="I3" s="10" t="s">
        <v>35</v>
      </c>
      <c r="J3" s="2" t="s">
        <v>20</v>
      </c>
      <c r="K3" s="2" t="s">
        <v>12</v>
      </c>
      <c r="L3" s="2" t="s">
        <v>12</v>
      </c>
      <c r="M3" s="2" t="s">
        <v>24</v>
      </c>
      <c r="N3" s="2" t="s">
        <v>3</v>
      </c>
      <c r="O3" s="2" t="s">
        <v>53</v>
      </c>
      <c r="P3" s="2" t="s">
        <v>20</v>
      </c>
      <c r="Q3" s="2" t="s">
        <v>12</v>
      </c>
      <c r="R3" s="2" t="s">
        <v>12</v>
      </c>
      <c r="S3" s="2" t="s">
        <v>24</v>
      </c>
      <c r="T3" s="2" t="s">
        <v>3</v>
      </c>
      <c r="U3" s="2" t="s">
        <v>36</v>
      </c>
      <c r="V3" s="11" t="s">
        <v>25</v>
      </c>
      <c r="W3" s="14" t="s">
        <v>54</v>
      </c>
      <c r="X3" s="1" t="s">
        <v>55</v>
      </c>
      <c r="Y3" s="1"/>
      <c r="Z3" s="8"/>
    </row>
    <row r="4">
      <c r="A4" s="5">
        <v>4</v>
      </c>
      <c r="B4" s="5" t="s">
        <v>23</v>
      </c>
      <c r="C4" s="3" t="s">
        <v>17</v>
      </c>
      <c r="D4" s="3" t="s">
        <v>14</v>
      </c>
      <c r="E4" s="3" t="s">
        <v>37</v>
      </c>
      <c r="F4" s="3" t="s">
        <v>2</v>
      </c>
      <c r="G4" s="6">
        <v>78</v>
      </c>
      <c r="H4" s="6" t="str">
        <f t="shared" si="0" ref="H4:H5">CONCATENATE("IP116_DLL_Standard_SC_Limit_ItemonCC_",G4)</f>
        <v>IP116_DLL_Standard_SC_Limit_ItemonCC_78</v>
      </c>
      <c r="I4" s="10" t="s">
        <v>35</v>
      </c>
      <c r="J4" s="2" t="s">
        <v>21</v>
      </c>
      <c r="K4" s="2" t="s">
        <v>12</v>
      </c>
      <c r="L4" s="2" t="s">
        <v>12</v>
      </c>
      <c r="M4" s="2" t="s">
        <v>24</v>
      </c>
      <c r="N4" s="2" t="s">
        <v>15</v>
      </c>
      <c r="O4" s="2" t="s">
        <v>53</v>
      </c>
      <c r="P4" s="2" t="s">
        <v>21</v>
      </c>
      <c r="Q4" s="2" t="s">
        <v>12</v>
      </c>
      <c r="R4" s="2" t="s">
        <v>12</v>
      </c>
      <c r="S4" s="2" t="s">
        <v>24</v>
      </c>
      <c r="T4" s="2" t="s">
        <v>15</v>
      </c>
      <c r="U4" s="2" t="s">
        <v>31</v>
      </c>
      <c r="V4" s="11" t="s">
        <v>25</v>
      </c>
      <c r="W4" s="14" t="s">
        <v>40</v>
      </c>
      <c r="X4" s="1" t="s">
        <v>55</v>
      </c>
      <c r="Y4" s="1"/>
      <c r="Z4" s="8"/>
    </row>
    <row r="5">
      <c r="A5" s="5">
        <v>5</v>
      </c>
      <c r="B5" s="5" t="s">
        <v>46</v>
      </c>
      <c r="C5" s="3" t="s">
        <v>17</v>
      </c>
      <c r="D5" s="3" t="s">
        <v>14</v>
      </c>
      <c r="E5" s="3" t="s">
        <v>37</v>
      </c>
      <c r="F5" s="3" t="s">
        <v>2</v>
      </c>
      <c r="G5" s="6">
        <v>78</v>
      </c>
      <c r="H5" s="6" t="str">
        <f t="shared" si="0"/>
        <v>IP116_DLL_Standard_SC_Limit_ItemonCC_78</v>
      </c>
      <c r="I5" s="10" t="s">
        <v>35</v>
      </c>
      <c r="J5" s="2" t="s">
        <v>21</v>
      </c>
      <c r="K5" s="2" t="s">
        <v>12</v>
      </c>
      <c r="L5" s="2" t="s">
        <v>12</v>
      </c>
      <c r="M5" s="2" t="s">
        <v>24</v>
      </c>
      <c r="N5" s="2" t="s">
        <v>15</v>
      </c>
      <c r="O5" s="2" t="s">
        <v>53</v>
      </c>
      <c r="P5" s="2" t="s">
        <v>21</v>
      </c>
      <c r="Q5" s="2" t="s">
        <v>12</v>
      </c>
      <c r="R5" s="2" t="s">
        <v>12</v>
      </c>
      <c r="S5" s="2" t="s">
        <v>24</v>
      </c>
      <c r="T5" s="2" t="s">
        <v>15</v>
      </c>
      <c r="U5" s="2" t="s">
        <v>31</v>
      </c>
      <c r="V5" s="11" t="s">
        <v>25</v>
      </c>
      <c r="W5" s="14" t="s">
        <v>45</v>
      </c>
      <c r="X5" s="1" t="s">
        <v>55</v>
      </c>
      <c r="Y5" s="1"/>
      <c r="Z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8"/>
    </row>
    <row r="7">
      <c r="A7" s="1"/>
      <c r="B7" s="1"/>
      <c r="C7" s="7" t="s">
        <v>38</v>
      </c>
      <c r="D7" s="1"/>
      <c r="E7" s="3" t="s">
        <v>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8"/>
    </row>
  </sheetData>
  <hyperlinks>
    <hyperlink ref="E2" r:id="rId1" display="Welcome@2022"/>
  </hyperlink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36.125" style="9" customWidth="1"/>
    <col min="3" max="3" width="23.75" style="9" customWidth="1"/>
    <col min="4" max="4" width="93.25" style="9" bestFit="1" customWidth="1"/>
    <col min="5" max="16384" width="9.125" style="9" customWidth="1"/>
  </cols>
  <sheetData>
    <row r="1" ht="12.75" customHeight="1" customFormat="1">
      <c r="A1" t="s">
        <v>29</v>
      </c>
      <c r="B1" t="s">
        <v>9</v>
      </c>
      <c r="C1" t="s">
        <v>16</v>
      </c>
      <c r="D1" t="s">
        <v>58</v>
      </c>
    </row>
    <row r="2" ht="28.5">
      <c r="A2" s="5">
        <v>2</v>
      </c>
      <c r="B2" s="15" t="s">
        <v>23</v>
      </c>
      <c r="C2" s="1">
        <v>1001496019</v>
      </c>
      <c r="D2" s="8" t="s">
        <v>28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